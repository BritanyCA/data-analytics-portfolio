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660\Desktop\Portafolio data analysis\Financial Forecasting\data\"/>
    </mc:Choice>
  </mc:AlternateContent>
  <xr:revisionPtr revIDLastSave="0" documentId="13_ncr:9_{90458AA8-3195-45EB-8250-44EDB7D459D3}" xr6:coauthVersionLast="47" xr6:coauthVersionMax="47" xr10:uidLastSave="{00000000-0000-0000-0000-000000000000}"/>
  <bookViews>
    <workbookView xWindow="-108" yWindow="-108" windowWidth="23256" windowHeight="12456" xr2:uid="{FF3DFCA2-869A-4E05-BD3C-BE1E6C89C953}"/>
  </bookViews>
  <sheets>
    <sheet name="tblGold" sheetId="1" r:id="rId1"/>
  </sheets>
  <calcPr calcId="0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</calcChain>
</file>

<file path=xl/sharedStrings.xml><?xml version="1.0" encoding="utf-8"?>
<sst xmlns="http://schemas.openxmlformats.org/spreadsheetml/2006/main" count="12" uniqueCount="12">
  <si>
    <t>Date</t>
  </si>
  <si>
    <t>Adj Close</t>
  </si>
  <si>
    <t>Close</t>
  </si>
  <si>
    <t>High</t>
  </si>
  <si>
    <t>Low</t>
  </si>
  <si>
    <t>Open</t>
  </si>
  <si>
    <t>Volume</t>
  </si>
  <si>
    <t>Año</t>
  </si>
  <si>
    <t>Mes</t>
  </si>
  <si>
    <t>Retorno Diario</t>
  </si>
  <si>
    <t>Promedio Movil</t>
  </si>
  <si>
    <t>Volatilidad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</si>
</sst>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d/m/yyyy"/>
    </dxf>
    <dxf>
      <numFmt numFmtId="19" formatCode="d/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3D19C0-DD72-40D8-B9AF-48D57F0B2E8C}" name="Tabla3" displayName="Tabla3" ref="A1:L2511" totalsRowShown="0">
  <autoFilter ref="A1:L2511" xr:uid="{2A3D19C0-DD72-40D8-B9AF-48D57F0B2E8C}"/>
  <sortState xmlns:xlrd2="http://schemas.microsoft.com/office/spreadsheetml/2017/richdata2" ref="A2:I2511">
    <sortCondition ref="A1:A2511"/>
  </sortState>
  <tableColumns count="12">
    <tableColumn id="1" xr3:uid="{3A337D9F-BE26-4B78-8521-9BB19F8E3607}" name="Date" dataDxfId="5"/>
    <tableColumn id="9" xr3:uid="{A614E16D-A221-40FD-9530-51EF2C5B2E84}" name="Año" dataDxfId="3">
      <calculatedColumnFormula>YEAR(Tabla3[[#This Row],[Date]])</calculatedColumnFormula>
    </tableColumn>
    <tableColumn id="8" xr3:uid="{2509499D-6525-4EA8-AE19-E9B584A51607}" name="Mes" dataDxfId="4">
      <calculatedColumnFormula>+TEXT(Tabla3[[#This Row],[Date]],"mmm")</calculatedColumnFormula>
    </tableColumn>
    <tableColumn id="2" xr3:uid="{8957F287-A016-4AD7-810A-CE016C0D56DB}" name="Adj Close" dataDxfId="10"/>
    <tableColumn id="3" xr3:uid="{62164958-DCD4-4420-8FCE-C362735FAF18}" name="Close" dataDxfId="9"/>
    <tableColumn id="4" xr3:uid="{0D5B63CE-BF36-47AC-881D-C3B479FD5AB8}" name="High" dataDxfId="8"/>
    <tableColumn id="5" xr3:uid="{F56117CA-2920-47B8-9261-6B0E92DD772D}" name="Low" dataDxfId="7"/>
    <tableColumn id="6" xr3:uid="{026443E8-390A-42EC-A74B-65542741F835}" name="Open" dataDxfId="6"/>
    <tableColumn id="7" xr3:uid="{C3B49C32-B5F8-49AB-BBB0-642617C3068F}" name="Volume"/>
    <tableColumn id="10" xr3:uid="{ED6C4990-A672-4617-9AF7-64234D8F77FF}" name="Retorno Diario" dataDxfId="2">
      <calculatedColumnFormula>IFERROR((Tabla3[[#This Row],[Close]]-OFFSET(Tabla3[[#This Row],[Close]],-1,0))/OFFSET(Tabla3[[#This Row],[Close]],-1,0),"")</calculatedColumnFormula>
    </tableColumn>
    <tableColumn id="11" xr3:uid="{96E3D3E4-E2CC-46EC-BBB3-BBBDEA1BE997}" name="Promedio Movil" dataDxfId="1">
      <calculatedColumnFormula>IFERROR(AVERAGE(OFFSET(Tabla3[[#This Row],[Close]],-6,0,7)),"")</calculatedColumnFormula>
    </tableColumn>
    <tableColumn id="12" xr3:uid="{5E00DBAB-6585-4BAB-B75F-234938BEC17C}" name="Volatilidad" dataDxfId="0">
      <calculatedColumnFormula>IFERROR(_xlfn.STDEV.S(OFFSET(Tabla3[[#This Row],[Close]],-29,0,30)),"")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77AA-1AFA-4395-A067-5EEF356B5F4D}">
  <dimension ref="A1:L2511"/>
  <sheetViews>
    <sheetView tabSelected="1" workbookViewId="0">
      <selection activeCell="O56" sqref="O56"/>
    </sheetView>
  </sheetViews>
  <sheetFormatPr baseColWidth="10" defaultRowHeight="14.4" x14ac:dyDescent="0.3"/>
  <cols>
    <col min="1" max="1" width="10.33203125" bestFit="1" customWidth="1"/>
    <col min="2" max="2" width="6.33203125" style="3" bestFit="1" customWidth="1"/>
    <col min="3" max="3" width="6.5546875" bestFit="1" customWidth="1"/>
    <col min="4" max="4" width="11" style="2" bestFit="1" customWidth="1"/>
    <col min="5" max="5" width="7.88671875" style="2" bestFit="1" customWidth="1"/>
    <col min="6" max="7" width="7.5546875" style="2" bestFit="1" customWidth="1"/>
    <col min="8" max="8" width="7.6640625" style="2" bestFit="1" customWidth="1"/>
    <col min="9" max="9" width="9.5546875" bestFit="1" customWidth="1"/>
    <col min="10" max="10" width="15" bestFit="1" customWidth="1"/>
    <col min="11" max="11" width="16.109375" bestFit="1" customWidth="1"/>
    <col min="12" max="12" width="12.44140625" bestFit="1" customWidth="1"/>
  </cols>
  <sheetData>
    <row r="1" spans="1:12" x14ac:dyDescent="0.3">
      <c r="A1" t="s">
        <v>0</v>
      </c>
      <c r="B1" s="3" t="s">
        <v>7</v>
      </c>
      <c r="C1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t="s">
        <v>6</v>
      </c>
      <c r="J1" t="s">
        <v>9</v>
      </c>
      <c r="K1" t="s">
        <v>10</v>
      </c>
      <c r="L1" t="s">
        <v>11</v>
      </c>
    </row>
    <row r="2" spans="1:12" x14ac:dyDescent="0.3">
      <c r="A2" s="1">
        <v>42405</v>
      </c>
      <c r="B2" s="3">
        <f>YEAR(Tabla3[[#This Row],[Date]])</f>
        <v>2016</v>
      </c>
      <c r="C2" s="1" t="str">
        <f>+TEXT(Tabla3[[#This Row],[Date]],"mmm")</f>
        <v>feb</v>
      </c>
      <c r="D2" s="2">
        <v>1157.80004882812</v>
      </c>
      <c r="E2" s="2">
        <v>1157.80004882812</v>
      </c>
      <c r="F2" s="2">
        <v>1174.80004882812</v>
      </c>
      <c r="G2" s="2">
        <v>1146</v>
      </c>
      <c r="H2" s="2">
        <v>1155.59997558593</v>
      </c>
      <c r="I2">
        <v>877</v>
      </c>
      <c r="J2" s="2" t="str">
        <f ca="1">IFERROR((Tabla3[[#This Row],[Close]]-OFFSET(Tabla3[[#This Row],[Close]],-1,0))/OFFSET(Tabla3[[#This Row],[Close]],-1,0),"")</f>
        <v/>
      </c>
      <c r="K2" s="2" t="str">
        <f ca="1">IFERROR(AVERAGE(OFFSET(Tabla3[[#This Row],[Close]],-6,0,7)),"")</f>
        <v/>
      </c>
      <c r="L2" s="2" t="str">
        <f ca="1">IFERROR(_xlfn.STDEV.S(OFFSET(Tabla3[[#This Row],[Close]],-29,0,30)),"")</f>
        <v/>
      </c>
    </row>
    <row r="3" spans="1:12" x14ac:dyDescent="0.3">
      <c r="A3" s="1">
        <v>42408</v>
      </c>
      <c r="B3" s="3">
        <f>YEAR(Tabla3[[#This Row],[Date]])</f>
        <v>2016</v>
      </c>
      <c r="C3" s="1" t="str">
        <f>+TEXT(Tabla3[[#This Row],[Date]],"mmm")</f>
        <v>feb</v>
      </c>
      <c r="D3" s="2">
        <v>1197.90002441406</v>
      </c>
      <c r="E3" s="2">
        <v>1197.90002441406</v>
      </c>
      <c r="F3" s="2">
        <v>1200.40002441406</v>
      </c>
      <c r="G3" s="2">
        <v>1165</v>
      </c>
      <c r="H3" s="2">
        <v>1173.5</v>
      </c>
      <c r="I3">
        <v>931</v>
      </c>
      <c r="J3" s="2">
        <f ca="1">IFERROR((Tabla3[[#This Row],[Close]]-OFFSET(Tabla3[[#This Row],[Close]],-1,0))/OFFSET(Tabla3[[#This Row],[Close]],-1,0),"")</f>
        <v>3.4634629378818588E-2</v>
      </c>
      <c r="K3" s="2" t="str">
        <f ca="1">IFERROR(AVERAGE(OFFSET(Tabla3[[#This Row],[Close]],-6,0,7)),"")</f>
        <v/>
      </c>
      <c r="L3" s="2" t="str">
        <f ca="1">IFERROR(_xlfn.STDEV.S(OFFSET(Tabla3[[#This Row],[Close]],-29,0,30)),"")</f>
        <v/>
      </c>
    </row>
    <row r="4" spans="1:12" x14ac:dyDescent="0.3">
      <c r="A4" s="1">
        <v>42409</v>
      </c>
      <c r="B4" s="3">
        <f>YEAR(Tabla3[[#This Row],[Date]])</f>
        <v>2016</v>
      </c>
      <c r="C4" s="1" t="str">
        <f>+TEXT(Tabla3[[#This Row],[Date]],"mmm")</f>
        <v>feb</v>
      </c>
      <c r="D4" s="2">
        <v>1198.69995117187</v>
      </c>
      <c r="E4" s="2">
        <v>1198.69995117187</v>
      </c>
      <c r="F4" s="2">
        <v>1199.19995117187</v>
      </c>
      <c r="G4" s="2">
        <v>1186.69995117187</v>
      </c>
      <c r="H4" s="2">
        <v>1188.69995117187</v>
      </c>
      <c r="I4">
        <v>700</v>
      </c>
      <c r="J4" s="2">
        <f ca="1">IFERROR((Tabla3[[#This Row],[Close]]-OFFSET(Tabla3[[#This Row],[Close]],-1,0))/OFFSET(Tabla3[[#This Row],[Close]],-1,0),"")</f>
        <v>6.6777422281235406E-4</v>
      </c>
      <c r="K4" s="2" t="str">
        <f ca="1">IFERROR(AVERAGE(OFFSET(Tabla3[[#This Row],[Close]],-6,0,7)),"")</f>
        <v/>
      </c>
      <c r="L4" s="2" t="str">
        <f ca="1">IFERROR(_xlfn.STDEV.S(OFFSET(Tabla3[[#This Row],[Close]],-29,0,30)),"")</f>
        <v/>
      </c>
    </row>
    <row r="5" spans="1:12" x14ac:dyDescent="0.3">
      <c r="A5" s="1">
        <v>42410</v>
      </c>
      <c r="B5" s="3">
        <f>YEAR(Tabla3[[#This Row],[Date]])</f>
        <v>2016</v>
      </c>
      <c r="C5" s="1" t="str">
        <f>+TEXT(Tabla3[[#This Row],[Date]],"mmm")</f>
        <v>feb</v>
      </c>
      <c r="D5" s="2">
        <v>1194.69995117187</v>
      </c>
      <c r="E5" s="2">
        <v>1194.69995117187</v>
      </c>
      <c r="F5" s="2">
        <v>1197.69995117187</v>
      </c>
      <c r="G5" s="2">
        <v>1182.09997558593</v>
      </c>
      <c r="H5" s="2">
        <v>1189.80004882812</v>
      </c>
      <c r="I5">
        <v>671</v>
      </c>
      <c r="J5" s="2">
        <f ca="1">IFERROR((Tabla3[[#This Row],[Close]]-OFFSET(Tabla3[[#This Row],[Close]],-1,0))/OFFSET(Tabla3[[#This Row],[Close]],-1,0),"")</f>
        <v>-3.3369484966521692E-3</v>
      </c>
      <c r="K5" s="2" t="str">
        <f ca="1">IFERROR(AVERAGE(OFFSET(Tabla3[[#This Row],[Close]],-6,0,7)),"")</f>
        <v/>
      </c>
      <c r="L5" s="2" t="str">
        <f ca="1">IFERROR(_xlfn.STDEV.S(OFFSET(Tabla3[[#This Row],[Close]],-29,0,30)),"")</f>
        <v/>
      </c>
    </row>
    <row r="6" spans="1:12" x14ac:dyDescent="0.3">
      <c r="A6" s="1">
        <v>42411</v>
      </c>
      <c r="B6" s="3">
        <f>YEAR(Tabla3[[#This Row],[Date]])</f>
        <v>2016</v>
      </c>
      <c r="C6" s="1" t="str">
        <f>+TEXT(Tabla3[[#This Row],[Date]],"mmm")</f>
        <v>feb</v>
      </c>
      <c r="D6" s="2">
        <v>1247.90002441406</v>
      </c>
      <c r="E6" s="2">
        <v>1247.90002441406</v>
      </c>
      <c r="F6" s="2">
        <v>1260.80004882812</v>
      </c>
      <c r="G6" s="2">
        <v>1204.59997558593</v>
      </c>
      <c r="H6" s="2">
        <v>1205.59997558593</v>
      </c>
      <c r="I6">
        <v>995</v>
      </c>
      <c r="J6" s="2">
        <f ca="1">IFERROR((Tabla3[[#This Row],[Close]]-OFFSET(Tabla3[[#This Row],[Close]],-1,0))/OFFSET(Tabla3[[#This Row],[Close]],-1,0),"")</f>
        <v>4.4530070659169731E-2</v>
      </c>
      <c r="K6" s="2" t="str">
        <f ca="1">IFERROR(AVERAGE(OFFSET(Tabla3[[#This Row],[Close]],-6,0,7)),"")</f>
        <v/>
      </c>
      <c r="L6" s="2" t="str">
        <f ca="1">IFERROR(_xlfn.STDEV.S(OFFSET(Tabla3[[#This Row],[Close]],-29,0,30)),"")</f>
        <v/>
      </c>
    </row>
    <row r="7" spans="1:12" x14ac:dyDescent="0.3">
      <c r="A7" s="1">
        <v>42412</v>
      </c>
      <c r="B7" s="3">
        <f>YEAR(Tabla3[[#This Row],[Date]])</f>
        <v>2016</v>
      </c>
      <c r="C7" s="1" t="str">
        <f>+TEXT(Tabla3[[#This Row],[Date]],"mmm")</f>
        <v>feb</v>
      </c>
      <c r="D7" s="2">
        <v>1239.09997558593</v>
      </c>
      <c r="E7" s="2">
        <v>1239.09997558593</v>
      </c>
      <c r="F7" s="2">
        <v>1247.80004882812</v>
      </c>
      <c r="G7" s="2">
        <v>1233.5</v>
      </c>
      <c r="H7" s="2">
        <v>1247.80004882812</v>
      </c>
      <c r="I7">
        <v>250</v>
      </c>
      <c r="J7" s="2">
        <f ca="1">IFERROR((Tabla3[[#This Row],[Close]]-OFFSET(Tabla3[[#This Row],[Close]],-1,0))/OFFSET(Tabla3[[#This Row],[Close]],-1,0),"")</f>
        <v>-7.0518860934087923E-3</v>
      </c>
      <c r="K7" s="2">
        <f ca="1">IFERROR(AVERAGE(OFFSET(Tabla3[[#This Row],[Close]],-6,0,7)),"")</f>
        <v>1206.0166625976517</v>
      </c>
      <c r="L7" s="2" t="str">
        <f ca="1">IFERROR(_xlfn.STDEV.S(OFFSET(Tabla3[[#This Row],[Close]],-29,0,30)),"")</f>
        <v/>
      </c>
    </row>
    <row r="8" spans="1:12" x14ac:dyDescent="0.3">
      <c r="A8" s="1">
        <v>42416</v>
      </c>
      <c r="B8" s="3">
        <f>YEAR(Tabla3[[#This Row],[Date]])</f>
        <v>2016</v>
      </c>
      <c r="C8" s="1" t="str">
        <f>+TEXT(Tabla3[[#This Row],[Date]],"mmm")</f>
        <v>feb</v>
      </c>
      <c r="D8" s="2">
        <v>1207.90002441406</v>
      </c>
      <c r="E8" s="2">
        <v>1207.90002441406</v>
      </c>
      <c r="F8" s="2">
        <v>1233.59997558593</v>
      </c>
      <c r="G8" s="2">
        <v>1193.59997558593</v>
      </c>
      <c r="H8" s="2">
        <v>1233.09997558593</v>
      </c>
      <c r="I8">
        <v>422</v>
      </c>
      <c r="J8" s="2">
        <f ca="1">IFERROR((Tabla3[[#This Row],[Close]]-OFFSET(Tabla3[[#This Row],[Close]],-1,0))/OFFSET(Tabla3[[#This Row],[Close]],-1,0),"")</f>
        <v>-2.5179526903885668E-2</v>
      </c>
      <c r="K8" s="2">
        <f ca="1">IFERROR(AVERAGE(OFFSET(Tabla3[[#This Row],[Close]],-6,0,7)),"")</f>
        <v>1206.2857142857101</v>
      </c>
      <c r="L8" s="2" t="str">
        <f ca="1">IFERROR(_xlfn.STDEV.S(OFFSET(Tabla3[[#This Row],[Close]],-29,0,30)),"")</f>
        <v/>
      </c>
    </row>
    <row r="9" spans="1:12" x14ac:dyDescent="0.3">
      <c r="A9" s="1">
        <v>42417</v>
      </c>
      <c r="B9" s="3">
        <f>YEAR(Tabla3[[#This Row],[Date]])</f>
        <v>2016</v>
      </c>
      <c r="C9" s="1" t="str">
        <f>+TEXT(Tabla3[[#This Row],[Date]],"mmm")</f>
        <v>feb</v>
      </c>
      <c r="D9" s="2">
        <v>1211.09997558593</v>
      </c>
      <c r="E9" s="2">
        <v>1211.09997558593</v>
      </c>
      <c r="F9" s="2">
        <v>1212.90002441406</v>
      </c>
      <c r="G9" s="2">
        <v>1196.5</v>
      </c>
      <c r="H9" s="2">
        <v>1196.5</v>
      </c>
      <c r="I9">
        <v>53</v>
      </c>
      <c r="J9" s="2">
        <f ca="1">IFERROR((Tabla3[[#This Row],[Close]]-OFFSET(Tabla3[[#This Row],[Close]],-1,0))/OFFSET(Tabla3[[#This Row],[Close]],-1,0),"")</f>
        <v>2.6491854517697038E-3</v>
      </c>
      <c r="K9" s="2">
        <f ca="1">IFERROR(AVERAGE(OFFSET(Tabla3[[#This Row],[Close]],-6,0,7)),"")</f>
        <v>1213.8999895368256</v>
      </c>
      <c r="L9" s="2" t="str">
        <f ca="1">IFERROR(_xlfn.STDEV.S(OFFSET(Tabla3[[#This Row],[Close]],-29,0,30)),"")</f>
        <v/>
      </c>
    </row>
    <row r="10" spans="1:12" x14ac:dyDescent="0.3">
      <c r="A10" s="1">
        <v>42418</v>
      </c>
      <c r="B10" s="3">
        <f>YEAR(Tabla3[[#This Row],[Date]])</f>
        <v>2016</v>
      </c>
      <c r="C10" s="1" t="str">
        <f>+TEXT(Tabla3[[#This Row],[Date]],"mmm")</f>
        <v>feb</v>
      </c>
      <c r="D10" s="2">
        <v>1226.09997558593</v>
      </c>
      <c r="E10" s="2">
        <v>1226.09997558593</v>
      </c>
      <c r="F10" s="2">
        <v>1239.19995117187</v>
      </c>
      <c r="G10" s="2">
        <v>1201.59997558593</v>
      </c>
      <c r="H10" s="2">
        <v>1209.59997558593</v>
      </c>
      <c r="I10">
        <v>315</v>
      </c>
      <c r="J10" s="2">
        <f ca="1">IFERROR((Tabla3[[#This Row],[Close]]-OFFSET(Tabla3[[#This Row],[Close]],-1,0))/OFFSET(Tabla3[[#This Row],[Close]],-1,0),"")</f>
        <v>1.2385434978431902E-2</v>
      </c>
      <c r="K10" s="2">
        <f ca="1">IFERROR(AVERAGE(OFFSET(Tabla3[[#This Row],[Close]],-6,0,7)),"")</f>
        <v>1217.9285539899499</v>
      </c>
      <c r="L10" s="2" t="str">
        <f ca="1">IFERROR(_xlfn.STDEV.S(OFFSET(Tabla3[[#This Row],[Close]],-29,0,30)),"")</f>
        <v/>
      </c>
    </row>
    <row r="11" spans="1:12" x14ac:dyDescent="0.3">
      <c r="A11" s="1">
        <v>42419</v>
      </c>
      <c r="B11" s="3">
        <f>YEAR(Tabla3[[#This Row],[Date]])</f>
        <v>2016</v>
      </c>
      <c r="C11" s="1" t="str">
        <f>+TEXT(Tabla3[[#This Row],[Date]],"mmm")</f>
        <v>feb</v>
      </c>
      <c r="D11" s="2">
        <v>1230.40002441406</v>
      </c>
      <c r="E11" s="2">
        <v>1230.40002441406</v>
      </c>
      <c r="F11" s="2">
        <v>1232.80004882812</v>
      </c>
      <c r="G11" s="2">
        <v>1221.80004882812</v>
      </c>
      <c r="H11" s="2">
        <v>1230.80004882812</v>
      </c>
      <c r="I11">
        <v>76</v>
      </c>
      <c r="J11" s="2">
        <f ca="1">IFERROR((Tabla3[[#This Row],[Close]]-OFFSET(Tabla3[[#This Row],[Close]],-1,0))/OFFSET(Tabla3[[#This Row],[Close]],-1,0),"")</f>
        <v>3.507094783257858E-3</v>
      </c>
      <c r="K11" s="2">
        <f ca="1">IFERROR(AVERAGE(OFFSET(Tabla3[[#This Row],[Close]],-6,0,7)),"")</f>
        <v>1222.4571358816916</v>
      </c>
      <c r="L11" s="2" t="str">
        <f ca="1">IFERROR(_xlfn.STDEV.S(OFFSET(Tabla3[[#This Row],[Close]],-29,0,30)),"")</f>
        <v/>
      </c>
    </row>
    <row r="12" spans="1:12" x14ac:dyDescent="0.3">
      <c r="A12" s="1">
        <v>42422</v>
      </c>
      <c r="B12" s="3">
        <f>YEAR(Tabla3[[#This Row],[Date]])</f>
        <v>2016</v>
      </c>
      <c r="C12" s="1" t="str">
        <f>+TEXT(Tabla3[[#This Row],[Date]],"mmm")</f>
        <v>feb</v>
      </c>
      <c r="D12" s="2">
        <v>1209.5</v>
      </c>
      <c r="E12" s="2">
        <v>1209.5</v>
      </c>
      <c r="F12" s="2">
        <v>1226.09997558593</v>
      </c>
      <c r="G12" s="2">
        <v>1203</v>
      </c>
      <c r="H12" s="2">
        <v>1226.09997558593</v>
      </c>
      <c r="I12">
        <v>280</v>
      </c>
      <c r="J12" s="2">
        <f ca="1">IFERROR((Tabla3[[#This Row],[Close]]-OFFSET(Tabla3[[#This Row],[Close]],-1,0))/OFFSET(Tabla3[[#This Row],[Close]],-1,0),"")</f>
        <v>-1.6986365409097735E-2</v>
      </c>
      <c r="K12" s="2">
        <f ca="1">IFERROR(AVERAGE(OFFSET(Tabla3[[#This Row],[Close]],-6,0,7)),"")</f>
        <v>1224.5714285714243</v>
      </c>
      <c r="L12" s="2" t="str">
        <f ca="1">IFERROR(_xlfn.STDEV.S(OFFSET(Tabla3[[#This Row],[Close]],-29,0,30)),"")</f>
        <v/>
      </c>
    </row>
    <row r="13" spans="1:12" x14ac:dyDescent="0.3">
      <c r="A13" s="1">
        <v>42423</v>
      </c>
      <c r="B13" s="3">
        <f>YEAR(Tabla3[[#This Row],[Date]])</f>
        <v>2016</v>
      </c>
      <c r="C13" s="1" t="str">
        <f>+TEXT(Tabla3[[#This Row],[Date]],"mmm")</f>
        <v>feb</v>
      </c>
      <c r="D13" s="2">
        <v>1222.30004882812</v>
      </c>
      <c r="E13" s="2">
        <v>1222.30004882812</v>
      </c>
      <c r="F13" s="2">
        <v>1226.09997558593</v>
      </c>
      <c r="G13" s="2">
        <v>1207.40002441406</v>
      </c>
      <c r="H13" s="2">
        <v>1207.40002441406</v>
      </c>
      <c r="I13">
        <v>351</v>
      </c>
      <c r="J13" s="2">
        <f ca="1">IFERROR((Tabla3[[#This Row],[Close]]-OFFSET(Tabla3[[#This Row],[Close]],-1,0))/OFFSET(Tabla3[[#This Row],[Close]],-1,0),"")</f>
        <v>1.0582925860372053E-2</v>
      </c>
      <c r="K13" s="2">
        <f ca="1">IFERROR(AVERAGE(OFFSET(Tabla3[[#This Row],[Close]],-6,0,7)),"")</f>
        <v>1220.9142892020043</v>
      </c>
      <c r="L13" s="2" t="str">
        <f ca="1">IFERROR(_xlfn.STDEV.S(OFFSET(Tabla3[[#This Row],[Close]],-29,0,30)),"")</f>
        <v/>
      </c>
    </row>
    <row r="14" spans="1:12" x14ac:dyDescent="0.3">
      <c r="A14" s="1">
        <v>42424</v>
      </c>
      <c r="B14" s="3">
        <f>YEAR(Tabla3[[#This Row],[Date]])</f>
        <v>2016</v>
      </c>
      <c r="C14" s="1" t="str">
        <f>+TEXT(Tabla3[[#This Row],[Date]],"mmm")</f>
        <v>feb</v>
      </c>
      <c r="D14" s="2">
        <v>1238.69995117187</v>
      </c>
      <c r="E14" s="2">
        <v>1238.69995117187</v>
      </c>
      <c r="F14" s="2">
        <v>1250.09997558593</v>
      </c>
      <c r="G14" s="2">
        <v>1230</v>
      </c>
      <c r="H14" s="2">
        <v>1230</v>
      </c>
      <c r="I14">
        <v>111</v>
      </c>
      <c r="J14" s="2">
        <f ca="1">IFERROR((Tabla3[[#This Row],[Close]]-OFFSET(Tabla3[[#This Row],[Close]],-1,0))/OFFSET(Tabla3[[#This Row],[Close]],-1,0),"")</f>
        <v>1.3417247556746319E-2</v>
      </c>
      <c r="K14" s="2">
        <f ca="1">IFERROR(AVERAGE(OFFSET(Tabla3[[#This Row],[Close]],-6,0,7)),"")</f>
        <v>1220.8571428571383</v>
      </c>
      <c r="L14" s="2" t="str">
        <f ca="1">IFERROR(_xlfn.STDEV.S(OFFSET(Tabla3[[#This Row],[Close]],-29,0,30)),"")</f>
        <v/>
      </c>
    </row>
    <row r="15" spans="1:12" x14ac:dyDescent="0.3">
      <c r="A15" s="1">
        <v>42425</v>
      </c>
      <c r="B15" s="3">
        <f>YEAR(Tabla3[[#This Row],[Date]])</f>
        <v>2016</v>
      </c>
      <c r="C15" s="1" t="str">
        <f>+TEXT(Tabla3[[#This Row],[Date]],"mmm")</f>
        <v>feb</v>
      </c>
      <c r="D15" s="2">
        <v>1238.19995117187</v>
      </c>
      <c r="E15" s="2">
        <v>1238.19995117187</v>
      </c>
      <c r="F15" s="2">
        <v>1241.5</v>
      </c>
      <c r="G15" s="2">
        <v>1235</v>
      </c>
      <c r="H15" s="2">
        <v>1239.40002441406</v>
      </c>
      <c r="I15">
        <v>1349</v>
      </c>
      <c r="J15" s="2">
        <f ca="1">IFERROR((Tabla3[[#This Row],[Close]]-OFFSET(Tabla3[[#This Row],[Close]],-1,0))/OFFSET(Tabla3[[#This Row],[Close]],-1,0),"")</f>
        <v>-4.036490027524227E-4</v>
      </c>
      <c r="K15" s="2">
        <f ca="1">IFERROR(AVERAGE(OFFSET(Tabla3[[#This Row],[Close]],-6,0,7)),"")</f>
        <v>1225.1857038225401</v>
      </c>
      <c r="L15" s="2" t="str">
        <f ca="1">IFERROR(_xlfn.STDEV.S(OFFSET(Tabla3[[#This Row],[Close]],-29,0,30)),"")</f>
        <v/>
      </c>
    </row>
    <row r="16" spans="1:12" x14ac:dyDescent="0.3">
      <c r="A16" s="1">
        <v>42426</v>
      </c>
      <c r="B16" s="3">
        <f>YEAR(Tabla3[[#This Row],[Date]])</f>
        <v>2016</v>
      </c>
      <c r="C16" s="1" t="str">
        <f>+TEXT(Tabla3[[#This Row],[Date]],"mmm")</f>
        <v>feb</v>
      </c>
      <c r="D16" s="2">
        <v>1219.80004882812</v>
      </c>
      <c r="E16" s="2">
        <v>1219.80004882812</v>
      </c>
      <c r="F16" s="2">
        <v>1239.09997558593</v>
      </c>
      <c r="G16" s="2">
        <v>1212.19995117187</v>
      </c>
      <c r="H16" s="2">
        <v>1232.40002441406</v>
      </c>
      <c r="I16">
        <v>656</v>
      </c>
      <c r="J16" s="2">
        <f ca="1">IFERROR((Tabla3[[#This Row],[Close]]-OFFSET(Tabla3[[#This Row],[Close]],-1,0))/OFFSET(Tabla3[[#This Row],[Close]],-1,0),"")</f>
        <v>-1.4860202769621961E-2</v>
      </c>
      <c r="K16" s="2">
        <f ca="1">IFERROR(AVERAGE(OFFSET(Tabla3[[#This Row],[Close]],-6,0,7)),"")</f>
        <v>1226.428571428567</v>
      </c>
      <c r="L16" s="2" t="str">
        <f ca="1">IFERROR(_xlfn.STDEV.S(OFFSET(Tabla3[[#This Row],[Close]],-29,0,30)),"")</f>
        <v/>
      </c>
    </row>
    <row r="17" spans="1:12" x14ac:dyDescent="0.3">
      <c r="A17" s="1">
        <v>42429</v>
      </c>
      <c r="B17" s="3">
        <f>YEAR(Tabla3[[#This Row],[Date]])</f>
        <v>2016</v>
      </c>
      <c r="C17" s="1" t="str">
        <f>+TEXT(Tabla3[[#This Row],[Date]],"mmm")</f>
        <v>feb</v>
      </c>
      <c r="D17" s="2">
        <v>1233.90002441406</v>
      </c>
      <c r="E17" s="2">
        <v>1233.90002441406</v>
      </c>
      <c r="F17" s="2">
        <v>1241</v>
      </c>
      <c r="G17" s="2">
        <v>1218.59997558593</v>
      </c>
      <c r="H17" s="2">
        <v>1218.59997558593</v>
      </c>
      <c r="I17">
        <v>580</v>
      </c>
      <c r="J17" s="2">
        <f ca="1">IFERROR((Tabla3[[#This Row],[Close]]-OFFSET(Tabla3[[#This Row],[Close]],-1,0))/OFFSET(Tabla3[[#This Row],[Close]],-1,0),"")</f>
        <v>1.1559251534287163E-2</v>
      </c>
      <c r="K17" s="2">
        <f ca="1">IFERROR(AVERAGE(OFFSET(Tabla3[[#This Row],[Close]],-6,0,7)),"")</f>
        <v>1227.5428641183</v>
      </c>
      <c r="L17" s="2" t="str">
        <f ca="1">IFERROR(_xlfn.STDEV.S(OFFSET(Tabla3[[#This Row],[Close]],-29,0,30)),"")</f>
        <v/>
      </c>
    </row>
    <row r="18" spans="1:12" x14ac:dyDescent="0.3">
      <c r="A18" s="1">
        <v>42430</v>
      </c>
      <c r="B18" s="3">
        <f>YEAR(Tabla3[[#This Row],[Date]])</f>
        <v>2016</v>
      </c>
      <c r="C18" s="1" t="str">
        <f>+TEXT(Tabla3[[#This Row],[Date]],"mmm")</f>
        <v>mar</v>
      </c>
      <c r="D18" s="2">
        <v>1230.30004882812</v>
      </c>
      <c r="E18" s="2">
        <v>1230.30004882812</v>
      </c>
      <c r="F18" s="2">
        <v>1248.40002441406</v>
      </c>
      <c r="G18" s="2">
        <v>1229</v>
      </c>
      <c r="H18" s="2">
        <v>1240.5</v>
      </c>
      <c r="I18">
        <v>477</v>
      </c>
      <c r="J18" s="2">
        <f ca="1">IFERROR((Tabla3[[#This Row],[Close]]-OFFSET(Tabla3[[#This Row],[Close]],-1,0))/OFFSET(Tabla3[[#This Row],[Close]],-1,0),"")</f>
        <v>-2.9175585660998066E-3</v>
      </c>
      <c r="K18" s="2">
        <f ca="1">IFERROR(AVERAGE(OFFSET(Tabla3[[#This Row],[Close]],-6,0,7)),"")</f>
        <v>1227.5285818917371</v>
      </c>
      <c r="L18" s="2" t="str">
        <f ca="1">IFERROR(_xlfn.STDEV.S(OFFSET(Tabla3[[#This Row],[Close]],-29,0,30)),"")</f>
        <v/>
      </c>
    </row>
    <row r="19" spans="1:12" x14ac:dyDescent="0.3">
      <c r="A19" s="1">
        <v>42431</v>
      </c>
      <c r="B19" s="3">
        <f>YEAR(Tabla3[[#This Row],[Date]])</f>
        <v>2016</v>
      </c>
      <c r="C19" s="1" t="str">
        <f>+TEXT(Tabla3[[#This Row],[Date]],"mmm")</f>
        <v>mar</v>
      </c>
      <c r="D19" s="2">
        <v>1241.09997558593</v>
      </c>
      <c r="E19" s="2">
        <v>1241.09997558593</v>
      </c>
      <c r="F19" s="2">
        <v>1242.59997558593</v>
      </c>
      <c r="G19" s="2">
        <v>1226</v>
      </c>
      <c r="H19" s="2">
        <v>1232.80004882812</v>
      </c>
      <c r="I19">
        <v>267</v>
      </c>
      <c r="J19" s="2">
        <f ca="1">IFERROR((Tabla3[[#This Row],[Close]]-OFFSET(Tabla3[[#This Row],[Close]],-1,0))/OFFSET(Tabla3[[#This Row],[Close]],-1,0),"")</f>
        <v>8.7782868643280134E-3</v>
      </c>
      <c r="K19" s="2">
        <f ca="1">IFERROR(AVERAGE(OFFSET(Tabla3[[#This Row],[Close]],-6,0,7)),"")</f>
        <v>1232.0428641182987</v>
      </c>
      <c r="L19" s="2" t="str">
        <f ca="1">IFERROR(_xlfn.STDEV.S(OFFSET(Tabla3[[#This Row],[Close]],-29,0,30)),"")</f>
        <v/>
      </c>
    </row>
    <row r="20" spans="1:12" x14ac:dyDescent="0.3">
      <c r="A20" s="1">
        <v>42432</v>
      </c>
      <c r="B20" s="3">
        <f>YEAR(Tabla3[[#This Row],[Date]])</f>
        <v>2016</v>
      </c>
      <c r="C20" s="1" t="str">
        <f>+TEXT(Tabla3[[#This Row],[Date]],"mmm")</f>
        <v>mar</v>
      </c>
      <c r="D20" s="2">
        <v>1257.40002441406</v>
      </c>
      <c r="E20" s="2">
        <v>1257.40002441406</v>
      </c>
      <c r="F20" s="2">
        <v>1267.90002441406</v>
      </c>
      <c r="G20" s="2">
        <v>1238</v>
      </c>
      <c r="H20" s="2">
        <v>1238.40002441406</v>
      </c>
      <c r="I20">
        <v>123</v>
      </c>
      <c r="J20" s="2">
        <f ca="1">IFERROR((Tabla3[[#This Row],[Close]]-OFFSET(Tabla3[[#This Row],[Close]],-1,0))/OFFSET(Tabla3[[#This Row],[Close]],-1,0),"")</f>
        <v>1.3133550196417224E-2</v>
      </c>
      <c r="K20" s="2">
        <f ca="1">IFERROR(AVERAGE(OFFSET(Tabla3[[#This Row],[Close]],-6,0,7)),"")</f>
        <v>1237.0571463448616</v>
      </c>
      <c r="L20" s="2" t="str">
        <f ca="1">IFERROR(_xlfn.STDEV.S(OFFSET(Tabla3[[#This Row],[Close]],-29,0,30)),"")</f>
        <v/>
      </c>
    </row>
    <row r="21" spans="1:12" x14ac:dyDescent="0.3">
      <c r="A21" s="1">
        <v>42433</v>
      </c>
      <c r="B21" s="3">
        <f>YEAR(Tabla3[[#This Row],[Date]])</f>
        <v>2016</v>
      </c>
      <c r="C21" s="1" t="str">
        <f>+TEXT(Tabla3[[#This Row],[Date]],"mmm")</f>
        <v>mar</v>
      </c>
      <c r="D21" s="2">
        <v>1269.90002441406</v>
      </c>
      <c r="E21" s="2">
        <v>1269.90002441406</v>
      </c>
      <c r="F21" s="2">
        <v>1279.90002441406</v>
      </c>
      <c r="G21" s="2">
        <v>1250.90002441406</v>
      </c>
      <c r="H21" s="2">
        <v>1263</v>
      </c>
      <c r="I21">
        <v>268</v>
      </c>
      <c r="J21" s="2">
        <f ca="1">IFERROR((Tabla3[[#This Row],[Close]]-OFFSET(Tabla3[[#This Row],[Close]],-1,0))/OFFSET(Tabla3[[#This Row],[Close]],-1,0),"")</f>
        <v>9.9411482084429872E-3</v>
      </c>
      <c r="K21" s="2">
        <f ca="1">IFERROR(AVERAGE(OFFSET(Tabla3[[#This Row],[Close]],-6,0,7)),"")</f>
        <v>1241.5142996651741</v>
      </c>
      <c r="L21" s="2" t="str">
        <f ca="1">IFERROR(_xlfn.STDEV.S(OFFSET(Tabla3[[#This Row],[Close]],-29,0,30)),"")</f>
        <v/>
      </c>
    </row>
    <row r="22" spans="1:12" x14ac:dyDescent="0.3">
      <c r="A22" s="1">
        <v>42436</v>
      </c>
      <c r="B22" s="3">
        <f>YEAR(Tabla3[[#This Row],[Date]])</f>
        <v>2016</v>
      </c>
      <c r="C22" s="1" t="str">
        <f>+TEXT(Tabla3[[#This Row],[Date]],"mmm")</f>
        <v>mar</v>
      </c>
      <c r="D22" s="2">
        <v>1263.19995117187</v>
      </c>
      <c r="E22" s="2">
        <v>1263.19995117187</v>
      </c>
      <c r="F22" s="2">
        <v>1272.30004882812</v>
      </c>
      <c r="G22" s="2">
        <v>1259.69995117187</v>
      </c>
      <c r="H22" s="2">
        <v>1259.80004882812</v>
      </c>
      <c r="I22">
        <v>67</v>
      </c>
      <c r="J22" s="2">
        <f ca="1">IFERROR((Tabla3[[#This Row],[Close]]-OFFSET(Tabla3[[#This Row],[Close]],-1,0))/OFFSET(Tabla3[[#This Row],[Close]],-1,0),"")</f>
        <v>-5.2760635588470503E-3</v>
      </c>
      <c r="K22" s="2">
        <f ca="1">IFERROR(AVERAGE(OFFSET(Tabla3[[#This Row],[Close]],-6,0,7)),"")</f>
        <v>1245.0857282366028</v>
      </c>
      <c r="L22" s="2" t="str">
        <f ca="1">IFERROR(_xlfn.STDEV.S(OFFSET(Tabla3[[#This Row],[Close]],-29,0,30)),"")</f>
        <v/>
      </c>
    </row>
    <row r="23" spans="1:12" x14ac:dyDescent="0.3">
      <c r="A23" s="1">
        <v>42437</v>
      </c>
      <c r="B23" s="3">
        <f>YEAR(Tabla3[[#This Row],[Date]])</f>
        <v>2016</v>
      </c>
      <c r="C23" s="1" t="str">
        <f>+TEXT(Tabla3[[#This Row],[Date]],"mmm")</f>
        <v>mar</v>
      </c>
      <c r="D23" s="2">
        <v>1262.09997558593</v>
      </c>
      <c r="E23" s="2">
        <v>1262.09997558593</v>
      </c>
      <c r="F23" s="2">
        <v>1276.30004882812</v>
      </c>
      <c r="G23" s="2">
        <v>1261</v>
      </c>
      <c r="H23" s="2">
        <v>1268.69995117187</v>
      </c>
      <c r="I23">
        <v>43</v>
      </c>
      <c r="J23" s="2">
        <f ca="1">IFERROR((Tabla3[[#This Row],[Close]]-OFFSET(Tabla3[[#This Row],[Close]],-1,0))/OFFSET(Tabla3[[#This Row],[Close]],-1,0),"")</f>
        <v>-8.7078501302945296E-4</v>
      </c>
      <c r="K23" s="2">
        <f ca="1">IFERROR(AVERAGE(OFFSET(Tabla3[[#This Row],[Close]],-6,0,7)),"")</f>
        <v>1251.1285749162901</v>
      </c>
      <c r="L23" s="2" t="str">
        <f ca="1">IFERROR(_xlfn.STDEV.S(OFFSET(Tabla3[[#This Row],[Close]],-29,0,30)),"")</f>
        <v/>
      </c>
    </row>
    <row r="24" spans="1:12" x14ac:dyDescent="0.3">
      <c r="A24" s="1">
        <v>42438</v>
      </c>
      <c r="B24" s="3">
        <f>YEAR(Tabla3[[#This Row],[Date]])</f>
        <v>2016</v>
      </c>
      <c r="C24" s="1" t="str">
        <f>+TEXT(Tabla3[[#This Row],[Date]],"mmm")</f>
        <v>mar</v>
      </c>
      <c r="D24" s="2">
        <v>1256.59997558593</v>
      </c>
      <c r="E24" s="2">
        <v>1256.59997558593</v>
      </c>
      <c r="F24" s="2">
        <v>1260</v>
      </c>
      <c r="G24" s="2">
        <v>1244.80004882812</v>
      </c>
      <c r="H24" s="2">
        <v>1254.5</v>
      </c>
      <c r="I24">
        <v>79</v>
      </c>
      <c r="J24" s="2">
        <f ca="1">IFERROR((Tabla3[[#This Row],[Close]]-OFFSET(Tabla3[[#This Row],[Close]],-1,0))/OFFSET(Tabla3[[#This Row],[Close]],-1,0),"")</f>
        <v>-4.357816422147243E-3</v>
      </c>
      <c r="K24" s="2">
        <f ca="1">IFERROR(AVERAGE(OFFSET(Tabla3[[#This Row],[Close]],-6,0,7)),"")</f>
        <v>1254.3714250836999</v>
      </c>
      <c r="L24" s="2" t="str">
        <f ca="1">IFERROR(_xlfn.STDEV.S(OFFSET(Tabla3[[#This Row],[Close]],-29,0,30)),"")</f>
        <v/>
      </c>
    </row>
    <row r="25" spans="1:12" x14ac:dyDescent="0.3">
      <c r="A25" s="1">
        <v>42439</v>
      </c>
      <c r="B25" s="3">
        <f>YEAR(Tabla3[[#This Row],[Date]])</f>
        <v>2016</v>
      </c>
      <c r="C25" s="1" t="str">
        <f>+TEXT(Tabla3[[#This Row],[Date]],"mmm")</f>
        <v>mar</v>
      </c>
      <c r="D25" s="2">
        <v>1272</v>
      </c>
      <c r="E25" s="2">
        <v>1272</v>
      </c>
      <c r="F25" s="2">
        <v>1273</v>
      </c>
      <c r="G25" s="2">
        <v>1237.5</v>
      </c>
      <c r="H25" s="2">
        <v>1250</v>
      </c>
      <c r="I25">
        <v>119</v>
      </c>
      <c r="J25" s="2">
        <f ca="1">IFERROR((Tabla3[[#This Row],[Close]]-OFFSET(Tabla3[[#This Row],[Close]],-1,0))/OFFSET(Tabla3[[#This Row],[Close]],-1,0),"")</f>
        <v>1.2255311724711159E-2</v>
      </c>
      <c r="K25" s="2">
        <f ca="1">IFERROR(AVERAGE(OFFSET(Tabla3[[#This Row],[Close]],-6,0,7)),"")</f>
        <v>1260.3285609653972</v>
      </c>
      <c r="L25" s="2" t="str">
        <f ca="1">IFERROR(_xlfn.STDEV.S(OFFSET(Tabla3[[#This Row],[Close]],-29,0,30)),"")</f>
        <v/>
      </c>
    </row>
    <row r="26" spans="1:12" x14ac:dyDescent="0.3">
      <c r="A26" s="1">
        <v>42440</v>
      </c>
      <c r="B26" s="3">
        <f>YEAR(Tabla3[[#This Row],[Date]])</f>
        <v>2016</v>
      </c>
      <c r="C26" s="1" t="str">
        <f>+TEXT(Tabla3[[#This Row],[Date]],"mmm")</f>
        <v>mar</v>
      </c>
      <c r="D26" s="2">
        <v>1258.69995117187</v>
      </c>
      <c r="E26" s="2">
        <v>1258.69995117187</v>
      </c>
      <c r="F26" s="2">
        <v>1280.69995117187</v>
      </c>
      <c r="G26" s="2">
        <v>1249.40002441406</v>
      </c>
      <c r="H26" s="2">
        <v>1270</v>
      </c>
      <c r="I26">
        <v>87</v>
      </c>
      <c r="J26" s="2">
        <f ca="1">IFERROR((Tabla3[[#This Row],[Close]]-OFFSET(Tabla3[[#This Row],[Close]],-1,0))/OFFSET(Tabla3[[#This Row],[Close]],-1,0),"")</f>
        <v>-1.0456013229661951E-2</v>
      </c>
      <c r="K26" s="2">
        <f ca="1">IFERROR(AVERAGE(OFFSET(Tabla3[[#This Row],[Close]],-6,0,7)),"")</f>
        <v>1262.8428431919601</v>
      </c>
      <c r="L26" s="2" t="str">
        <f ca="1">IFERROR(_xlfn.STDEV.S(OFFSET(Tabla3[[#This Row],[Close]],-29,0,30)),"")</f>
        <v/>
      </c>
    </row>
    <row r="27" spans="1:12" x14ac:dyDescent="0.3">
      <c r="A27" s="1">
        <v>42443</v>
      </c>
      <c r="B27" s="3">
        <f>YEAR(Tabla3[[#This Row],[Date]])</f>
        <v>2016</v>
      </c>
      <c r="C27" s="1" t="str">
        <f>+TEXT(Tabla3[[#This Row],[Date]],"mmm")</f>
        <v>mar</v>
      </c>
      <c r="D27" s="2">
        <v>1244.40002441406</v>
      </c>
      <c r="E27" s="2">
        <v>1244.40002441406</v>
      </c>
      <c r="F27" s="2">
        <v>1258</v>
      </c>
      <c r="G27" s="2">
        <v>1234.5</v>
      </c>
      <c r="H27" s="2">
        <v>1256</v>
      </c>
      <c r="I27">
        <v>58</v>
      </c>
      <c r="J27" s="2">
        <f ca="1">IFERROR((Tabla3[[#This Row],[Close]]-OFFSET(Tabla3[[#This Row],[Close]],-1,0))/OFFSET(Tabla3[[#This Row],[Close]],-1,0),"")</f>
        <v>-1.1360870193485379E-2</v>
      </c>
      <c r="K27" s="2">
        <f ca="1">IFERROR(AVERAGE(OFFSET(Tabla3[[#This Row],[Close]],-6,0,7)),"")</f>
        <v>1260.9857003348172</v>
      </c>
      <c r="L27" s="2" t="str">
        <f ca="1">IFERROR(_xlfn.STDEV.S(OFFSET(Tabla3[[#This Row],[Close]],-29,0,30)),"")</f>
        <v/>
      </c>
    </row>
    <row r="28" spans="1:12" x14ac:dyDescent="0.3">
      <c r="A28" s="1">
        <v>42444</v>
      </c>
      <c r="B28" s="3">
        <f>YEAR(Tabla3[[#This Row],[Date]])</f>
        <v>2016</v>
      </c>
      <c r="C28" s="1" t="str">
        <f>+TEXT(Tabla3[[#This Row],[Date]],"mmm")</f>
        <v>mar</v>
      </c>
      <c r="D28" s="2">
        <v>1230.40002441406</v>
      </c>
      <c r="E28" s="2">
        <v>1230.40002441406</v>
      </c>
      <c r="F28" s="2">
        <v>1236</v>
      </c>
      <c r="G28" s="2">
        <v>1228</v>
      </c>
      <c r="H28" s="2">
        <v>1228.30004882812</v>
      </c>
      <c r="I28">
        <v>37</v>
      </c>
      <c r="J28" s="2">
        <f ca="1">IFERROR((Tabla3[[#This Row],[Close]]-OFFSET(Tabla3[[#This Row],[Close]],-1,0))/OFFSET(Tabla3[[#This Row],[Close]],-1,0),"")</f>
        <v>-1.1250401579341065E-2</v>
      </c>
      <c r="K28" s="2">
        <f ca="1">IFERROR(AVERAGE(OFFSET(Tabla3[[#This Row],[Close]],-6,0,7)),"")</f>
        <v>1255.3428431919599</v>
      </c>
      <c r="L28" s="2" t="str">
        <f ca="1">IFERROR(_xlfn.STDEV.S(OFFSET(Tabla3[[#This Row],[Close]],-29,0,30)),"")</f>
        <v/>
      </c>
    </row>
    <row r="29" spans="1:12" x14ac:dyDescent="0.3">
      <c r="A29" s="1">
        <v>42445</v>
      </c>
      <c r="B29" s="3">
        <f>YEAR(Tabla3[[#This Row],[Date]])</f>
        <v>2016</v>
      </c>
      <c r="C29" s="1" t="str">
        <f>+TEXT(Tabla3[[#This Row],[Date]],"mmm")</f>
        <v>mar</v>
      </c>
      <c r="D29" s="2">
        <v>1229.30004882812</v>
      </c>
      <c r="E29" s="2">
        <v>1229.30004882812</v>
      </c>
      <c r="F29" s="2">
        <v>1263.80004882812</v>
      </c>
      <c r="G29" s="2">
        <v>1228.90002441406</v>
      </c>
      <c r="H29" s="2">
        <v>1229.5</v>
      </c>
      <c r="I29">
        <v>45</v>
      </c>
      <c r="J29" s="2">
        <f ca="1">IFERROR((Tabla3[[#This Row],[Close]]-OFFSET(Tabla3[[#This Row],[Close]],-1,0))/OFFSET(Tabla3[[#This Row],[Close]],-1,0),"")</f>
        <v>-8.9399834534612476E-4</v>
      </c>
      <c r="K29" s="2">
        <f ca="1">IFERROR(AVERAGE(OFFSET(Tabla3[[#This Row],[Close]],-6,0,7)),"")</f>
        <v>1250.4999999999957</v>
      </c>
      <c r="L29" s="2" t="str">
        <f ca="1">IFERROR(_xlfn.STDEV.S(OFFSET(Tabla3[[#This Row],[Close]],-29,0,30)),"")</f>
        <v/>
      </c>
    </row>
    <row r="30" spans="1:12" x14ac:dyDescent="0.3">
      <c r="A30" s="1">
        <v>42446</v>
      </c>
      <c r="B30" s="3">
        <f>YEAR(Tabla3[[#This Row],[Date]])</f>
        <v>2016</v>
      </c>
      <c r="C30" s="1" t="str">
        <f>+TEXT(Tabla3[[#This Row],[Date]],"mmm")</f>
        <v>mar</v>
      </c>
      <c r="D30" s="2">
        <v>1264.5</v>
      </c>
      <c r="E30" s="2">
        <v>1264.5</v>
      </c>
      <c r="F30" s="2">
        <v>1270.09997558593</v>
      </c>
      <c r="G30" s="2">
        <v>1255.90002441406</v>
      </c>
      <c r="H30" s="2">
        <v>1261.5</v>
      </c>
      <c r="I30">
        <v>27</v>
      </c>
      <c r="J30" s="2">
        <f ca="1">IFERROR((Tabla3[[#This Row],[Close]]-OFFSET(Tabla3[[#This Row],[Close]],-1,0))/OFFSET(Tabla3[[#This Row],[Close]],-1,0),"")</f>
        <v>2.8634141197208751E-2</v>
      </c>
      <c r="K30" s="2">
        <f ca="1">IFERROR(AVERAGE(OFFSET(Tabla3[[#This Row],[Close]],-6,0,7)),"")</f>
        <v>1250.8428606305772</v>
      </c>
      <c r="L30" s="2">
        <f ca="1">IFERROR(_xlfn.STDEV.S(OFFSET(Tabla3[[#This Row],[Close]],-29,0,30)),"")</f>
        <v>26.406471174691497</v>
      </c>
    </row>
    <row r="31" spans="1:12" x14ac:dyDescent="0.3">
      <c r="A31" s="1">
        <v>42447</v>
      </c>
      <c r="B31" s="3">
        <f>YEAR(Tabla3[[#This Row],[Date]])</f>
        <v>2016</v>
      </c>
      <c r="C31" s="1" t="str">
        <f>+TEXT(Tabla3[[#This Row],[Date]],"mmm")</f>
        <v>mar</v>
      </c>
      <c r="D31" s="2">
        <v>1253.80004882812</v>
      </c>
      <c r="E31" s="2">
        <v>1253.80004882812</v>
      </c>
      <c r="F31" s="2">
        <v>1264.40002441406</v>
      </c>
      <c r="G31" s="2">
        <v>1251.5</v>
      </c>
      <c r="H31" s="2">
        <v>1257.09997558593</v>
      </c>
      <c r="I31">
        <v>542</v>
      </c>
      <c r="J31" s="2">
        <f ca="1">IFERROR((Tabla3[[#This Row],[Close]]-OFFSET(Tabla3[[#This Row],[Close]],-1,0))/OFFSET(Tabla3[[#This Row],[Close]],-1,0),"")</f>
        <v>-8.4618040109766725E-3</v>
      </c>
      <c r="K31" s="2">
        <f ca="1">IFERROR(AVERAGE(OFFSET(Tabla3[[#This Row],[Close]],-6,0,7)),"")</f>
        <v>1250.442871093747</v>
      </c>
      <c r="L31" s="2">
        <f ca="1">IFERROR(_xlfn.STDEV.S(OFFSET(Tabla3[[#This Row],[Close]],-29,0,30)),"")</f>
        <v>26.226453134266183</v>
      </c>
    </row>
    <row r="32" spans="1:12" x14ac:dyDescent="0.3">
      <c r="A32" s="1">
        <v>42450</v>
      </c>
      <c r="B32" s="3">
        <f>YEAR(Tabla3[[#This Row],[Date]])</f>
        <v>2016</v>
      </c>
      <c r="C32" s="1" t="str">
        <f>+TEXT(Tabla3[[#This Row],[Date]],"mmm")</f>
        <v>mar</v>
      </c>
      <c r="D32" s="2">
        <v>1243.80004882812</v>
      </c>
      <c r="E32" s="2">
        <v>1243.80004882812</v>
      </c>
      <c r="F32" s="2">
        <v>1256.19995117187</v>
      </c>
      <c r="G32" s="2">
        <v>1243.40002441406</v>
      </c>
      <c r="H32" s="2">
        <v>1256.19995117187</v>
      </c>
      <c r="I32">
        <v>1061</v>
      </c>
      <c r="J32" s="2">
        <f ca="1">IFERROR((Tabla3[[#This Row],[Close]]-OFFSET(Tabla3[[#This Row],[Close]],-1,0))/OFFSET(Tabla3[[#This Row],[Close]],-1,0),"")</f>
        <v>-7.9757533981168888E-3</v>
      </c>
      <c r="K32" s="2">
        <f ca="1">IFERROR(AVERAGE(OFFSET(Tabla3[[#This Row],[Close]],-6,0,7)),"")</f>
        <v>1246.4143066406214</v>
      </c>
      <c r="L32" s="2">
        <f ca="1">IFERROR(_xlfn.STDEV.S(OFFSET(Tabla3[[#This Row],[Close]],-29,0,30)),"")</f>
        <v>22.019249510601902</v>
      </c>
    </row>
    <row r="33" spans="1:12" x14ac:dyDescent="0.3">
      <c r="A33" s="1">
        <v>42451</v>
      </c>
      <c r="B33" s="3">
        <f>YEAR(Tabla3[[#This Row],[Date]])</f>
        <v>2016</v>
      </c>
      <c r="C33" s="1" t="str">
        <f>+TEXT(Tabla3[[#This Row],[Date]],"mmm")</f>
        <v>mar</v>
      </c>
      <c r="D33" s="2">
        <v>1248.19995117187</v>
      </c>
      <c r="E33" s="2">
        <v>1248.19995117187</v>
      </c>
      <c r="F33" s="2">
        <v>1252.40002441406</v>
      </c>
      <c r="G33" s="2">
        <v>1243.80004882812</v>
      </c>
      <c r="H33" s="2">
        <v>1244</v>
      </c>
      <c r="I33">
        <v>20</v>
      </c>
      <c r="J33" s="2">
        <f ca="1">IFERROR((Tabla3[[#This Row],[Close]]-OFFSET(Tabla3[[#This Row],[Close]],-1,0))/OFFSET(Tabla3[[#This Row],[Close]],-1,0),"")</f>
        <v>3.5374675759946204E-3</v>
      </c>
      <c r="K33" s="2">
        <f ca="1">IFERROR(AVERAGE(OFFSET(Tabla3[[#This Row],[Close]],-6,0,7)),"")</f>
        <v>1244.9143066406214</v>
      </c>
      <c r="L33" s="2">
        <f ca="1">IFERROR(_xlfn.STDEV.S(OFFSET(Tabla3[[#This Row],[Close]],-29,0,30)),"")</f>
        <v>20.867006507664165</v>
      </c>
    </row>
    <row r="34" spans="1:12" x14ac:dyDescent="0.3">
      <c r="A34" s="1">
        <v>42452</v>
      </c>
      <c r="B34" s="3">
        <f>YEAR(Tabla3[[#This Row],[Date]])</f>
        <v>2016</v>
      </c>
      <c r="C34" s="1" t="str">
        <f>+TEXT(Tabla3[[#This Row],[Date]],"mmm")</f>
        <v>mar</v>
      </c>
      <c r="D34" s="2">
        <v>1223.69995117187</v>
      </c>
      <c r="E34" s="2">
        <v>1223.69995117187</v>
      </c>
      <c r="F34" s="2">
        <v>1247.69995117187</v>
      </c>
      <c r="G34" s="2">
        <v>1218.59997558593</v>
      </c>
      <c r="H34" s="2">
        <v>1247.69995117187</v>
      </c>
      <c r="I34">
        <v>28</v>
      </c>
      <c r="J34" s="2">
        <f ca="1">IFERROR((Tabla3[[#This Row],[Close]]-OFFSET(Tabla3[[#This Row],[Close]],-1,0))/OFFSET(Tabla3[[#This Row],[Close]],-1,0),"")</f>
        <v>-1.9628265469004567E-2</v>
      </c>
      <c r="K34" s="2">
        <f ca="1">IFERROR(AVERAGE(OFFSET(Tabla3[[#This Row],[Close]],-6,0,7)),"")</f>
        <v>1241.9571533203084</v>
      </c>
      <c r="L34" s="2">
        <f ca="1">IFERROR(_xlfn.STDEV.S(OFFSET(Tabla3[[#This Row],[Close]],-29,0,30)),"")</f>
        <v>19.704738110177509</v>
      </c>
    </row>
    <row r="35" spans="1:12" x14ac:dyDescent="0.3">
      <c r="A35" s="1">
        <v>42453</v>
      </c>
      <c r="B35" s="3">
        <f>YEAR(Tabla3[[#This Row],[Date]])</f>
        <v>2016</v>
      </c>
      <c r="C35" s="1" t="str">
        <f>+TEXT(Tabla3[[#This Row],[Date]],"mmm")</f>
        <v>mar</v>
      </c>
      <c r="D35" s="2">
        <v>1221.40002441406</v>
      </c>
      <c r="E35" s="2">
        <v>1221.40002441406</v>
      </c>
      <c r="F35" s="2">
        <v>1221.40002441406</v>
      </c>
      <c r="G35" s="2">
        <v>1214.19995117187</v>
      </c>
      <c r="H35" s="2">
        <v>1214.19995117187</v>
      </c>
      <c r="I35">
        <v>13</v>
      </c>
      <c r="J35" s="2">
        <f ca="1">IFERROR((Tabla3[[#This Row],[Close]]-OFFSET(Tabla3[[#This Row],[Close]],-1,0))/OFFSET(Tabla3[[#This Row],[Close]],-1,0),"")</f>
        <v>-1.8794858622062426E-3</v>
      </c>
      <c r="K35" s="2">
        <f ca="1">IFERROR(AVERAGE(OFFSET(Tabla3[[#This Row],[Close]],-6,0,7)),"")</f>
        <v>1240.6714390345944</v>
      </c>
      <c r="L35" s="2">
        <f ca="1">IFERROR(_xlfn.STDEV.S(OFFSET(Tabla3[[#This Row],[Close]],-29,0,30)),"")</f>
        <v>18.180423447035974</v>
      </c>
    </row>
    <row r="36" spans="1:12" x14ac:dyDescent="0.3">
      <c r="A36" s="1">
        <v>42457</v>
      </c>
      <c r="B36" s="3">
        <f>YEAR(Tabla3[[#This Row],[Date]])</f>
        <v>2016</v>
      </c>
      <c r="C36" s="1" t="str">
        <f>+TEXT(Tabla3[[#This Row],[Date]],"mmm")</f>
        <v>mar</v>
      </c>
      <c r="D36" s="2">
        <v>1219.90002441406</v>
      </c>
      <c r="E36" s="2">
        <v>1219.90002441406</v>
      </c>
      <c r="F36" s="2">
        <v>1222.19995117187</v>
      </c>
      <c r="G36" s="2">
        <v>1210</v>
      </c>
      <c r="H36" s="2">
        <v>1211.5</v>
      </c>
      <c r="I36">
        <v>33</v>
      </c>
      <c r="J36" s="2">
        <f ca="1">IFERROR((Tabla3[[#This Row],[Close]]-OFFSET(Tabla3[[#This Row],[Close]],-1,0))/OFFSET(Tabla3[[#This Row],[Close]],-1,0),"")</f>
        <v>-1.2280988783503523E-3</v>
      </c>
      <c r="K36" s="2">
        <f ca="1">IFERROR(AVERAGE(OFFSET(Tabla3[[#This Row],[Close]],-6,0,7)),"")</f>
        <v>1239.3285784040143</v>
      </c>
      <c r="L36" s="2">
        <f ca="1">IFERROR(_xlfn.STDEV.S(OFFSET(Tabla3[[#This Row],[Close]],-29,0,30)),"")</f>
        <v>18.469681469747115</v>
      </c>
    </row>
    <row r="37" spans="1:12" x14ac:dyDescent="0.3">
      <c r="A37" s="1">
        <v>42458</v>
      </c>
      <c r="B37" s="3">
        <f>YEAR(Tabla3[[#This Row],[Date]])</f>
        <v>2016</v>
      </c>
      <c r="C37" s="1" t="str">
        <f>+TEXT(Tabla3[[#This Row],[Date]],"mmm")</f>
        <v>mar</v>
      </c>
      <c r="D37" s="2">
        <v>1235.59997558593</v>
      </c>
      <c r="E37" s="2">
        <v>1235.59997558593</v>
      </c>
      <c r="F37" s="2">
        <v>1235.59997558593</v>
      </c>
      <c r="G37" s="2">
        <v>1217.69995117187</v>
      </c>
      <c r="H37" s="2">
        <v>1217.80004882812</v>
      </c>
      <c r="I37">
        <v>189732</v>
      </c>
      <c r="J37" s="2">
        <f ca="1">IFERROR((Tabla3[[#This Row],[Close]]-OFFSET(Tabla3[[#This Row],[Close]],-1,0))/OFFSET(Tabla3[[#This Row],[Close]],-1,0),"")</f>
        <v>1.2869867085551512E-2</v>
      </c>
      <c r="K37" s="2">
        <f ca="1">IFERROR(AVERAGE(OFFSET(Tabla3[[#This Row],[Close]],-6,0,7)),"")</f>
        <v>1235.2000034877185</v>
      </c>
      <c r="L37" s="2">
        <f ca="1">IFERROR(_xlfn.STDEV.S(OFFSET(Tabla3[[#This Row],[Close]],-29,0,30)),"")</f>
        <v>18.479578721698381</v>
      </c>
    </row>
    <row r="38" spans="1:12" x14ac:dyDescent="0.3">
      <c r="A38" s="1">
        <v>42459</v>
      </c>
      <c r="B38" s="3">
        <f>YEAR(Tabla3[[#This Row],[Date]])</f>
        <v>2016</v>
      </c>
      <c r="C38" s="1" t="str">
        <f>+TEXT(Tabla3[[#This Row],[Date]],"mmm")</f>
        <v>mar</v>
      </c>
      <c r="D38" s="2">
        <v>1226.90002441406</v>
      </c>
      <c r="E38" s="2">
        <v>1226.90002441406</v>
      </c>
      <c r="F38" s="2">
        <v>1245</v>
      </c>
      <c r="G38" s="2">
        <v>1223.40002441406</v>
      </c>
      <c r="H38" s="2">
        <v>1241.40002441406</v>
      </c>
      <c r="I38">
        <v>48248</v>
      </c>
      <c r="J38" s="2">
        <f ca="1">IFERROR((Tabla3[[#This Row],[Close]]-OFFSET(Tabla3[[#This Row],[Close]],-1,0))/OFFSET(Tabla3[[#This Row],[Close]],-1,0),"")</f>
        <v>-7.0410742503814157E-3</v>
      </c>
      <c r="K38" s="2">
        <f ca="1">IFERROR(AVERAGE(OFFSET(Tabla3[[#This Row],[Close]],-6,0,7)),"")</f>
        <v>1231.3571428571388</v>
      </c>
      <c r="L38" s="2">
        <f ca="1">IFERROR(_xlfn.STDEV.S(OFFSET(Tabla3[[#This Row],[Close]],-29,0,30)),"")</f>
        <v>17.692648220431614</v>
      </c>
    </row>
    <row r="39" spans="1:12" x14ac:dyDescent="0.3">
      <c r="A39" s="1">
        <v>42460</v>
      </c>
      <c r="B39" s="3">
        <f>YEAR(Tabla3[[#This Row],[Date]])</f>
        <v>2016</v>
      </c>
      <c r="C39" s="1" t="str">
        <f>+TEXT(Tabla3[[#This Row],[Date]],"mmm")</f>
        <v>mar</v>
      </c>
      <c r="D39" s="2">
        <v>1234.19995117187</v>
      </c>
      <c r="E39" s="2">
        <v>1234.19995117187</v>
      </c>
      <c r="F39" s="2">
        <v>1239.59997558593</v>
      </c>
      <c r="G39" s="2">
        <v>1224.5</v>
      </c>
      <c r="H39" s="2">
        <v>1225.59997558593</v>
      </c>
      <c r="I39">
        <v>3377</v>
      </c>
      <c r="J39" s="2">
        <f ca="1">IFERROR((Tabla3[[#This Row],[Close]]-OFFSET(Tabla3[[#This Row],[Close]],-1,0))/OFFSET(Tabla3[[#This Row],[Close]],-1,0),"")</f>
        <v>5.9498953562221015E-3</v>
      </c>
      <c r="K39" s="2">
        <f ca="1">IFERROR(AVERAGE(OFFSET(Tabla3[[#This Row],[Close]],-6,0,7)),"")</f>
        <v>1229.985700334817</v>
      </c>
      <c r="L39" s="2">
        <f ca="1">IFERROR(_xlfn.STDEV.S(OFFSET(Tabla3[[#This Row],[Close]],-29,0,30)),"")</f>
        <v>16.901722298734263</v>
      </c>
    </row>
    <row r="40" spans="1:12" x14ac:dyDescent="0.3">
      <c r="A40" s="1">
        <v>42461</v>
      </c>
      <c r="B40" s="3">
        <f>YEAR(Tabla3[[#This Row],[Date]])</f>
        <v>2016</v>
      </c>
      <c r="C40" s="1" t="str">
        <f>+TEXT(Tabla3[[#This Row],[Date]],"mmm")</f>
        <v>abr</v>
      </c>
      <c r="D40" s="2">
        <v>1222.19995117187</v>
      </c>
      <c r="E40" s="2">
        <v>1222.19995117187</v>
      </c>
      <c r="F40" s="2">
        <v>1235.19995117187</v>
      </c>
      <c r="G40" s="2">
        <v>1209.19995117187</v>
      </c>
      <c r="H40" s="2">
        <v>1232.30004882812</v>
      </c>
      <c r="I40">
        <v>1602</v>
      </c>
      <c r="J40" s="2">
        <f ca="1">IFERROR((Tabla3[[#This Row],[Close]]-OFFSET(Tabla3[[#This Row],[Close]],-1,0))/OFFSET(Tabla3[[#This Row],[Close]],-1,0),"")</f>
        <v>-9.7228978080950556E-3</v>
      </c>
      <c r="K40" s="2">
        <f ca="1">IFERROR(AVERAGE(OFFSET(Tabla3[[#This Row],[Close]],-6,0,7)),"")</f>
        <v>1226.2714146205312</v>
      </c>
      <c r="L40" s="2">
        <f ca="1">IFERROR(_xlfn.STDEV.S(OFFSET(Tabla3[[#This Row],[Close]],-29,0,30)),"")</f>
        <v>17.028516001732019</v>
      </c>
    </row>
    <row r="41" spans="1:12" x14ac:dyDescent="0.3">
      <c r="A41" s="1">
        <v>42464</v>
      </c>
      <c r="B41" s="3">
        <f>YEAR(Tabla3[[#This Row],[Date]])</f>
        <v>2016</v>
      </c>
      <c r="C41" s="1" t="str">
        <f>+TEXT(Tabla3[[#This Row],[Date]],"mmm")</f>
        <v>abr</v>
      </c>
      <c r="D41" s="2">
        <v>1218</v>
      </c>
      <c r="E41" s="2">
        <v>1218</v>
      </c>
      <c r="F41" s="2">
        <v>1222.30004882812</v>
      </c>
      <c r="G41" s="2">
        <v>1215</v>
      </c>
      <c r="H41" s="2">
        <v>1221.69995117187</v>
      </c>
      <c r="I41">
        <v>2038</v>
      </c>
      <c r="J41" s="2">
        <f ca="1">IFERROR((Tabla3[[#This Row],[Close]]-OFFSET(Tabla3[[#This Row],[Close]],-1,0))/OFFSET(Tabla3[[#This Row],[Close]],-1,0),"")</f>
        <v>-3.4363863031110415E-3</v>
      </c>
      <c r="K41" s="2">
        <f ca="1">IFERROR(AVERAGE(OFFSET(Tabla3[[#This Row],[Close]],-6,0,7)),"")</f>
        <v>1225.4571358816927</v>
      </c>
      <c r="L41" s="2">
        <f ca="1">IFERROR(_xlfn.STDEV.S(OFFSET(Tabla3[[#This Row],[Close]],-29,0,30)),"")</f>
        <v>17.417628306361355</v>
      </c>
    </row>
    <row r="42" spans="1:12" x14ac:dyDescent="0.3">
      <c r="A42" s="1">
        <v>42465</v>
      </c>
      <c r="B42" s="3">
        <f>YEAR(Tabla3[[#This Row],[Date]])</f>
        <v>2016</v>
      </c>
      <c r="C42" s="1" t="str">
        <f>+TEXT(Tabla3[[#This Row],[Date]],"mmm")</f>
        <v>abr</v>
      </c>
      <c r="D42" s="2">
        <v>1228.40002441406</v>
      </c>
      <c r="E42" s="2">
        <v>1228.40002441406</v>
      </c>
      <c r="F42" s="2">
        <v>1236.69995117187</v>
      </c>
      <c r="G42" s="2">
        <v>1215.40002441406</v>
      </c>
      <c r="H42" s="2">
        <v>1215.40002441406</v>
      </c>
      <c r="I42">
        <v>477</v>
      </c>
      <c r="J42" s="2">
        <f ca="1">IFERROR((Tabla3[[#This Row],[Close]]-OFFSET(Tabla3[[#This Row],[Close]],-1,0))/OFFSET(Tabla3[[#This Row],[Close]],-1,0),"")</f>
        <v>8.5386078933169119E-3</v>
      </c>
      <c r="K42" s="2">
        <f ca="1">IFERROR(AVERAGE(OFFSET(Tabla3[[#This Row],[Close]],-6,0,7)),"")</f>
        <v>1226.4571358816927</v>
      </c>
      <c r="L42" s="2">
        <f ca="1">IFERROR(_xlfn.STDEV.S(OFFSET(Tabla3[[#This Row],[Close]],-29,0,30)),"")</f>
        <v>16.612045814187336</v>
      </c>
    </row>
    <row r="43" spans="1:12" x14ac:dyDescent="0.3">
      <c r="A43" s="1">
        <v>42466</v>
      </c>
      <c r="B43" s="3">
        <f>YEAR(Tabla3[[#This Row],[Date]])</f>
        <v>2016</v>
      </c>
      <c r="C43" s="1" t="str">
        <f>+TEXT(Tabla3[[#This Row],[Date]],"mmm")</f>
        <v>abr</v>
      </c>
      <c r="D43" s="2">
        <v>1222.5</v>
      </c>
      <c r="E43" s="2">
        <v>1222.5</v>
      </c>
      <c r="F43" s="2">
        <v>1230.40002441406</v>
      </c>
      <c r="G43" s="2">
        <v>1217.59997558593</v>
      </c>
      <c r="H43" s="2">
        <v>1230.40002441406</v>
      </c>
      <c r="I43">
        <v>248</v>
      </c>
      <c r="J43" s="2">
        <f ca="1">IFERROR((Tabla3[[#This Row],[Close]]-OFFSET(Tabla3[[#This Row],[Close]],-1,0))/OFFSET(Tabla3[[#This Row],[Close]],-1,0),"")</f>
        <v>-4.8030155460752925E-3</v>
      </c>
      <c r="K43" s="2">
        <f ca="1">IFERROR(AVERAGE(OFFSET(Tabla3[[#This Row],[Close]],-6,0,7)),"")</f>
        <v>1226.8285609653988</v>
      </c>
      <c r="L43" s="2">
        <f ca="1">IFERROR(_xlfn.STDEV.S(OFFSET(Tabla3[[#This Row],[Close]],-29,0,30)),"")</f>
        <v>16.604614725884812</v>
      </c>
    </row>
    <row r="44" spans="1:12" x14ac:dyDescent="0.3">
      <c r="A44" s="1">
        <v>42467</v>
      </c>
      <c r="B44" s="3">
        <f>YEAR(Tabla3[[#This Row],[Date]])</f>
        <v>2016</v>
      </c>
      <c r="C44" s="1" t="str">
        <f>+TEXT(Tabla3[[#This Row],[Date]],"mmm")</f>
        <v>abr</v>
      </c>
      <c r="D44" s="2">
        <v>1236.19995117187</v>
      </c>
      <c r="E44" s="2">
        <v>1236.19995117187</v>
      </c>
      <c r="F44" s="2">
        <v>1242.90002441406</v>
      </c>
      <c r="G44" s="2">
        <v>1224.59997558593</v>
      </c>
      <c r="H44" s="2">
        <v>1224.80004882812</v>
      </c>
      <c r="I44">
        <v>375</v>
      </c>
      <c r="J44" s="2">
        <f ca="1">IFERROR((Tabla3[[#This Row],[Close]]-OFFSET(Tabla3[[#This Row],[Close]],-1,0))/OFFSET(Tabla3[[#This Row],[Close]],-1,0),"")</f>
        <v>1.1206504026069528E-2</v>
      </c>
      <c r="K44" s="2">
        <f ca="1">IFERROR(AVERAGE(OFFSET(Tabla3[[#This Row],[Close]],-6,0,7)),"")</f>
        <v>1226.9142717633899</v>
      </c>
      <c r="L44" s="2">
        <f ca="1">IFERROR(_xlfn.STDEV.S(OFFSET(Tabla3[[#This Row],[Close]],-29,0,30)),"")</f>
        <v>16.619206015581636</v>
      </c>
    </row>
    <row r="45" spans="1:12" x14ac:dyDescent="0.3">
      <c r="A45" s="1">
        <v>42468</v>
      </c>
      <c r="B45" s="3">
        <f>YEAR(Tabla3[[#This Row],[Date]])</f>
        <v>2016</v>
      </c>
      <c r="C45" s="1" t="str">
        <f>+TEXT(Tabla3[[#This Row],[Date]],"mmm")</f>
        <v>abr</v>
      </c>
      <c r="D45" s="2">
        <v>1242.5</v>
      </c>
      <c r="E45" s="2">
        <v>1242.5</v>
      </c>
      <c r="F45" s="2">
        <v>1242.80004882812</v>
      </c>
      <c r="G45" s="2">
        <v>1232</v>
      </c>
      <c r="H45" s="2">
        <v>1241</v>
      </c>
      <c r="I45">
        <v>409</v>
      </c>
      <c r="J45" s="2">
        <f ca="1">IFERROR((Tabla3[[#This Row],[Close]]-OFFSET(Tabla3[[#This Row],[Close]],-1,0))/OFFSET(Tabla3[[#This Row],[Close]],-1,0),"")</f>
        <v>5.096302440521696E-3</v>
      </c>
      <c r="K45" s="2">
        <f ca="1">IFERROR(AVERAGE(OFFSET(Tabla3[[#This Row],[Close]],-6,0,7)),"")</f>
        <v>1229.1428397042384</v>
      </c>
      <c r="L45" s="2">
        <f ca="1">IFERROR(_xlfn.STDEV.S(OFFSET(Tabla3[[#This Row],[Close]],-29,0,30)),"")</f>
        <v>16.619726243089573</v>
      </c>
    </row>
    <row r="46" spans="1:12" x14ac:dyDescent="0.3">
      <c r="A46" s="1">
        <v>42471</v>
      </c>
      <c r="B46" s="3">
        <f>YEAR(Tabla3[[#This Row],[Date]])</f>
        <v>2016</v>
      </c>
      <c r="C46" s="1" t="str">
        <f>+TEXT(Tabla3[[#This Row],[Date]],"mmm")</f>
        <v>abr</v>
      </c>
      <c r="D46" s="2">
        <v>1256.69995117187</v>
      </c>
      <c r="E46" s="2">
        <v>1256.69995117187</v>
      </c>
      <c r="F46" s="2">
        <v>1258.69995117187</v>
      </c>
      <c r="G46" s="2">
        <v>1241.5</v>
      </c>
      <c r="H46" s="2">
        <v>1241.5</v>
      </c>
      <c r="I46">
        <v>437</v>
      </c>
      <c r="J46" s="2">
        <f ca="1">IFERROR((Tabla3[[#This Row],[Close]]-OFFSET(Tabla3[[#This Row],[Close]],-1,0))/OFFSET(Tabla3[[#This Row],[Close]],-1,0),"")</f>
        <v>1.1428532130277664E-2</v>
      </c>
      <c r="K46" s="2">
        <f ca="1">IFERROR(AVERAGE(OFFSET(Tabla3[[#This Row],[Close]],-6,0,7)),"")</f>
        <v>1232.3571254185242</v>
      </c>
      <c r="L46" s="2">
        <f ca="1">IFERROR(_xlfn.STDEV.S(OFFSET(Tabla3[[#This Row],[Close]],-29,0,30)),"")</f>
        <v>16.409515011427764</v>
      </c>
    </row>
    <row r="47" spans="1:12" x14ac:dyDescent="0.3">
      <c r="A47" s="1">
        <v>42472</v>
      </c>
      <c r="B47" s="3">
        <f>YEAR(Tabla3[[#This Row],[Date]])</f>
        <v>2016</v>
      </c>
      <c r="C47" s="1" t="str">
        <f>+TEXT(Tabla3[[#This Row],[Date]],"mmm")</f>
        <v>abr</v>
      </c>
      <c r="D47" s="2">
        <v>1259.40002441406</v>
      </c>
      <c r="E47" s="2">
        <v>1259.40002441406</v>
      </c>
      <c r="F47" s="2">
        <v>1261.69995117187</v>
      </c>
      <c r="G47" s="2">
        <v>1253.69995117187</v>
      </c>
      <c r="H47" s="2">
        <v>1260</v>
      </c>
      <c r="I47">
        <v>185</v>
      </c>
      <c r="J47" s="2">
        <f ca="1">IFERROR((Tabla3[[#This Row],[Close]]-OFFSET(Tabla3[[#This Row],[Close]],-1,0))/OFFSET(Tabla3[[#This Row],[Close]],-1,0),"")</f>
        <v>2.1485424899334075E-3</v>
      </c>
      <c r="K47" s="2">
        <f ca="1">IFERROR(AVERAGE(OFFSET(Tabla3[[#This Row],[Close]],-6,0,7)),"")</f>
        <v>1237.6714215959801</v>
      </c>
      <c r="L47" s="2">
        <f ca="1">IFERROR(_xlfn.STDEV.S(OFFSET(Tabla3[[#This Row],[Close]],-29,0,30)),"")</f>
        <v>16.655857076909747</v>
      </c>
    </row>
    <row r="48" spans="1:12" x14ac:dyDescent="0.3">
      <c r="A48" s="1">
        <v>42473</v>
      </c>
      <c r="B48" s="3">
        <f>YEAR(Tabla3[[#This Row],[Date]])</f>
        <v>2016</v>
      </c>
      <c r="C48" s="1" t="str">
        <f>+TEXT(Tabla3[[#This Row],[Date]],"mmm")</f>
        <v>abr</v>
      </c>
      <c r="D48" s="2">
        <v>1246.80004882812</v>
      </c>
      <c r="E48" s="2">
        <v>1246.80004882812</v>
      </c>
      <c r="F48" s="2">
        <v>1256.90002441406</v>
      </c>
      <c r="G48" s="2">
        <v>1241.30004882812</v>
      </c>
      <c r="H48" s="2">
        <v>1256.5</v>
      </c>
      <c r="I48">
        <v>203</v>
      </c>
      <c r="J48" s="2">
        <f ca="1">IFERROR((Tabla3[[#This Row],[Close]]-OFFSET(Tabla3[[#This Row],[Close]],-1,0))/OFFSET(Tabla3[[#This Row],[Close]],-1,0),"")</f>
        <v>-1.0004744593999974E-2</v>
      </c>
      <c r="K48" s="2">
        <f ca="1">IFERROR(AVERAGE(OFFSET(Tabla3[[#This Row],[Close]],-6,0,7)),"")</f>
        <v>1241.7857142857115</v>
      </c>
      <c r="L48" s="2">
        <f ca="1">IFERROR(_xlfn.STDEV.S(OFFSET(Tabla3[[#This Row],[Close]],-29,0,30)),"")</f>
        <v>16.512854309463425</v>
      </c>
    </row>
    <row r="49" spans="1:12" x14ac:dyDescent="0.3">
      <c r="A49" s="1">
        <v>42474</v>
      </c>
      <c r="B49" s="3">
        <f>YEAR(Tabla3[[#This Row],[Date]])</f>
        <v>2016</v>
      </c>
      <c r="C49" s="1" t="str">
        <f>+TEXT(Tabla3[[#This Row],[Date]],"mmm")</f>
        <v>abr</v>
      </c>
      <c r="D49" s="2">
        <v>1225</v>
      </c>
      <c r="E49" s="2">
        <v>1225</v>
      </c>
      <c r="F49" s="2">
        <v>1243.69995117187</v>
      </c>
      <c r="G49" s="2">
        <v>1224.5</v>
      </c>
      <c r="H49" s="2">
        <v>1231.40002441406</v>
      </c>
      <c r="I49">
        <v>264</v>
      </c>
      <c r="J49" s="2">
        <f ca="1">IFERROR((Tabla3[[#This Row],[Close]]-OFFSET(Tabla3[[#This Row],[Close]],-1,0))/OFFSET(Tabla3[[#This Row],[Close]],-1,0),"")</f>
        <v>-1.748479946612938E-2</v>
      </c>
      <c r="K49" s="2">
        <f ca="1">IFERROR(AVERAGE(OFFSET(Tabla3[[#This Row],[Close]],-6,0,7)),"")</f>
        <v>1241.2999965122742</v>
      </c>
      <c r="L49" s="2">
        <f ca="1">IFERROR(_xlfn.STDEV.S(OFFSET(Tabla3[[#This Row],[Close]],-29,0,30)),"")</f>
        <v>16.834991495613487</v>
      </c>
    </row>
    <row r="50" spans="1:12" x14ac:dyDescent="0.3">
      <c r="A50" s="1">
        <v>42475</v>
      </c>
      <c r="B50" s="3">
        <f>YEAR(Tabla3[[#This Row],[Date]])</f>
        <v>2016</v>
      </c>
      <c r="C50" s="1" t="str">
        <f>+TEXT(Tabla3[[#This Row],[Date]],"mmm")</f>
        <v>abr</v>
      </c>
      <c r="D50" s="2">
        <v>1233.09997558593</v>
      </c>
      <c r="E50" s="2">
        <v>1233.09997558593</v>
      </c>
      <c r="F50" s="2">
        <v>1235</v>
      </c>
      <c r="G50" s="2">
        <v>1225.69995117187</v>
      </c>
      <c r="H50" s="2">
        <v>1225.69995117187</v>
      </c>
      <c r="I50">
        <v>97</v>
      </c>
      <c r="J50" s="2">
        <f ca="1">IFERROR((Tabla3[[#This Row],[Close]]-OFFSET(Tabla3[[#This Row],[Close]],-1,0))/OFFSET(Tabla3[[#This Row],[Close]],-1,0),"")</f>
        <v>6.6122249681061195E-3</v>
      </c>
      <c r="K50" s="2">
        <f ca="1">IFERROR(AVERAGE(OFFSET(Tabla3[[#This Row],[Close]],-6,0,7)),"")</f>
        <v>1242.8142787388356</v>
      </c>
      <c r="L50" s="2">
        <f ca="1">IFERROR(_xlfn.STDEV.S(OFFSET(Tabla3[[#This Row],[Close]],-29,0,30)),"")</f>
        <v>16.6750399783155</v>
      </c>
    </row>
    <row r="51" spans="1:12" x14ac:dyDescent="0.3">
      <c r="A51" s="1">
        <v>42478</v>
      </c>
      <c r="B51" s="3">
        <f>YEAR(Tabla3[[#This Row],[Date]])</f>
        <v>2016</v>
      </c>
      <c r="C51" s="1" t="str">
        <f>+TEXT(Tabla3[[#This Row],[Date]],"mmm")</f>
        <v>abr</v>
      </c>
      <c r="D51" s="2">
        <v>1233.59997558593</v>
      </c>
      <c r="E51" s="2">
        <v>1233.59997558593</v>
      </c>
      <c r="F51" s="2">
        <v>1241.09997558593</v>
      </c>
      <c r="G51" s="2">
        <v>1232.19995117187</v>
      </c>
      <c r="H51" s="2">
        <v>1238.69995117187</v>
      </c>
      <c r="I51">
        <v>304</v>
      </c>
      <c r="J51" s="2">
        <f ca="1">IFERROR((Tabla3[[#This Row],[Close]]-OFFSET(Tabla3[[#This Row],[Close]],-1,0))/OFFSET(Tabla3[[#This Row],[Close]],-1,0),"")</f>
        <v>4.0548212626670101E-4</v>
      </c>
      <c r="K51" s="2">
        <f ca="1">IFERROR(AVERAGE(OFFSET(Tabla3[[#This Row],[Close]],-6,0,7)),"")</f>
        <v>1242.44285365513</v>
      </c>
      <c r="L51" s="2">
        <f ca="1">IFERROR(_xlfn.STDEV.S(OFFSET(Tabla3[[#This Row],[Close]],-29,0,30)),"")</f>
        <v>15.850840779318563</v>
      </c>
    </row>
    <row r="52" spans="1:12" x14ac:dyDescent="0.3">
      <c r="A52" s="1">
        <v>42479</v>
      </c>
      <c r="B52" s="3">
        <f>YEAR(Tabla3[[#This Row],[Date]])</f>
        <v>2016</v>
      </c>
      <c r="C52" s="1" t="str">
        <f>+TEXT(Tabla3[[#This Row],[Date]],"mmm")</f>
        <v>abr</v>
      </c>
      <c r="D52" s="2">
        <v>1253</v>
      </c>
      <c r="E52" s="2">
        <v>1253</v>
      </c>
      <c r="F52" s="2">
        <v>1256.19995117187</v>
      </c>
      <c r="G52" s="2">
        <v>1228.80004882812</v>
      </c>
      <c r="H52" s="2">
        <v>1231.59997558593</v>
      </c>
      <c r="I52">
        <v>386</v>
      </c>
      <c r="J52" s="2">
        <f ca="1">IFERROR((Tabla3[[#This Row],[Close]]-OFFSET(Tabla3[[#This Row],[Close]],-1,0))/OFFSET(Tabla3[[#This Row],[Close]],-1,0),"")</f>
        <v>1.5726349544434338E-2</v>
      </c>
      <c r="K52" s="2">
        <f ca="1">IFERROR(AVERAGE(OFFSET(Tabla3[[#This Row],[Close]],-6,0,7)),"")</f>
        <v>1243.94285365513</v>
      </c>
      <c r="L52" s="2">
        <f ca="1">IFERROR(_xlfn.STDEV.S(OFFSET(Tabla3[[#This Row],[Close]],-29,0,30)),"")</f>
        <v>15.450061494690281</v>
      </c>
    </row>
    <row r="53" spans="1:12" x14ac:dyDescent="0.3">
      <c r="A53" s="1">
        <v>42480</v>
      </c>
      <c r="B53" s="3">
        <f>YEAR(Tabla3[[#This Row],[Date]])</f>
        <v>2016</v>
      </c>
      <c r="C53" s="1" t="str">
        <f>+TEXT(Tabla3[[#This Row],[Date]],"mmm")</f>
        <v>abr</v>
      </c>
      <c r="D53" s="2">
        <v>1253.19995117187</v>
      </c>
      <c r="E53" s="2">
        <v>1253.19995117187</v>
      </c>
      <c r="F53" s="2">
        <v>1256.09997558593</v>
      </c>
      <c r="G53" s="2">
        <v>1243</v>
      </c>
      <c r="H53" s="2">
        <v>1256.09997558593</v>
      </c>
      <c r="I53">
        <v>180</v>
      </c>
      <c r="J53" s="2">
        <f ca="1">IFERROR((Tabla3[[#This Row],[Close]]-OFFSET(Tabla3[[#This Row],[Close]],-1,0))/OFFSET(Tabla3[[#This Row],[Close]],-1,0),"")</f>
        <v>1.5957795041500223E-4</v>
      </c>
      <c r="K53" s="2">
        <f ca="1">IFERROR(AVERAGE(OFFSET(Tabla3[[#This Row],[Close]],-6,0,7)),"")</f>
        <v>1243.44285365513</v>
      </c>
      <c r="L53" s="2">
        <f ca="1">IFERROR(_xlfn.STDEV.S(OFFSET(Tabla3[[#This Row],[Close]],-29,0,30)),"")</f>
        <v>15.094344294981109</v>
      </c>
    </row>
    <row r="54" spans="1:12" x14ac:dyDescent="0.3">
      <c r="A54" s="1">
        <v>42481</v>
      </c>
      <c r="B54" s="3">
        <f>YEAR(Tabla3[[#This Row],[Date]])</f>
        <v>2016</v>
      </c>
      <c r="C54" s="1" t="str">
        <f>+TEXT(Tabla3[[#This Row],[Date]],"mmm")</f>
        <v>abr</v>
      </c>
      <c r="D54" s="2">
        <v>1249</v>
      </c>
      <c r="E54" s="2">
        <v>1249</v>
      </c>
      <c r="F54" s="2">
        <v>1270.59997558593</v>
      </c>
      <c r="G54" s="2">
        <v>1247.59997558593</v>
      </c>
      <c r="H54" s="2">
        <v>1247.69995117187</v>
      </c>
      <c r="I54">
        <v>124</v>
      </c>
      <c r="J54" s="2">
        <f ca="1">IFERROR((Tabla3[[#This Row],[Close]]-OFFSET(Tabla3[[#This Row],[Close]],-1,0))/OFFSET(Tabla3[[#This Row],[Close]],-1,0),"")</f>
        <v>-3.3513815316882308E-3</v>
      </c>
      <c r="K54" s="2">
        <f ca="1">IFERROR(AVERAGE(OFFSET(Tabla3[[#This Row],[Close]],-6,0,7)),"")</f>
        <v>1241.9571358816927</v>
      </c>
      <c r="L54" s="2">
        <f ca="1">IFERROR(_xlfn.STDEV.S(OFFSET(Tabla3[[#This Row],[Close]],-29,0,30)),"")</f>
        <v>14.864692138346998</v>
      </c>
    </row>
    <row r="55" spans="1:12" x14ac:dyDescent="0.3">
      <c r="A55" s="1">
        <v>42482</v>
      </c>
      <c r="B55" s="3">
        <f>YEAR(Tabla3[[#This Row],[Date]])</f>
        <v>2016</v>
      </c>
      <c r="C55" s="1" t="str">
        <f>+TEXT(Tabla3[[#This Row],[Date]],"mmm")</f>
        <v>abr</v>
      </c>
      <c r="D55" s="2">
        <v>1228.69995117187</v>
      </c>
      <c r="E55" s="2">
        <v>1228.69995117187</v>
      </c>
      <c r="F55" s="2">
        <v>1248.5</v>
      </c>
      <c r="G55" s="2">
        <v>1228</v>
      </c>
      <c r="H55" s="2">
        <v>1248.5</v>
      </c>
      <c r="I55">
        <v>188</v>
      </c>
      <c r="J55" s="2">
        <f ca="1">IFERROR((Tabla3[[#This Row],[Close]]-OFFSET(Tabla3[[#This Row],[Close]],-1,0))/OFFSET(Tabla3[[#This Row],[Close]],-1,0),"")</f>
        <v>-1.6253041495700563E-2</v>
      </c>
      <c r="K55" s="2">
        <f ca="1">IFERROR(AVERAGE(OFFSET(Tabla3[[#This Row],[Close]],-6,0,7)),"")</f>
        <v>1239.3714076450856</v>
      </c>
      <c r="L55" s="2">
        <f ca="1">IFERROR(_xlfn.STDEV.S(OFFSET(Tabla3[[#This Row],[Close]],-29,0,30)),"")</f>
        <v>13.658076725137121</v>
      </c>
    </row>
    <row r="56" spans="1:12" x14ac:dyDescent="0.3">
      <c r="A56" s="1">
        <v>42485</v>
      </c>
      <c r="B56" s="3">
        <f>YEAR(Tabla3[[#This Row],[Date]])</f>
        <v>2016</v>
      </c>
      <c r="C56" s="1" t="str">
        <f>+TEXT(Tabla3[[#This Row],[Date]],"mmm")</f>
        <v>abr</v>
      </c>
      <c r="D56" s="2">
        <v>1238.90002441406</v>
      </c>
      <c r="E56" s="2">
        <v>1238.90002441406</v>
      </c>
      <c r="F56" s="2">
        <v>1240.90002441406</v>
      </c>
      <c r="G56" s="2">
        <v>1231.59997558593</v>
      </c>
      <c r="H56" s="2">
        <v>1231.59997558593</v>
      </c>
      <c r="I56">
        <v>442</v>
      </c>
      <c r="J56" s="2">
        <f ca="1">IFERROR((Tabla3[[#This Row],[Close]]-OFFSET(Tabla3[[#This Row],[Close]],-1,0))/OFFSET(Tabla3[[#This Row],[Close]],-1,0),"")</f>
        <v>8.3015167636831949E-3</v>
      </c>
      <c r="K56" s="2">
        <f ca="1">IFERROR(AVERAGE(OFFSET(Tabla3[[#This Row],[Close]],-6,0,7)),"")</f>
        <v>1241.3571254185229</v>
      </c>
      <c r="L56" s="2">
        <f ca="1">IFERROR(_xlfn.STDEV.S(OFFSET(Tabla3[[#This Row],[Close]],-29,0,30)),"")</f>
        <v>13.09526722703248</v>
      </c>
    </row>
    <row r="57" spans="1:12" x14ac:dyDescent="0.3">
      <c r="A57" s="1">
        <v>42486</v>
      </c>
      <c r="B57" s="3">
        <f>YEAR(Tabla3[[#This Row],[Date]])</f>
        <v>2016</v>
      </c>
      <c r="C57" s="1" t="str">
        <f>+TEXT(Tabla3[[#This Row],[Date]],"mmm")</f>
        <v>abr</v>
      </c>
      <c r="D57" s="2">
        <v>1242.19995117187</v>
      </c>
      <c r="E57" s="2">
        <v>1242.19995117187</v>
      </c>
      <c r="F57" s="2">
        <v>1244.19995117187</v>
      </c>
      <c r="G57" s="2">
        <v>1233</v>
      </c>
      <c r="H57" s="2">
        <v>1239.80004882812</v>
      </c>
      <c r="I57">
        <v>97</v>
      </c>
      <c r="J57" s="2">
        <f ca="1">IFERROR((Tabla3[[#This Row],[Close]]-OFFSET(Tabla3[[#This Row],[Close]],-1,0))/OFFSET(Tabla3[[#This Row],[Close]],-1,0),"")</f>
        <v>2.6635940695623967E-3</v>
      </c>
      <c r="K57" s="2">
        <f ca="1">IFERROR(AVERAGE(OFFSET(Tabla3[[#This Row],[Close]],-6,0,7)),"")</f>
        <v>1242.6571219308</v>
      </c>
      <c r="L57" s="2">
        <f ca="1">IFERROR(_xlfn.STDEV.S(OFFSET(Tabla3[[#This Row],[Close]],-29,0,30)),"")</f>
        <v>13.061080903051048</v>
      </c>
    </row>
    <row r="58" spans="1:12" x14ac:dyDescent="0.3">
      <c r="A58" s="1">
        <v>42487</v>
      </c>
      <c r="B58" s="3">
        <f>YEAR(Tabla3[[#This Row],[Date]])</f>
        <v>2016</v>
      </c>
      <c r="C58" s="1" t="str">
        <f>+TEXT(Tabla3[[#This Row],[Date]],"mmm")</f>
        <v>abr</v>
      </c>
      <c r="D58" s="2">
        <v>1249.19995117187</v>
      </c>
      <c r="E58" s="2">
        <v>1249.19995117187</v>
      </c>
      <c r="F58" s="2">
        <v>1249.5</v>
      </c>
      <c r="G58" s="2">
        <v>1248.59997558593</v>
      </c>
      <c r="H58" s="2">
        <v>1248.59997558593</v>
      </c>
      <c r="I58">
        <v>547</v>
      </c>
      <c r="J58" s="2">
        <f ca="1">IFERROR((Tabla3[[#This Row],[Close]]-OFFSET(Tabla3[[#This Row],[Close]],-1,0))/OFFSET(Tabla3[[#This Row],[Close]],-1,0),"")</f>
        <v>5.6351636412449706E-3</v>
      </c>
      <c r="K58" s="2">
        <f ca="1">IFERROR(AVERAGE(OFFSET(Tabla3[[#This Row],[Close]],-6,0,7)),"")</f>
        <v>1244.8856898716483</v>
      </c>
      <c r="L58" s="2">
        <f ca="1">IFERROR(_xlfn.STDEV.S(OFFSET(Tabla3[[#This Row],[Close]],-29,0,30)),"")</f>
        <v>13.165720017035435</v>
      </c>
    </row>
    <row r="59" spans="1:12" x14ac:dyDescent="0.3">
      <c r="A59" s="1">
        <v>42488</v>
      </c>
      <c r="B59" s="3">
        <f>YEAR(Tabla3[[#This Row],[Date]])</f>
        <v>2016</v>
      </c>
      <c r="C59" s="1" t="str">
        <f>+TEXT(Tabla3[[#This Row],[Date]],"mmm")</f>
        <v>abr</v>
      </c>
      <c r="D59" s="2">
        <v>1265.5</v>
      </c>
      <c r="E59" s="2">
        <v>1265.5</v>
      </c>
      <c r="F59" s="2">
        <v>1270.09997558593</v>
      </c>
      <c r="G59" s="2">
        <v>1238.5</v>
      </c>
      <c r="H59" s="2">
        <v>1245.90002441406</v>
      </c>
      <c r="I59">
        <v>887</v>
      </c>
      <c r="J59" s="2">
        <f ca="1">IFERROR((Tabla3[[#This Row],[Close]]-OFFSET(Tabla3[[#This Row],[Close]],-1,0))/OFFSET(Tabla3[[#This Row],[Close]],-1,0),"")</f>
        <v>1.3048390542153787E-2</v>
      </c>
      <c r="K59" s="2">
        <f ca="1">IFERROR(AVERAGE(OFFSET(Tabla3[[#This Row],[Close]],-6,0,7)),"")</f>
        <v>1246.6714041573628</v>
      </c>
      <c r="L59" s="2">
        <f ca="1">IFERROR(_xlfn.STDEV.S(OFFSET(Tabla3[[#This Row],[Close]],-29,0,30)),"")</f>
        <v>13.975188384190618</v>
      </c>
    </row>
    <row r="60" spans="1:12" x14ac:dyDescent="0.3">
      <c r="A60" s="1">
        <v>42489</v>
      </c>
      <c r="B60" s="3">
        <f>YEAR(Tabla3[[#This Row],[Date]])</f>
        <v>2016</v>
      </c>
      <c r="C60" s="1" t="str">
        <f>+TEXT(Tabla3[[#This Row],[Date]],"mmm")</f>
        <v>abr</v>
      </c>
      <c r="D60" s="2">
        <v>1289.19995117187</v>
      </c>
      <c r="E60" s="2">
        <v>1289.19995117187</v>
      </c>
      <c r="F60" s="2">
        <v>1295.5</v>
      </c>
      <c r="G60" s="2">
        <v>1267.19995117187</v>
      </c>
      <c r="H60" s="2">
        <v>1267.30004882812</v>
      </c>
      <c r="I60">
        <v>464</v>
      </c>
      <c r="J60" s="2">
        <f ca="1">IFERROR((Tabla3[[#This Row],[Close]]-OFFSET(Tabla3[[#This Row],[Close]],-1,0))/OFFSET(Tabla3[[#This Row],[Close]],-1,0),"")</f>
        <v>1.8727736998711969E-2</v>
      </c>
      <c r="K60" s="2">
        <f ca="1">IFERROR(AVERAGE(OFFSET(Tabla3[[#This Row],[Close]],-6,0,7)),"")</f>
        <v>1251.8142613002199</v>
      </c>
      <c r="L60" s="2">
        <f ca="1">IFERROR(_xlfn.STDEV.S(OFFSET(Tabla3[[#This Row],[Close]],-29,0,30)),"")</f>
        <v>16.085199302006352</v>
      </c>
    </row>
    <row r="61" spans="1:12" x14ac:dyDescent="0.3">
      <c r="A61" s="1">
        <v>42492</v>
      </c>
      <c r="B61" s="3">
        <f>YEAR(Tabla3[[#This Row],[Date]])</f>
        <v>2016</v>
      </c>
      <c r="C61" s="1" t="str">
        <f>+TEXT(Tabla3[[#This Row],[Date]],"mmm")</f>
        <v>may</v>
      </c>
      <c r="D61" s="2">
        <v>1294.69995117187</v>
      </c>
      <c r="E61" s="2">
        <v>1294.69995117187</v>
      </c>
      <c r="F61" s="2">
        <v>1304.40002441406</v>
      </c>
      <c r="G61" s="2">
        <v>1290.40002441406</v>
      </c>
      <c r="H61" s="2">
        <v>1292.09997558593</v>
      </c>
      <c r="I61">
        <v>192</v>
      </c>
      <c r="J61" s="2">
        <f ca="1">IFERROR((Tabla3[[#This Row],[Close]]-OFFSET(Tabla3[[#This Row],[Close]],-1,0))/OFFSET(Tabla3[[#This Row],[Close]],-1,0),"")</f>
        <v>4.2662117656772748E-3</v>
      </c>
      <c r="K61" s="2">
        <f ca="1">IFERROR(AVERAGE(OFFSET(Tabla3[[#This Row],[Close]],-6,0,7)),"")</f>
        <v>1258.3428257533444</v>
      </c>
      <c r="L61" s="2">
        <f ca="1">IFERROR(_xlfn.STDEV.S(OFFSET(Tabla3[[#This Row],[Close]],-29,0,30)),"")</f>
        <v>18.797448691274585</v>
      </c>
    </row>
    <row r="62" spans="1:12" x14ac:dyDescent="0.3">
      <c r="A62" s="1">
        <v>42493</v>
      </c>
      <c r="B62" s="3">
        <f>YEAR(Tabla3[[#This Row],[Date]])</f>
        <v>2016</v>
      </c>
      <c r="C62" s="1" t="str">
        <f>+TEXT(Tabla3[[#This Row],[Date]],"mmm")</f>
        <v>may</v>
      </c>
      <c r="D62" s="2">
        <v>1290.69995117187</v>
      </c>
      <c r="E62" s="2">
        <v>1290.69995117187</v>
      </c>
      <c r="F62" s="2">
        <v>1301.5</v>
      </c>
      <c r="G62" s="2">
        <v>1284.5</v>
      </c>
      <c r="H62" s="2">
        <v>1292.69995117187</v>
      </c>
      <c r="I62">
        <v>151</v>
      </c>
      <c r="J62" s="2">
        <f ca="1">IFERROR((Tabla3[[#This Row],[Close]]-OFFSET(Tabla3[[#This Row],[Close]],-1,0))/OFFSET(Tabla3[[#This Row],[Close]],-1,0),"")</f>
        <v>-3.0895189239634135E-3</v>
      </c>
      <c r="K62" s="2">
        <f ca="1">IFERROR(AVERAGE(OFFSET(Tabla3[[#This Row],[Close]],-6,0,7)),"")</f>
        <v>1267.1999686104868</v>
      </c>
      <c r="L62" s="2">
        <f ca="1">IFERROR(_xlfn.STDEV.S(OFFSET(Tabla3[[#This Row],[Close]],-29,0,30)),"")</f>
        <v>20.843689577292579</v>
      </c>
    </row>
    <row r="63" spans="1:12" x14ac:dyDescent="0.3">
      <c r="A63" s="1">
        <v>42494</v>
      </c>
      <c r="B63" s="3">
        <f>YEAR(Tabla3[[#This Row],[Date]])</f>
        <v>2016</v>
      </c>
      <c r="C63" s="1" t="str">
        <f>+TEXT(Tabla3[[#This Row],[Date]],"mmm")</f>
        <v>may</v>
      </c>
      <c r="D63" s="2">
        <v>1273.30004882812</v>
      </c>
      <c r="E63" s="2">
        <v>1273.30004882812</v>
      </c>
      <c r="F63" s="2">
        <v>1290</v>
      </c>
      <c r="G63" s="2">
        <v>1273</v>
      </c>
      <c r="H63" s="2">
        <v>1286.90002441406</v>
      </c>
      <c r="I63">
        <v>109</v>
      </c>
      <c r="J63" s="2">
        <f ca="1">IFERROR((Tabla3[[#This Row],[Close]]-OFFSET(Tabla3[[#This Row],[Close]],-1,0))/OFFSET(Tabla3[[#This Row],[Close]],-1,0),"")</f>
        <v>-1.348098163942134E-2</v>
      </c>
      <c r="K63" s="2">
        <f ca="1">IFERROR(AVERAGE(OFFSET(Tabla3[[#This Row],[Close]],-6,0,7)),"")</f>
        <v>1272.1142578124957</v>
      </c>
      <c r="L63" s="2">
        <f ca="1">IFERROR(_xlfn.STDEV.S(OFFSET(Tabla3[[#This Row],[Close]],-29,0,30)),"")</f>
        <v>21.553237187363695</v>
      </c>
    </row>
    <row r="64" spans="1:12" x14ac:dyDescent="0.3">
      <c r="A64" s="1">
        <v>42495</v>
      </c>
      <c r="B64" s="3">
        <f>YEAR(Tabla3[[#This Row],[Date]])</f>
        <v>2016</v>
      </c>
      <c r="C64" s="1" t="str">
        <f>+TEXT(Tabla3[[#This Row],[Date]],"mmm")</f>
        <v>may</v>
      </c>
      <c r="D64" s="2">
        <v>1271.40002441406</v>
      </c>
      <c r="E64" s="2">
        <v>1271.40002441406</v>
      </c>
      <c r="F64" s="2">
        <v>1286</v>
      </c>
      <c r="G64" s="2">
        <v>1270.80004882812</v>
      </c>
      <c r="H64" s="2">
        <v>1282.90002441406</v>
      </c>
      <c r="I64">
        <v>330</v>
      </c>
      <c r="J64" s="2">
        <f ca="1">IFERROR((Tabla3[[#This Row],[Close]]-OFFSET(Tabla3[[#This Row],[Close]],-1,0))/OFFSET(Tabla3[[#This Row],[Close]],-1,0),"")</f>
        <v>-1.4922047759353217E-3</v>
      </c>
      <c r="K64" s="2">
        <f ca="1">IFERROR(AVERAGE(OFFSET(Tabla3[[#This Row],[Close]],-6,0,7)),"")</f>
        <v>1276.2856968470944</v>
      </c>
      <c r="L64" s="2">
        <f ca="1">IFERROR(_xlfn.STDEV.S(OFFSET(Tabla3[[#This Row],[Close]],-29,0,30)),"")</f>
        <v>21.778335040959739</v>
      </c>
    </row>
    <row r="65" spans="1:12" x14ac:dyDescent="0.3">
      <c r="A65" s="1">
        <v>42496</v>
      </c>
      <c r="B65" s="3">
        <f>YEAR(Tabla3[[#This Row],[Date]])</f>
        <v>2016</v>
      </c>
      <c r="C65" s="1" t="str">
        <f>+TEXT(Tabla3[[#This Row],[Date]],"mmm")</f>
        <v>may</v>
      </c>
      <c r="D65" s="2">
        <v>1292.90002441406</v>
      </c>
      <c r="E65" s="2">
        <v>1292.90002441406</v>
      </c>
      <c r="F65" s="2">
        <v>1295.59997558593</v>
      </c>
      <c r="G65" s="2">
        <v>1276.90002441406</v>
      </c>
      <c r="H65" s="2">
        <v>1278.59997558593</v>
      </c>
      <c r="I65">
        <v>305</v>
      </c>
      <c r="J65" s="2">
        <f ca="1">IFERROR((Tabla3[[#This Row],[Close]]-OFFSET(Tabla3[[#This Row],[Close]],-1,0))/OFFSET(Tabla3[[#This Row],[Close]],-1,0),"")</f>
        <v>1.6910492045891328E-2</v>
      </c>
      <c r="K65" s="2">
        <f ca="1">IFERROR(AVERAGE(OFFSET(Tabla3[[#This Row],[Close]],-6,0,7)),"")</f>
        <v>1282.5285644531214</v>
      </c>
      <c r="L65" s="2">
        <f ca="1">IFERROR(_xlfn.STDEV.S(OFFSET(Tabla3[[#This Row],[Close]],-29,0,30)),"")</f>
        <v>22.94467651025116</v>
      </c>
    </row>
    <row r="66" spans="1:12" x14ac:dyDescent="0.3">
      <c r="A66" s="1">
        <v>42499</v>
      </c>
      <c r="B66" s="3">
        <f>YEAR(Tabla3[[#This Row],[Date]])</f>
        <v>2016</v>
      </c>
      <c r="C66" s="1" t="str">
        <f>+TEXT(Tabla3[[#This Row],[Date]],"mmm")</f>
        <v>may</v>
      </c>
      <c r="D66" s="2">
        <v>1265.59997558593</v>
      </c>
      <c r="E66" s="2">
        <v>1265.59997558593</v>
      </c>
      <c r="F66" s="2">
        <v>1286.5</v>
      </c>
      <c r="G66" s="2">
        <v>1262.30004882812</v>
      </c>
      <c r="H66" s="2">
        <v>1286.5</v>
      </c>
      <c r="I66">
        <v>341</v>
      </c>
      <c r="J66" s="2">
        <f ca="1">IFERROR((Tabla3[[#This Row],[Close]]-OFFSET(Tabla3[[#This Row],[Close]],-1,0))/OFFSET(Tabla3[[#This Row],[Close]],-1,0),"")</f>
        <v>-2.1115359511654691E-2</v>
      </c>
      <c r="K66" s="2">
        <f ca="1">IFERROR(AVERAGE(OFFSET(Tabla3[[#This Row],[Close]],-6,0,7)),"")</f>
        <v>1282.5428466796827</v>
      </c>
      <c r="L66" s="2">
        <f ca="1">IFERROR(_xlfn.STDEV.S(OFFSET(Tabla3[[#This Row],[Close]],-29,0,30)),"")</f>
        <v>22.544556575451526</v>
      </c>
    </row>
    <row r="67" spans="1:12" x14ac:dyDescent="0.3">
      <c r="A67" s="1">
        <v>42500</v>
      </c>
      <c r="B67" s="3">
        <f>YEAR(Tabla3[[#This Row],[Date]])</f>
        <v>2016</v>
      </c>
      <c r="C67" s="1" t="str">
        <f>+TEXT(Tabla3[[#This Row],[Date]],"mmm")</f>
        <v>may</v>
      </c>
      <c r="D67" s="2">
        <v>1263.90002441406</v>
      </c>
      <c r="E67" s="2">
        <v>1263.90002441406</v>
      </c>
      <c r="F67" s="2">
        <v>1267.40002441406</v>
      </c>
      <c r="G67" s="2">
        <v>1258.69995117187</v>
      </c>
      <c r="H67" s="2">
        <v>1265.09997558593</v>
      </c>
      <c r="I67">
        <v>23</v>
      </c>
      <c r="J67" s="2">
        <f ca="1">IFERROR((Tabla3[[#This Row],[Close]]-OFFSET(Tabla3[[#This Row],[Close]],-1,0))/OFFSET(Tabla3[[#This Row],[Close]],-1,0),"")</f>
        <v>-1.3431978545061032E-3</v>
      </c>
      <c r="K67" s="2">
        <f ca="1">IFERROR(AVERAGE(OFFSET(Tabla3[[#This Row],[Close]],-6,0,7)),"")</f>
        <v>1278.9285714285672</v>
      </c>
      <c r="L67" s="2">
        <f ca="1">IFERROR(_xlfn.STDEV.S(OFFSET(Tabla3[[#This Row],[Close]],-29,0,30)),"")</f>
        <v>22.544196384272659</v>
      </c>
    </row>
    <row r="68" spans="1:12" x14ac:dyDescent="0.3">
      <c r="A68" s="1">
        <v>42501</v>
      </c>
      <c r="B68" s="3">
        <f>YEAR(Tabla3[[#This Row],[Date]])</f>
        <v>2016</v>
      </c>
      <c r="C68" s="1" t="str">
        <f>+TEXT(Tabla3[[#This Row],[Date]],"mmm")</f>
        <v>may</v>
      </c>
      <c r="D68" s="2">
        <v>1274.59997558593</v>
      </c>
      <c r="E68" s="2">
        <v>1274.59997558593</v>
      </c>
      <c r="F68" s="2">
        <v>1279.19995117187</v>
      </c>
      <c r="G68" s="2">
        <v>1266.90002441406</v>
      </c>
      <c r="H68" s="2">
        <v>1266.90002441406</v>
      </c>
      <c r="I68">
        <v>50</v>
      </c>
      <c r="J68" s="2">
        <f ca="1">IFERROR((Tabla3[[#This Row],[Close]]-OFFSET(Tabla3[[#This Row],[Close]],-1,0))/OFFSET(Tabla3[[#This Row],[Close]],-1,0),"")</f>
        <v>8.4658208443586826E-3</v>
      </c>
      <c r="K68" s="2">
        <f ca="1">IFERROR(AVERAGE(OFFSET(Tabla3[[#This Row],[Close]],-6,0,7)),"")</f>
        <v>1276.0571463448614</v>
      </c>
      <c r="L68" s="2">
        <f ca="1">IFERROR(_xlfn.STDEV.S(OFFSET(Tabla3[[#This Row],[Close]],-29,0,30)),"")</f>
        <v>22.524124323115583</v>
      </c>
    </row>
    <row r="69" spans="1:12" x14ac:dyDescent="0.3">
      <c r="A69" s="1">
        <v>42502</v>
      </c>
      <c r="B69" s="3">
        <f>YEAR(Tabla3[[#This Row],[Date]])</f>
        <v>2016</v>
      </c>
      <c r="C69" s="1" t="str">
        <f>+TEXT(Tabla3[[#This Row],[Date]],"mmm")</f>
        <v>may</v>
      </c>
      <c r="D69" s="2">
        <v>1270.30004882812</v>
      </c>
      <c r="E69" s="2">
        <v>1270.30004882812</v>
      </c>
      <c r="F69" s="2">
        <v>1281.19995117187</v>
      </c>
      <c r="G69" s="2">
        <v>1264</v>
      </c>
      <c r="H69" s="2">
        <v>1267</v>
      </c>
      <c r="I69">
        <v>101</v>
      </c>
      <c r="J69" s="2">
        <f ca="1">IFERROR((Tabla3[[#This Row],[Close]]-OFFSET(Tabla3[[#This Row],[Close]],-1,0))/OFFSET(Tabla3[[#This Row],[Close]],-1,0),"")</f>
        <v>-3.3735500079806096E-3</v>
      </c>
      <c r="K69" s="2">
        <f ca="1">IFERROR(AVERAGE(OFFSET(Tabla3[[#This Row],[Close]],-6,0,7)),"")</f>
        <v>1273.1428745814685</v>
      </c>
      <c r="L69" s="2">
        <f ca="1">IFERROR(_xlfn.STDEV.S(OFFSET(Tabla3[[#This Row],[Close]],-29,0,30)),"")</f>
        <v>22.514635527311881</v>
      </c>
    </row>
    <row r="70" spans="1:12" x14ac:dyDescent="0.3">
      <c r="A70" s="1">
        <v>42503</v>
      </c>
      <c r="B70" s="3">
        <f>YEAR(Tabla3[[#This Row],[Date]])</f>
        <v>2016</v>
      </c>
      <c r="C70" s="1" t="str">
        <f>+TEXT(Tabla3[[#This Row],[Date]],"mmm")</f>
        <v>may</v>
      </c>
      <c r="D70" s="2">
        <v>1271.90002441406</v>
      </c>
      <c r="E70" s="2">
        <v>1271.90002441406</v>
      </c>
      <c r="F70" s="2">
        <v>1275.69995117187</v>
      </c>
      <c r="G70" s="2">
        <v>1264.59997558593</v>
      </c>
      <c r="H70" s="2">
        <v>1271.40002441406</v>
      </c>
      <c r="I70">
        <v>66</v>
      </c>
      <c r="J70" s="2">
        <f ca="1">IFERROR((Tabla3[[#This Row],[Close]]-OFFSET(Tabla3[[#This Row],[Close]],-1,0))/OFFSET(Tabla3[[#This Row],[Close]],-1,0),"")</f>
        <v>1.259525721829275E-3</v>
      </c>
      <c r="K70" s="2">
        <f ca="1">IFERROR(AVERAGE(OFFSET(Tabla3[[#This Row],[Close]],-6,0,7)),"")</f>
        <v>1272.9428710937459</v>
      </c>
      <c r="L70" s="2">
        <f ca="1">IFERROR(_xlfn.STDEV.S(OFFSET(Tabla3[[#This Row],[Close]],-29,0,30)),"")</f>
        <v>21.990804150108403</v>
      </c>
    </row>
    <row r="71" spans="1:12" x14ac:dyDescent="0.3">
      <c r="A71" s="1">
        <v>42506</v>
      </c>
      <c r="B71" s="3">
        <f>YEAR(Tabla3[[#This Row],[Date]])</f>
        <v>2016</v>
      </c>
      <c r="C71" s="1" t="str">
        <f>+TEXT(Tabla3[[#This Row],[Date]],"mmm")</f>
        <v>may</v>
      </c>
      <c r="D71" s="2">
        <v>1273.40002441406</v>
      </c>
      <c r="E71" s="2">
        <v>1273.40002441406</v>
      </c>
      <c r="F71" s="2">
        <v>1287.80004882812</v>
      </c>
      <c r="G71" s="2">
        <v>1272.80004882812</v>
      </c>
      <c r="H71" s="2">
        <v>1272.80004882812</v>
      </c>
      <c r="I71">
        <v>44</v>
      </c>
      <c r="J71" s="2">
        <f ca="1">IFERROR((Tabla3[[#This Row],[Close]]-OFFSET(Tabla3[[#This Row],[Close]],-1,0))/OFFSET(Tabla3[[#This Row],[Close]],-1,0),"")</f>
        <v>1.179337975632968E-3</v>
      </c>
      <c r="K71" s="2">
        <f ca="1">IFERROR(AVERAGE(OFFSET(Tabla3[[#This Row],[Close]],-6,0,7)),"")</f>
        <v>1273.2285853794599</v>
      </c>
      <c r="L71" s="2">
        <f ca="1">IFERROR(_xlfn.STDEV.S(OFFSET(Tabla3[[#This Row],[Close]],-29,0,30)),"")</f>
        <v>21.112980849320056</v>
      </c>
    </row>
    <row r="72" spans="1:12" x14ac:dyDescent="0.3">
      <c r="A72" s="1">
        <v>42507</v>
      </c>
      <c r="B72" s="3">
        <f>YEAR(Tabla3[[#This Row],[Date]])</f>
        <v>2016</v>
      </c>
      <c r="C72" s="1" t="str">
        <f>+TEXT(Tabla3[[#This Row],[Date]],"mmm")</f>
        <v>may</v>
      </c>
      <c r="D72" s="2">
        <v>1276.19995117187</v>
      </c>
      <c r="E72" s="2">
        <v>1276.19995117187</v>
      </c>
      <c r="F72" s="2">
        <v>1281.59997558593</v>
      </c>
      <c r="G72" s="2">
        <v>1270.80004882812</v>
      </c>
      <c r="H72" s="2">
        <v>1272.5</v>
      </c>
      <c r="I72">
        <v>16</v>
      </c>
      <c r="J72" s="2">
        <f ca="1">IFERROR((Tabla3[[#This Row],[Close]]-OFFSET(Tabla3[[#This Row],[Close]],-1,0))/OFFSET(Tabla3[[#This Row],[Close]],-1,0),"")</f>
        <v>2.1987801979965818E-3</v>
      </c>
      <c r="K72" s="2">
        <f ca="1">IFERROR(AVERAGE(OFFSET(Tabla3[[#This Row],[Close]],-6,0,7)),"")</f>
        <v>1270.8428606305756</v>
      </c>
      <c r="L72" s="2">
        <f ca="1">IFERROR(_xlfn.STDEV.S(OFFSET(Tabla3[[#This Row],[Close]],-29,0,30)),"")</f>
        <v>20.717101457529559</v>
      </c>
    </row>
    <row r="73" spans="1:12" x14ac:dyDescent="0.3">
      <c r="A73" s="1">
        <v>42508</v>
      </c>
      <c r="B73" s="3">
        <f>YEAR(Tabla3[[#This Row],[Date]])</f>
        <v>2016</v>
      </c>
      <c r="C73" s="1" t="str">
        <f>+TEXT(Tabla3[[#This Row],[Date]],"mmm")</f>
        <v>may</v>
      </c>
      <c r="D73" s="2">
        <v>1273.69995117187</v>
      </c>
      <c r="E73" s="2">
        <v>1273.69995117187</v>
      </c>
      <c r="F73" s="2">
        <v>1276.40002441406</v>
      </c>
      <c r="G73" s="2">
        <v>1256.80004882812</v>
      </c>
      <c r="H73" s="2">
        <v>1276.40002441406</v>
      </c>
      <c r="I73">
        <v>17</v>
      </c>
      <c r="J73" s="2">
        <f ca="1">IFERROR((Tabla3[[#This Row],[Close]]-OFFSET(Tabla3[[#This Row],[Close]],-1,0))/OFFSET(Tabla3[[#This Row],[Close]],-1,0),"")</f>
        <v>-1.9589406798710312E-3</v>
      </c>
      <c r="K73" s="2">
        <f ca="1">IFERROR(AVERAGE(OFFSET(Tabla3[[#This Row],[Close]],-6,0,7)),"")</f>
        <v>1271.9999999999957</v>
      </c>
      <c r="L73" s="2">
        <f ca="1">IFERROR(_xlfn.STDEV.S(OFFSET(Tabla3[[#This Row],[Close]],-29,0,30)),"")</f>
        <v>19.768767355362492</v>
      </c>
    </row>
    <row r="74" spans="1:12" x14ac:dyDescent="0.3">
      <c r="A74" s="1">
        <v>42509</v>
      </c>
      <c r="B74" s="3">
        <f>YEAR(Tabla3[[#This Row],[Date]])</f>
        <v>2016</v>
      </c>
      <c r="C74" s="1" t="str">
        <f>+TEXT(Tabla3[[#This Row],[Date]],"mmm")</f>
        <v>may</v>
      </c>
      <c r="D74" s="2">
        <v>1254.19995117187</v>
      </c>
      <c r="E74" s="2">
        <v>1254.19995117187</v>
      </c>
      <c r="F74" s="2">
        <v>1255.5</v>
      </c>
      <c r="G74" s="2">
        <v>1247.5</v>
      </c>
      <c r="H74" s="2">
        <v>1248</v>
      </c>
      <c r="I74">
        <v>69</v>
      </c>
      <c r="J74" s="2">
        <f ca="1">IFERROR((Tabla3[[#This Row],[Close]]-OFFSET(Tabla3[[#This Row],[Close]],-1,0))/OFFSET(Tabla3[[#This Row],[Close]],-1,0),"")</f>
        <v>-1.5309728152269291E-2</v>
      </c>
      <c r="K74" s="2">
        <f ca="1">IFERROR(AVERAGE(OFFSET(Tabla3[[#This Row],[Close]],-6,0,7)),"")</f>
        <v>1270.6142752511112</v>
      </c>
      <c r="L74" s="2">
        <f ca="1">IFERROR(_xlfn.STDEV.S(OFFSET(Tabla3[[#This Row],[Close]],-29,0,30)),"")</f>
        <v>19.294415256671769</v>
      </c>
    </row>
    <row r="75" spans="1:12" x14ac:dyDescent="0.3">
      <c r="A75" s="1">
        <v>42510</v>
      </c>
      <c r="B75" s="3">
        <f>YEAR(Tabla3[[#This Row],[Date]])</f>
        <v>2016</v>
      </c>
      <c r="C75" s="1" t="str">
        <f>+TEXT(Tabla3[[#This Row],[Date]],"mmm")</f>
        <v>may</v>
      </c>
      <c r="D75" s="2">
        <v>1252.40002441406</v>
      </c>
      <c r="E75" s="2">
        <v>1252.40002441406</v>
      </c>
      <c r="F75" s="2">
        <v>1256.59997558593</v>
      </c>
      <c r="G75" s="2">
        <v>1252.40002441406</v>
      </c>
      <c r="H75" s="2">
        <v>1256.59997558593</v>
      </c>
      <c r="I75">
        <v>44</v>
      </c>
      <c r="J75" s="2">
        <f ca="1">IFERROR((Tabla3[[#This Row],[Close]]-OFFSET(Tabla3[[#This Row],[Close]],-1,0))/OFFSET(Tabla3[[#This Row],[Close]],-1,0),"")</f>
        <v>-1.435119460918672E-3</v>
      </c>
      <c r="K75" s="2">
        <f ca="1">IFERROR(AVERAGE(OFFSET(Tabla3[[#This Row],[Close]],-6,0,7)),"")</f>
        <v>1267.44285365513</v>
      </c>
      <c r="L75" s="2">
        <f ca="1">IFERROR(_xlfn.STDEV.S(OFFSET(Tabla3[[#This Row],[Close]],-29,0,30)),"")</f>
        <v>19.060479192372664</v>
      </c>
    </row>
    <row r="76" spans="1:12" x14ac:dyDescent="0.3">
      <c r="A76" s="1">
        <v>42513</v>
      </c>
      <c r="B76" s="3">
        <f>YEAR(Tabla3[[#This Row],[Date]])</f>
        <v>2016</v>
      </c>
      <c r="C76" s="1" t="str">
        <f>+TEXT(Tabla3[[#This Row],[Date]],"mmm")</f>
        <v>may</v>
      </c>
      <c r="D76" s="2">
        <v>1251.09997558593</v>
      </c>
      <c r="E76" s="2">
        <v>1251.09997558593</v>
      </c>
      <c r="F76" s="2">
        <v>1251.59997558593</v>
      </c>
      <c r="G76" s="2">
        <v>1247.5</v>
      </c>
      <c r="H76" s="2">
        <v>1251.59997558593</v>
      </c>
      <c r="I76">
        <v>56</v>
      </c>
      <c r="J76" s="2">
        <f ca="1">IFERROR((Tabla3[[#This Row],[Close]]-OFFSET(Tabla3[[#This Row],[Close]],-1,0))/OFFSET(Tabla3[[#This Row],[Close]],-1,0),"")</f>
        <v>-1.0380459939213391E-3</v>
      </c>
      <c r="K76" s="2">
        <f ca="1">IFERROR(AVERAGE(OFFSET(Tabla3[[#This Row],[Close]],-6,0,7)),"")</f>
        <v>1264.6999860491028</v>
      </c>
      <c r="L76" s="2">
        <f ca="1">IFERROR(_xlfn.STDEV.S(OFFSET(Tabla3[[#This Row],[Close]],-29,0,30)),"")</f>
        <v>19.128876395678265</v>
      </c>
    </row>
    <row r="77" spans="1:12" x14ac:dyDescent="0.3">
      <c r="A77" s="1">
        <v>42514</v>
      </c>
      <c r="B77" s="3">
        <f>YEAR(Tabla3[[#This Row],[Date]])</f>
        <v>2016</v>
      </c>
      <c r="C77" s="1" t="str">
        <f>+TEXT(Tabla3[[#This Row],[Date]],"mmm")</f>
        <v>may</v>
      </c>
      <c r="D77" s="2">
        <v>1228.90002441406</v>
      </c>
      <c r="E77" s="2">
        <v>1228.90002441406</v>
      </c>
      <c r="F77" s="2">
        <v>1240</v>
      </c>
      <c r="G77" s="2">
        <v>1228.19995117187</v>
      </c>
      <c r="H77" s="2">
        <v>1240</v>
      </c>
      <c r="I77">
        <v>20</v>
      </c>
      <c r="J77" s="2">
        <f ca="1">IFERROR((Tabla3[[#This Row],[Close]]-OFFSET(Tabla3[[#This Row],[Close]],-1,0))/OFFSET(Tabla3[[#This Row],[Close]],-1,0),"")</f>
        <v>-1.7744346259357134E-2</v>
      </c>
      <c r="K77" s="2">
        <f ca="1">IFERROR(AVERAGE(OFFSET(Tabla3[[#This Row],[Close]],-6,0,7)),"")</f>
        <v>1258.5571289062459</v>
      </c>
      <c r="L77" s="2">
        <f ca="1">IFERROR(_xlfn.STDEV.S(OFFSET(Tabla3[[#This Row],[Close]],-29,0,30)),"")</f>
        <v>19.984574296036723</v>
      </c>
    </row>
    <row r="78" spans="1:12" x14ac:dyDescent="0.3">
      <c r="A78" s="1">
        <v>42515</v>
      </c>
      <c r="B78" s="3">
        <f>YEAR(Tabla3[[#This Row],[Date]])</f>
        <v>2016</v>
      </c>
      <c r="C78" s="1" t="str">
        <f>+TEXT(Tabla3[[#This Row],[Date]],"mmm")</f>
        <v>may</v>
      </c>
      <c r="D78" s="2">
        <v>1223.5</v>
      </c>
      <c r="E78" s="2">
        <v>1223.5</v>
      </c>
      <c r="F78" s="2">
        <v>1223.5</v>
      </c>
      <c r="G78" s="2">
        <v>1218.59997558593</v>
      </c>
      <c r="H78" s="2">
        <v>1219.30004882812</v>
      </c>
      <c r="I78">
        <v>5</v>
      </c>
      <c r="J78" s="2">
        <f ca="1">IFERROR((Tabla3[[#This Row],[Close]]-OFFSET(Tabla3[[#This Row],[Close]],-1,0))/OFFSET(Tabla3[[#This Row],[Close]],-1,0),"")</f>
        <v>-4.3941934305312853E-3</v>
      </c>
      <c r="K78" s="2">
        <f ca="1">IFERROR(AVERAGE(OFFSET(Tabla3[[#This Row],[Close]],-6,0,7)),"")</f>
        <v>1251.4285539899515</v>
      </c>
      <c r="L78" s="2">
        <f ca="1">IFERROR(_xlfn.STDEV.S(OFFSET(Tabla3[[#This Row],[Close]],-29,0,30)),"")</f>
        <v>20.92780104142804</v>
      </c>
    </row>
    <row r="79" spans="1:12" x14ac:dyDescent="0.3">
      <c r="A79" s="1">
        <v>42516</v>
      </c>
      <c r="B79" s="3">
        <f>YEAR(Tabla3[[#This Row],[Date]])</f>
        <v>2016</v>
      </c>
      <c r="C79" s="1" t="str">
        <f>+TEXT(Tabla3[[#This Row],[Date]],"mmm")</f>
        <v>may</v>
      </c>
      <c r="D79" s="2">
        <v>1220.09997558593</v>
      </c>
      <c r="E79" s="2">
        <v>1220.09997558593</v>
      </c>
      <c r="F79" s="2">
        <v>1232.59997558593</v>
      </c>
      <c r="G79" s="2">
        <v>1220.09997558593</v>
      </c>
      <c r="H79" s="2">
        <v>1232.59997558593</v>
      </c>
      <c r="I79">
        <v>199778</v>
      </c>
      <c r="J79" s="2">
        <f ca="1">IFERROR((Tabla3[[#This Row],[Close]]-OFFSET(Tabla3[[#This Row],[Close]],-1,0))/OFFSET(Tabla3[[#This Row],[Close]],-1,0),"")</f>
        <v>-2.7789329089252172E-3</v>
      </c>
      <c r="K79" s="2">
        <f ca="1">IFERROR(AVERAGE(OFFSET(Tabla3[[#This Row],[Close]],-6,0,7)),"")</f>
        <v>1243.4142717633883</v>
      </c>
      <c r="L79" s="2">
        <f ca="1">IFERROR(_xlfn.STDEV.S(OFFSET(Tabla3[[#This Row],[Close]],-29,0,30)),"")</f>
        <v>21.21762085960334</v>
      </c>
    </row>
    <row r="80" spans="1:12" x14ac:dyDescent="0.3">
      <c r="A80" s="1">
        <v>42517</v>
      </c>
      <c r="B80" s="3">
        <f>YEAR(Tabla3[[#This Row],[Date]])</f>
        <v>2016</v>
      </c>
      <c r="C80" s="1" t="str">
        <f>+TEXT(Tabla3[[#This Row],[Date]],"mmm")</f>
        <v>may</v>
      </c>
      <c r="D80" s="2">
        <v>1213.80004882812</v>
      </c>
      <c r="E80" s="2">
        <v>1213.80004882812</v>
      </c>
      <c r="F80" s="2">
        <v>1223.19995117187</v>
      </c>
      <c r="G80" s="2">
        <v>1206.40002441406</v>
      </c>
      <c r="H80" s="2">
        <v>1220.30004882812</v>
      </c>
      <c r="I80">
        <v>63739</v>
      </c>
      <c r="J80" s="2">
        <f ca="1">IFERROR((Tabla3[[#This Row],[Close]]-OFFSET(Tabla3[[#This Row],[Close]],-1,0))/OFFSET(Tabla3[[#This Row],[Close]],-1,0),"")</f>
        <v>-5.1634512612661748E-3</v>
      </c>
      <c r="K80" s="2">
        <f ca="1">IFERROR(AVERAGE(OFFSET(Tabla3[[#This Row],[Close]],-6,0,7)),"")</f>
        <v>1234.8571428571388</v>
      </c>
      <c r="L80" s="2">
        <f ca="1">IFERROR(_xlfn.STDEV.S(OFFSET(Tabla3[[#This Row],[Close]],-29,0,30)),"")</f>
        <v>22.283686609993893</v>
      </c>
    </row>
    <row r="81" spans="1:12" x14ac:dyDescent="0.3">
      <c r="A81" s="1">
        <v>42521</v>
      </c>
      <c r="B81" s="3">
        <f>YEAR(Tabla3[[#This Row],[Date]])</f>
        <v>2016</v>
      </c>
      <c r="C81" s="1" t="str">
        <f>+TEXT(Tabla3[[#This Row],[Date]],"mmm")</f>
        <v>may</v>
      </c>
      <c r="D81" s="2">
        <v>1214.80004882812</v>
      </c>
      <c r="E81" s="2">
        <v>1214.80004882812</v>
      </c>
      <c r="F81" s="2">
        <v>1217.59997558593</v>
      </c>
      <c r="G81" s="2">
        <v>1199</v>
      </c>
      <c r="H81" s="2">
        <v>1212.5</v>
      </c>
      <c r="I81">
        <v>6432</v>
      </c>
      <c r="J81" s="2">
        <f ca="1">IFERROR((Tabla3[[#This Row],[Close]]-OFFSET(Tabla3[[#This Row],[Close]],-1,0))/OFFSET(Tabla3[[#This Row],[Close]],-1,0),"")</f>
        <v>8.2385892220507306E-4</v>
      </c>
      <c r="K81" s="2">
        <f ca="1">IFERROR(AVERAGE(OFFSET(Tabla3[[#This Row],[Close]],-6,0,7)),"")</f>
        <v>1229.2285853794599</v>
      </c>
      <c r="L81" s="2">
        <f ca="1">IFERROR(_xlfn.STDEV.S(OFFSET(Tabla3[[#This Row],[Close]],-29,0,30)),"")</f>
        <v>23.236626109149864</v>
      </c>
    </row>
    <row r="82" spans="1:12" x14ac:dyDescent="0.3">
      <c r="A82" s="1">
        <v>42522</v>
      </c>
      <c r="B82" s="3">
        <f>YEAR(Tabla3[[#This Row],[Date]])</f>
        <v>2016</v>
      </c>
      <c r="C82" s="1" t="str">
        <f>+TEXT(Tabla3[[#This Row],[Date]],"mmm")</f>
        <v>jun</v>
      </c>
      <c r="D82" s="2">
        <v>1211.90002441406</v>
      </c>
      <c r="E82" s="2">
        <v>1211.90002441406</v>
      </c>
      <c r="F82" s="2">
        <v>1219.80004882812</v>
      </c>
      <c r="G82" s="2">
        <v>1205.40002441406</v>
      </c>
      <c r="H82" s="2">
        <v>1215.69995117187</v>
      </c>
      <c r="I82">
        <v>2717</v>
      </c>
      <c r="J82" s="2">
        <f ca="1">IFERROR((Tabla3[[#This Row],[Close]]-OFFSET(Tabla3[[#This Row],[Close]],-1,0))/OFFSET(Tabla3[[#This Row],[Close]],-1,0),"")</f>
        <v>-2.3872442356728273E-3</v>
      </c>
      <c r="K82" s="2">
        <f ca="1">IFERROR(AVERAGE(OFFSET(Tabla3[[#This Row],[Close]],-6,0,7)),"")</f>
        <v>1223.4428710937459</v>
      </c>
      <c r="L82" s="2">
        <f ca="1">IFERROR(_xlfn.STDEV.S(OFFSET(Tabla3[[#This Row],[Close]],-29,0,30)),"")</f>
        <v>24.668984651248604</v>
      </c>
    </row>
    <row r="83" spans="1:12" x14ac:dyDescent="0.3">
      <c r="A83" s="1">
        <v>42523</v>
      </c>
      <c r="B83" s="3">
        <f>YEAR(Tabla3[[#This Row],[Date]])</f>
        <v>2016</v>
      </c>
      <c r="C83" s="1" t="str">
        <f>+TEXT(Tabla3[[#This Row],[Date]],"mmm")</f>
        <v>jun</v>
      </c>
      <c r="D83" s="2">
        <v>1209.80004882812</v>
      </c>
      <c r="E83" s="2">
        <v>1209.80004882812</v>
      </c>
      <c r="F83" s="2">
        <v>1217</v>
      </c>
      <c r="G83" s="2">
        <v>1209.59997558593</v>
      </c>
      <c r="H83" s="2">
        <v>1212.40002441406</v>
      </c>
      <c r="I83">
        <v>1627</v>
      </c>
      <c r="J83" s="2">
        <f ca="1">IFERROR((Tabla3[[#This Row],[Close]]-OFFSET(Tabla3[[#This Row],[Close]],-1,0))/OFFSET(Tabla3[[#This Row],[Close]],-1,0),"")</f>
        <v>-1.732796058779944E-3</v>
      </c>
      <c r="K83" s="2">
        <f ca="1">IFERROR(AVERAGE(OFFSET(Tabla3[[#This Row],[Close]],-6,0,7)),"")</f>
        <v>1217.5428815569157</v>
      </c>
      <c r="L83" s="2">
        <f ca="1">IFERROR(_xlfn.STDEV.S(OFFSET(Tabla3[[#This Row],[Close]],-29,0,30)),"")</f>
        <v>26.069998820232986</v>
      </c>
    </row>
    <row r="84" spans="1:12" x14ac:dyDescent="0.3">
      <c r="A84" s="1">
        <v>42524</v>
      </c>
      <c r="B84" s="3">
        <f>YEAR(Tabla3[[#This Row],[Date]])</f>
        <v>2016</v>
      </c>
      <c r="C84" s="1" t="str">
        <f>+TEXT(Tabla3[[#This Row],[Date]],"mmm")</f>
        <v>jun</v>
      </c>
      <c r="D84" s="2">
        <v>1240.09997558593</v>
      </c>
      <c r="E84" s="2">
        <v>1240.09997558593</v>
      </c>
      <c r="F84" s="2">
        <v>1244.5</v>
      </c>
      <c r="G84" s="2">
        <v>1206.40002441406</v>
      </c>
      <c r="H84" s="2">
        <v>1209.09997558593</v>
      </c>
      <c r="I84">
        <v>1622</v>
      </c>
      <c r="J84" s="2">
        <f ca="1">IFERROR((Tabla3[[#This Row],[Close]]-OFFSET(Tabla3[[#This Row],[Close]],-1,0))/OFFSET(Tabla3[[#This Row],[Close]],-1,0),"")</f>
        <v>2.5045400508257709E-2</v>
      </c>
      <c r="K84" s="2">
        <f ca="1">IFERROR(AVERAGE(OFFSET(Tabla3[[#This Row],[Close]],-6,0,7)),"")</f>
        <v>1219.1428745814685</v>
      </c>
      <c r="L84" s="2">
        <f ca="1">IFERROR(_xlfn.STDEV.S(OFFSET(Tabla3[[#This Row],[Close]],-29,0,30)),"")</f>
        <v>26.185442978837028</v>
      </c>
    </row>
    <row r="85" spans="1:12" x14ac:dyDescent="0.3">
      <c r="A85" s="1">
        <v>42527</v>
      </c>
      <c r="B85" s="3">
        <f>YEAR(Tabla3[[#This Row],[Date]])</f>
        <v>2016</v>
      </c>
      <c r="C85" s="1" t="str">
        <f>+TEXT(Tabla3[[#This Row],[Date]],"mmm")</f>
        <v>jun</v>
      </c>
      <c r="D85" s="2">
        <v>1244.59997558593</v>
      </c>
      <c r="E85" s="2">
        <v>1244.59997558593</v>
      </c>
      <c r="F85" s="2">
        <v>1247.30004882812</v>
      </c>
      <c r="G85" s="2">
        <v>1240</v>
      </c>
      <c r="H85" s="2">
        <v>1244.40002441406</v>
      </c>
      <c r="I85">
        <v>1135</v>
      </c>
      <c r="J85" s="2">
        <f ca="1">IFERROR((Tabla3[[#This Row],[Close]]-OFFSET(Tabla3[[#This Row],[Close]],-1,0))/OFFSET(Tabla3[[#This Row],[Close]],-1,0),"")</f>
        <v>3.6287396892124061E-3</v>
      </c>
      <c r="K85" s="2">
        <f ca="1">IFERROR(AVERAGE(OFFSET(Tabla3[[#This Row],[Close]],-6,0,7)),"")</f>
        <v>1222.1571568080301</v>
      </c>
      <c r="L85" s="2">
        <f ca="1">IFERROR(_xlfn.STDEV.S(OFFSET(Tabla3[[#This Row],[Close]],-29,0,30)),"")</f>
        <v>25.809095129447812</v>
      </c>
    </row>
    <row r="86" spans="1:12" x14ac:dyDescent="0.3">
      <c r="A86" s="1">
        <v>42528</v>
      </c>
      <c r="B86" s="3">
        <f>YEAR(Tabla3[[#This Row],[Date]])</f>
        <v>2016</v>
      </c>
      <c r="C86" s="1" t="str">
        <f>+TEXT(Tabla3[[#This Row],[Date]],"mmm")</f>
        <v>jun</v>
      </c>
      <c r="D86" s="2">
        <v>1244.40002441406</v>
      </c>
      <c r="E86" s="2">
        <v>1244.40002441406</v>
      </c>
      <c r="F86" s="2">
        <v>1244.90002441406</v>
      </c>
      <c r="G86" s="2">
        <v>1236.5</v>
      </c>
      <c r="H86" s="2">
        <v>1244</v>
      </c>
      <c r="I86">
        <v>281</v>
      </c>
      <c r="J86" s="2">
        <f ca="1">IFERROR((Tabla3[[#This Row],[Close]]-OFFSET(Tabla3[[#This Row],[Close]],-1,0))/OFFSET(Tabla3[[#This Row],[Close]],-1,0),"")</f>
        <v>-1.6065497010464363E-4</v>
      </c>
      <c r="K86" s="2">
        <f ca="1">IFERROR(AVERAGE(OFFSET(Tabla3[[#This Row],[Close]],-6,0,7)),"")</f>
        <v>1225.6285923549058</v>
      </c>
      <c r="L86" s="2">
        <f ca="1">IFERROR(_xlfn.STDEV.S(OFFSET(Tabla3[[#This Row],[Close]],-29,0,30)),"")</f>
        <v>25.711901385385964</v>
      </c>
    </row>
    <row r="87" spans="1:12" x14ac:dyDescent="0.3">
      <c r="A87" s="1">
        <v>42529</v>
      </c>
      <c r="B87" s="3">
        <f>YEAR(Tabla3[[#This Row],[Date]])</f>
        <v>2016</v>
      </c>
      <c r="C87" s="1" t="str">
        <f>+TEXT(Tabla3[[#This Row],[Date]],"mmm")</f>
        <v>jun</v>
      </c>
      <c r="D87" s="2">
        <v>1259.80004882812</v>
      </c>
      <c r="E87" s="2">
        <v>1259.80004882812</v>
      </c>
      <c r="F87" s="2">
        <v>1264</v>
      </c>
      <c r="G87" s="2">
        <v>1247.30004882812</v>
      </c>
      <c r="H87" s="2">
        <v>1247.59997558593</v>
      </c>
      <c r="I87">
        <v>406</v>
      </c>
      <c r="J87" s="2">
        <f ca="1">IFERROR((Tabla3[[#This Row],[Close]]-OFFSET(Tabla3[[#This Row],[Close]],-1,0))/OFFSET(Tabla3[[#This Row],[Close]],-1,0),"")</f>
        <v>1.2375461356416541E-2</v>
      </c>
      <c r="K87" s="2">
        <f ca="1">IFERROR(AVERAGE(OFFSET(Tabla3[[#This Row],[Close]],-6,0,7)),"")</f>
        <v>1232.2000209263344</v>
      </c>
      <c r="L87" s="2">
        <f ca="1">IFERROR(_xlfn.STDEV.S(OFFSET(Tabla3[[#This Row],[Close]],-29,0,30)),"")</f>
        <v>25.611704522042466</v>
      </c>
    </row>
    <row r="88" spans="1:12" x14ac:dyDescent="0.3">
      <c r="A88" s="1">
        <v>42530</v>
      </c>
      <c r="B88" s="3">
        <f>YEAR(Tabla3[[#This Row],[Date]])</f>
        <v>2016</v>
      </c>
      <c r="C88" s="1" t="str">
        <f>+TEXT(Tabla3[[#This Row],[Date]],"mmm")</f>
        <v>jun</v>
      </c>
      <c r="D88" s="2">
        <v>1270.19995117187</v>
      </c>
      <c r="E88" s="2">
        <v>1270.19995117187</v>
      </c>
      <c r="F88" s="2">
        <v>1271.40002441406</v>
      </c>
      <c r="G88" s="2">
        <v>1258.09997558593</v>
      </c>
      <c r="H88" s="2">
        <v>1262.5</v>
      </c>
      <c r="I88">
        <v>381</v>
      </c>
      <c r="J88" s="2">
        <f ca="1">IFERROR((Tabla3[[#This Row],[Close]]-OFFSET(Tabla3[[#This Row],[Close]],-1,0))/OFFSET(Tabla3[[#This Row],[Close]],-1,0),"")</f>
        <v>8.2552007784283746E-3</v>
      </c>
      <c r="K88" s="2">
        <f ca="1">IFERROR(AVERAGE(OFFSET(Tabla3[[#This Row],[Close]],-6,0,7)),"")</f>
        <v>1240.1142926897271</v>
      </c>
      <c r="L88" s="2">
        <f ca="1">IFERROR(_xlfn.STDEV.S(OFFSET(Tabla3[[#This Row],[Close]],-29,0,30)),"")</f>
        <v>25.719481923676231</v>
      </c>
    </row>
    <row r="89" spans="1:12" x14ac:dyDescent="0.3">
      <c r="A89" s="1">
        <v>42531</v>
      </c>
      <c r="B89" s="3">
        <f>YEAR(Tabla3[[#This Row],[Date]])</f>
        <v>2016</v>
      </c>
      <c r="C89" s="1" t="str">
        <f>+TEXT(Tabla3[[#This Row],[Date]],"mmm")</f>
        <v>jun</v>
      </c>
      <c r="D89" s="2">
        <v>1273.40002441406</v>
      </c>
      <c r="E89" s="2">
        <v>1273.40002441406</v>
      </c>
      <c r="F89" s="2">
        <v>1278</v>
      </c>
      <c r="G89" s="2">
        <v>1265.30004882812</v>
      </c>
      <c r="H89" s="2">
        <v>1267.59997558593</v>
      </c>
      <c r="I89">
        <v>397</v>
      </c>
      <c r="J89" s="2">
        <f ca="1">IFERROR((Tabla3[[#This Row],[Close]]-OFFSET(Tabla3[[#This Row],[Close]],-1,0))/OFFSET(Tabla3[[#This Row],[Close]],-1,0),"")</f>
        <v>2.5193460598370004E-3</v>
      </c>
      <c r="K89" s="2">
        <f ca="1">IFERROR(AVERAGE(OFFSET(Tabla3[[#This Row],[Close]],-6,0,7)),"")</f>
        <v>1248.9000069754416</v>
      </c>
      <c r="L89" s="2">
        <f ca="1">IFERROR(_xlfn.STDEV.S(OFFSET(Tabla3[[#This Row],[Close]],-29,0,30)),"")</f>
        <v>25.857738947994886</v>
      </c>
    </row>
    <row r="90" spans="1:12" x14ac:dyDescent="0.3">
      <c r="A90" s="1">
        <v>42534</v>
      </c>
      <c r="B90" s="3">
        <f>YEAR(Tabla3[[#This Row],[Date]])</f>
        <v>2016</v>
      </c>
      <c r="C90" s="1" t="str">
        <f>+TEXT(Tabla3[[#This Row],[Date]],"mmm")</f>
        <v>jun</v>
      </c>
      <c r="D90" s="2">
        <v>1284.40002441406</v>
      </c>
      <c r="E90" s="2">
        <v>1284.40002441406</v>
      </c>
      <c r="F90" s="2">
        <v>1287.30004882812</v>
      </c>
      <c r="G90" s="2">
        <v>1273</v>
      </c>
      <c r="H90" s="2">
        <v>1276.19995117187</v>
      </c>
      <c r="I90">
        <v>328</v>
      </c>
      <c r="J90" s="2">
        <f ca="1">IFERROR((Tabla3[[#This Row],[Close]]-OFFSET(Tabla3[[#This Row],[Close]],-1,0))/OFFSET(Tabla3[[#This Row],[Close]],-1,0),"")</f>
        <v>8.6382910233267201E-3</v>
      </c>
      <c r="K90" s="2">
        <f ca="1">IFERROR(AVERAGE(OFFSET(Tabla3[[#This Row],[Close]],-6,0,7)),"")</f>
        <v>1259.5571463448614</v>
      </c>
      <c r="L90" s="2">
        <f ca="1">IFERROR(_xlfn.STDEV.S(OFFSET(Tabla3[[#This Row],[Close]],-29,0,30)),"")</f>
        <v>25.662497686163427</v>
      </c>
    </row>
    <row r="91" spans="1:12" x14ac:dyDescent="0.3">
      <c r="A91" s="1">
        <v>42535</v>
      </c>
      <c r="B91" s="3">
        <f>YEAR(Tabla3[[#This Row],[Date]])</f>
        <v>2016</v>
      </c>
      <c r="C91" s="1" t="str">
        <f>+TEXT(Tabla3[[#This Row],[Date]],"mmm")</f>
        <v>jun</v>
      </c>
      <c r="D91" s="2">
        <v>1285.59997558593</v>
      </c>
      <c r="E91" s="2">
        <v>1285.59997558593</v>
      </c>
      <c r="F91" s="2">
        <v>1289.69995117187</v>
      </c>
      <c r="G91" s="2">
        <v>1277.80004882812</v>
      </c>
      <c r="H91" s="2">
        <v>1281.80004882812</v>
      </c>
      <c r="I91">
        <v>554</v>
      </c>
      <c r="J91" s="2">
        <f ca="1">IFERROR((Tabla3[[#This Row],[Close]]-OFFSET(Tabla3[[#This Row],[Close]],-1,0))/OFFSET(Tabla3[[#This Row],[Close]],-1,0),"")</f>
        <v>9.3425034962718286E-4</v>
      </c>
      <c r="K91" s="2">
        <f ca="1">IFERROR(AVERAGE(OFFSET(Tabla3[[#This Row],[Close]],-6,0,7)),"")</f>
        <v>1266.0571463448614</v>
      </c>
      <c r="L91" s="2">
        <f ca="1">IFERROR(_xlfn.STDEV.S(OFFSET(Tabla3[[#This Row],[Close]],-29,0,30)),"")</f>
        <v>25.243728191500711</v>
      </c>
    </row>
    <row r="92" spans="1:12" x14ac:dyDescent="0.3">
      <c r="A92" s="1">
        <v>42536</v>
      </c>
      <c r="B92" s="3">
        <f>YEAR(Tabla3[[#This Row],[Date]])</f>
        <v>2016</v>
      </c>
      <c r="C92" s="1" t="str">
        <f>+TEXT(Tabla3[[#This Row],[Date]],"mmm")</f>
        <v>jun</v>
      </c>
      <c r="D92" s="2">
        <v>1285.80004882812</v>
      </c>
      <c r="E92" s="2">
        <v>1285.80004882812</v>
      </c>
      <c r="F92" s="2">
        <v>1296.19995117187</v>
      </c>
      <c r="G92" s="2">
        <v>1278.80004882812</v>
      </c>
      <c r="H92" s="2">
        <v>1284.59997558593</v>
      </c>
      <c r="I92">
        <v>162</v>
      </c>
      <c r="J92" s="2">
        <f ca="1">IFERROR((Tabla3[[#This Row],[Close]]-OFFSET(Tabla3[[#This Row],[Close]],-1,0))/OFFSET(Tabla3[[#This Row],[Close]],-1,0),"")</f>
        <v>1.5562635811253416E-4</v>
      </c>
      <c r="K92" s="2">
        <f ca="1">IFERROR(AVERAGE(OFFSET(Tabla3[[#This Row],[Close]],-6,0,7)),"")</f>
        <v>1271.9428710937459</v>
      </c>
      <c r="L92" s="2">
        <f ca="1">IFERROR(_xlfn.STDEV.S(OFFSET(Tabla3[[#This Row],[Close]],-29,0,30)),"")</f>
        <v>25.026591799986516</v>
      </c>
    </row>
    <row r="93" spans="1:12" x14ac:dyDescent="0.3">
      <c r="A93" s="1">
        <v>42537</v>
      </c>
      <c r="B93" s="3">
        <f>YEAR(Tabla3[[#This Row],[Date]])</f>
        <v>2016</v>
      </c>
      <c r="C93" s="1" t="str">
        <f>+TEXT(Tabla3[[#This Row],[Date]],"mmm")</f>
        <v>jun</v>
      </c>
      <c r="D93" s="2">
        <v>1296.09997558593</v>
      </c>
      <c r="E93" s="2">
        <v>1296.09997558593</v>
      </c>
      <c r="F93" s="2">
        <v>1316.40002441406</v>
      </c>
      <c r="G93" s="2">
        <v>1281.09997558593</v>
      </c>
      <c r="H93" s="2">
        <v>1296.30004882812</v>
      </c>
      <c r="I93">
        <v>251</v>
      </c>
      <c r="J93" s="2">
        <f ca="1">IFERROR((Tabla3[[#This Row],[Close]]-OFFSET(Tabla3[[#This Row],[Close]],-1,0))/OFFSET(Tabla3[[#This Row],[Close]],-1,0),"")</f>
        <v>8.0105198060906654E-3</v>
      </c>
      <c r="K93" s="2">
        <f ca="1">IFERROR(AVERAGE(OFFSET(Tabla3[[#This Row],[Close]],-6,0,7)),"")</f>
        <v>1279.3285784040129</v>
      </c>
      <c r="L93" s="2">
        <f ca="1">IFERROR(_xlfn.STDEV.S(OFFSET(Tabla3[[#This Row],[Close]],-29,0,30)),"")</f>
        <v>25.905029926845863</v>
      </c>
    </row>
    <row r="94" spans="1:12" x14ac:dyDescent="0.3">
      <c r="A94" s="1">
        <v>42538</v>
      </c>
      <c r="B94" s="3">
        <f>YEAR(Tabla3[[#This Row],[Date]])</f>
        <v>2016</v>
      </c>
      <c r="C94" s="1" t="str">
        <f>+TEXT(Tabla3[[#This Row],[Date]],"mmm")</f>
        <v>jun</v>
      </c>
      <c r="D94" s="2">
        <v>1292.5</v>
      </c>
      <c r="E94" s="2">
        <v>1292.5</v>
      </c>
      <c r="F94" s="2">
        <v>1300.09997558593</v>
      </c>
      <c r="G94" s="2">
        <v>1280.30004882812</v>
      </c>
      <c r="H94" s="2">
        <v>1280.30004882812</v>
      </c>
      <c r="I94">
        <v>129</v>
      </c>
      <c r="J94" s="2">
        <f ca="1">IFERROR((Tabla3[[#This Row],[Close]]-OFFSET(Tabla3[[#This Row],[Close]],-1,0))/OFFSET(Tabla3[[#This Row],[Close]],-1,0),"")</f>
        <v>-2.7775446753654552E-3</v>
      </c>
      <c r="K94" s="2">
        <f ca="1">IFERROR(AVERAGE(OFFSET(Tabla3[[#This Row],[Close]],-6,0,7)),"")</f>
        <v>1283.9999999999959</v>
      </c>
      <c r="L94" s="2">
        <f ca="1">IFERROR(_xlfn.STDEV.S(OFFSET(Tabla3[[#This Row],[Close]],-29,0,30)),"")</f>
        <v>26.597154434091845</v>
      </c>
    </row>
    <row r="95" spans="1:12" x14ac:dyDescent="0.3">
      <c r="A95" s="1">
        <v>42541</v>
      </c>
      <c r="B95" s="3">
        <f>YEAR(Tabla3[[#This Row],[Date]])</f>
        <v>2016</v>
      </c>
      <c r="C95" s="1" t="str">
        <f>+TEXT(Tabla3[[#This Row],[Date]],"mmm")</f>
        <v>jun</v>
      </c>
      <c r="D95" s="2">
        <v>1290</v>
      </c>
      <c r="E95" s="2">
        <v>1290</v>
      </c>
      <c r="F95" s="2">
        <v>1291.19995117187</v>
      </c>
      <c r="G95" s="2">
        <v>1280.30004882812</v>
      </c>
      <c r="H95" s="2">
        <v>1288.90002441406</v>
      </c>
      <c r="I95">
        <v>153</v>
      </c>
      <c r="J95" s="2">
        <f ca="1">IFERROR((Tabla3[[#This Row],[Close]]-OFFSET(Tabla3[[#This Row],[Close]],-1,0))/OFFSET(Tabla3[[#This Row],[Close]],-1,0),"")</f>
        <v>-1.9342359767891683E-3</v>
      </c>
      <c r="K95" s="2">
        <f ca="1">IFERROR(AVERAGE(OFFSET(Tabla3[[#This Row],[Close]],-6,0,7)),"")</f>
        <v>1286.8285784040143</v>
      </c>
      <c r="L95" s="2">
        <f ca="1">IFERROR(_xlfn.STDEV.S(OFFSET(Tabla3[[#This Row],[Close]],-29,0,30)),"")</f>
        <v>26.468375436506079</v>
      </c>
    </row>
    <row r="96" spans="1:12" x14ac:dyDescent="0.3">
      <c r="A96" s="1">
        <v>42542</v>
      </c>
      <c r="B96" s="3">
        <f>YEAR(Tabla3[[#This Row],[Date]])</f>
        <v>2016</v>
      </c>
      <c r="C96" s="1" t="str">
        <f>+TEXT(Tabla3[[#This Row],[Date]],"mmm")</f>
        <v>jun</v>
      </c>
      <c r="D96" s="2">
        <v>1270.5</v>
      </c>
      <c r="E96" s="2">
        <v>1270.5</v>
      </c>
      <c r="F96" s="2">
        <v>1293.90002441406</v>
      </c>
      <c r="G96" s="2">
        <v>1266.30004882812</v>
      </c>
      <c r="H96" s="2">
        <v>1293.90002441406</v>
      </c>
      <c r="I96">
        <v>134</v>
      </c>
      <c r="J96" s="2">
        <f ca="1">IFERROR((Tabla3[[#This Row],[Close]]-OFFSET(Tabla3[[#This Row],[Close]],-1,0))/OFFSET(Tabla3[[#This Row],[Close]],-1,0),"")</f>
        <v>-1.5116279069767442E-2</v>
      </c>
      <c r="K96" s="2">
        <f ca="1">IFERROR(AVERAGE(OFFSET(Tabla3[[#This Row],[Close]],-6,0,7)),"")</f>
        <v>1286.4142892020059</v>
      </c>
      <c r="L96" s="2">
        <f ca="1">IFERROR(_xlfn.STDEV.S(OFFSET(Tabla3[[#This Row],[Close]],-29,0,30)),"")</f>
        <v>26.53681594201025</v>
      </c>
    </row>
    <row r="97" spans="1:12" x14ac:dyDescent="0.3">
      <c r="A97" s="1">
        <v>42543</v>
      </c>
      <c r="B97" s="3">
        <f>YEAR(Tabla3[[#This Row],[Date]])</f>
        <v>2016</v>
      </c>
      <c r="C97" s="1" t="str">
        <f>+TEXT(Tabla3[[#This Row],[Date]],"mmm")</f>
        <v>jun</v>
      </c>
      <c r="D97" s="2">
        <v>1268</v>
      </c>
      <c r="E97" s="2">
        <v>1268</v>
      </c>
      <c r="F97" s="2">
        <v>1269.19995117187</v>
      </c>
      <c r="G97" s="2">
        <v>1264.90002441406</v>
      </c>
      <c r="H97" s="2">
        <v>1267</v>
      </c>
      <c r="I97">
        <v>53</v>
      </c>
      <c r="J97" s="2">
        <f ca="1">IFERROR((Tabla3[[#This Row],[Close]]-OFFSET(Tabla3[[#This Row],[Close]],-1,0))/OFFSET(Tabla3[[#This Row],[Close]],-1,0),"")</f>
        <v>-1.9677292404565133E-3</v>
      </c>
      <c r="K97" s="2">
        <f ca="1">IFERROR(AVERAGE(OFFSET(Tabla3[[#This Row],[Close]],-6,0,7)),"")</f>
        <v>1284.0714285714257</v>
      </c>
      <c r="L97" s="2">
        <f ca="1">IFERROR(_xlfn.STDEV.S(OFFSET(Tabla3[[#This Row],[Close]],-29,0,30)),"")</f>
        <v>26.581982528326876</v>
      </c>
    </row>
    <row r="98" spans="1:12" x14ac:dyDescent="0.3">
      <c r="A98" s="1">
        <v>42544</v>
      </c>
      <c r="B98" s="3">
        <f>YEAR(Tabla3[[#This Row],[Date]])</f>
        <v>2016</v>
      </c>
      <c r="C98" s="1" t="str">
        <f>+TEXT(Tabla3[[#This Row],[Date]],"mmm")</f>
        <v>jun</v>
      </c>
      <c r="D98" s="2">
        <v>1261.19995117187</v>
      </c>
      <c r="E98" s="2">
        <v>1261.19995117187</v>
      </c>
      <c r="F98" s="2">
        <v>1270.5</v>
      </c>
      <c r="G98" s="2">
        <v>1255.19995117187</v>
      </c>
      <c r="H98" s="2">
        <v>1263.40002441406</v>
      </c>
      <c r="I98">
        <v>218</v>
      </c>
      <c r="J98" s="2">
        <f ca="1">IFERROR((Tabla3[[#This Row],[Close]]-OFFSET(Tabla3[[#This Row],[Close]],-1,0))/OFFSET(Tabla3[[#This Row],[Close]],-1,0),"")</f>
        <v>-5.3628145332255536E-3</v>
      </c>
      <c r="K98" s="2">
        <f ca="1">IFERROR(AVERAGE(OFFSET(Tabla3[[#This Row],[Close]],-6,0,7)),"")</f>
        <v>1280.5857107979884</v>
      </c>
      <c r="L98" s="2">
        <f ca="1">IFERROR(_xlfn.STDEV.S(OFFSET(Tabla3[[#This Row],[Close]],-29,0,30)),"")</f>
        <v>26.397257316684314</v>
      </c>
    </row>
    <row r="99" spans="1:12" x14ac:dyDescent="0.3">
      <c r="A99" s="1">
        <v>42545</v>
      </c>
      <c r="B99" s="3">
        <f>YEAR(Tabla3[[#This Row],[Date]])</f>
        <v>2016</v>
      </c>
      <c r="C99" s="1" t="str">
        <f>+TEXT(Tabla3[[#This Row],[Date]],"mmm")</f>
        <v>jun</v>
      </c>
      <c r="D99" s="2">
        <v>1320</v>
      </c>
      <c r="E99" s="2">
        <v>1320</v>
      </c>
      <c r="F99" s="2">
        <v>1355.59997558593</v>
      </c>
      <c r="G99" s="2">
        <v>1253.69995117187</v>
      </c>
      <c r="H99" s="2">
        <v>1253.69995117187</v>
      </c>
      <c r="I99">
        <v>694</v>
      </c>
      <c r="J99" s="2">
        <f ca="1">IFERROR((Tabla3[[#This Row],[Close]]-OFFSET(Tabla3[[#This Row],[Close]],-1,0))/OFFSET(Tabla3[[#This Row],[Close]],-1,0),"")</f>
        <v>4.6622305030613681E-2</v>
      </c>
      <c r="K99" s="2">
        <f ca="1">IFERROR(AVERAGE(OFFSET(Tabla3[[#This Row],[Close]],-6,0,7)),"")</f>
        <v>1285.471418108257</v>
      </c>
      <c r="L99" s="2">
        <f ca="1">IFERROR(_xlfn.STDEV.S(OFFSET(Tabla3[[#This Row],[Close]],-29,0,30)),"")</f>
        <v>28.713086148703976</v>
      </c>
    </row>
    <row r="100" spans="1:12" x14ac:dyDescent="0.3">
      <c r="A100" s="1">
        <v>42548</v>
      </c>
      <c r="B100" s="3">
        <f>YEAR(Tabla3[[#This Row],[Date]])</f>
        <v>2016</v>
      </c>
      <c r="C100" s="1" t="str">
        <f>+TEXT(Tabla3[[#This Row],[Date]],"mmm")</f>
        <v>jun</v>
      </c>
      <c r="D100" s="2">
        <v>1322.5</v>
      </c>
      <c r="E100" s="2">
        <v>1322.5</v>
      </c>
      <c r="F100" s="2">
        <v>1331.69995117187</v>
      </c>
      <c r="G100" s="2">
        <v>1320</v>
      </c>
      <c r="H100" s="2">
        <v>1330</v>
      </c>
      <c r="I100">
        <v>92</v>
      </c>
      <c r="J100" s="2">
        <f ca="1">IFERROR((Tabla3[[#This Row],[Close]]-OFFSET(Tabla3[[#This Row],[Close]],-1,0))/OFFSET(Tabla3[[#This Row],[Close]],-1,0),"")</f>
        <v>1.893939393939394E-3</v>
      </c>
      <c r="K100" s="2">
        <f ca="1">IFERROR(AVERAGE(OFFSET(Tabla3[[#This Row],[Close]],-6,0,7)),"")</f>
        <v>1289.2428501674099</v>
      </c>
      <c r="L100" s="2">
        <f ca="1">IFERROR(_xlfn.STDEV.S(OFFSET(Tabla3[[#This Row],[Close]],-29,0,30)),"")</f>
        <v>30.914379411677366</v>
      </c>
    </row>
    <row r="101" spans="1:12" x14ac:dyDescent="0.3">
      <c r="A101" s="1">
        <v>42549</v>
      </c>
      <c r="B101" s="3">
        <f>YEAR(Tabla3[[#This Row],[Date]])</f>
        <v>2016</v>
      </c>
      <c r="C101" s="1" t="str">
        <f>+TEXT(Tabla3[[#This Row],[Date]],"mmm")</f>
        <v>jun</v>
      </c>
      <c r="D101" s="2">
        <v>1315.30004882812</v>
      </c>
      <c r="E101" s="2">
        <v>1315.30004882812</v>
      </c>
      <c r="F101" s="2">
        <v>1315.59997558593</v>
      </c>
      <c r="G101" s="2">
        <v>1314.09997558593</v>
      </c>
      <c r="H101" s="2">
        <v>1314.80004882812</v>
      </c>
      <c r="I101">
        <v>1072</v>
      </c>
      <c r="J101" s="2">
        <f ca="1">IFERROR((Tabla3[[#This Row],[Close]]-OFFSET(Tabla3[[#This Row],[Close]],-1,0))/OFFSET(Tabla3[[#This Row],[Close]],-1,0),"")</f>
        <v>-5.4441974834631398E-3</v>
      </c>
      <c r="K101" s="2">
        <f ca="1">IFERROR(AVERAGE(OFFSET(Tabla3[[#This Row],[Close]],-6,0,7)),"")</f>
        <v>1292.4999999999984</v>
      </c>
      <c r="L101" s="2">
        <f ca="1">IFERROR(_xlfn.STDEV.S(OFFSET(Tabla3[[#This Row],[Close]],-29,0,30)),"")</f>
        <v>32.429896292771623</v>
      </c>
    </row>
    <row r="102" spans="1:12" x14ac:dyDescent="0.3">
      <c r="A102" s="1">
        <v>42550</v>
      </c>
      <c r="B102" s="3">
        <f>YEAR(Tabla3[[#This Row],[Date]])</f>
        <v>2016</v>
      </c>
      <c r="C102" s="1" t="str">
        <f>+TEXT(Tabla3[[#This Row],[Date]],"mmm")</f>
        <v>jun</v>
      </c>
      <c r="D102" s="2">
        <v>1323.90002441406</v>
      </c>
      <c r="E102" s="2">
        <v>1323.90002441406</v>
      </c>
      <c r="F102" s="2">
        <v>1327.40002441406</v>
      </c>
      <c r="G102" s="2">
        <v>1311.59997558593</v>
      </c>
      <c r="H102" s="2">
        <v>1311.59997558593</v>
      </c>
      <c r="I102">
        <v>414</v>
      </c>
      <c r="J102" s="2">
        <f ca="1">IFERROR((Tabla3[[#This Row],[Close]]-OFFSET(Tabla3[[#This Row],[Close]],-1,0))/OFFSET(Tabla3[[#This Row],[Close]],-1,0),"")</f>
        <v>6.5384134924971965E-3</v>
      </c>
      <c r="K102" s="2">
        <f ca="1">IFERROR(AVERAGE(OFFSET(Tabla3[[#This Row],[Close]],-6,0,7)),"")</f>
        <v>1297.3428606305786</v>
      </c>
      <c r="L102" s="2">
        <f ca="1">IFERROR(_xlfn.STDEV.S(OFFSET(Tabla3[[#This Row],[Close]],-29,0,30)),"")</f>
        <v>34.275714776431101</v>
      </c>
    </row>
    <row r="103" spans="1:12" x14ac:dyDescent="0.3">
      <c r="A103" s="1">
        <v>42551</v>
      </c>
      <c r="B103" s="3">
        <f>YEAR(Tabla3[[#This Row],[Date]])</f>
        <v>2016</v>
      </c>
      <c r="C103" s="1" t="str">
        <f>+TEXT(Tabla3[[#This Row],[Date]],"mmm")</f>
        <v>jun</v>
      </c>
      <c r="D103" s="2">
        <v>1318.40002441406</v>
      </c>
      <c r="E103" s="2">
        <v>1318.40002441406</v>
      </c>
      <c r="F103" s="2">
        <v>1323.5</v>
      </c>
      <c r="G103" s="2">
        <v>1314.5</v>
      </c>
      <c r="H103" s="2">
        <v>1315.80004882812</v>
      </c>
      <c r="I103">
        <v>560</v>
      </c>
      <c r="J103" s="2">
        <f ca="1">IFERROR((Tabla3[[#This Row],[Close]]-OFFSET(Tabla3[[#This Row],[Close]],-1,0))/OFFSET(Tabla3[[#This Row],[Close]],-1,0),"")</f>
        <v>-4.1543922490931478E-3</v>
      </c>
      <c r="K103" s="2">
        <f ca="1">IFERROR(AVERAGE(OFFSET(Tabla3[[#This Row],[Close]],-6,0,7)),"")</f>
        <v>1304.1857212611583</v>
      </c>
      <c r="L103" s="2">
        <f ca="1">IFERROR(_xlfn.STDEV.S(OFFSET(Tabla3[[#This Row],[Close]],-29,0,30)),"")</f>
        <v>35.680929991433437</v>
      </c>
    </row>
    <row r="104" spans="1:12" x14ac:dyDescent="0.3">
      <c r="A104" s="1">
        <v>42552</v>
      </c>
      <c r="B104" s="3">
        <f>YEAR(Tabla3[[#This Row],[Date]])</f>
        <v>2016</v>
      </c>
      <c r="C104" s="1" t="str">
        <f>+TEXT(Tabla3[[#This Row],[Date]],"mmm")</f>
        <v>jul</v>
      </c>
      <c r="D104" s="2">
        <v>1336.69995117187</v>
      </c>
      <c r="E104" s="2">
        <v>1336.69995117187</v>
      </c>
      <c r="F104" s="2">
        <v>1344.19995117187</v>
      </c>
      <c r="G104" s="2">
        <v>1321.90002441406</v>
      </c>
      <c r="H104" s="2">
        <v>1324.5</v>
      </c>
      <c r="I104">
        <v>137</v>
      </c>
      <c r="J104" s="2">
        <f ca="1">IFERROR((Tabla3[[#This Row],[Close]]-OFFSET(Tabla3[[#This Row],[Close]],-1,0))/OFFSET(Tabla3[[#This Row],[Close]],-1,0),"")</f>
        <v>1.3880405354166375E-2</v>
      </c>
      <c r="K104" s="2">
        <f ca="1">IFERROR(AVERAGE(OFFSET(Tabla3[[#This Row],[Close]],-6,0,7)),"")</f>
        <v>1313.999999999997</v>
      </c>
      <c r="L104" s="2">
        <f ca="1">IFERROR(_xlfn.STDEV.S(OFFSET(Tabla3[[#This Row],[Close]],-29,0,30)),"")</f>
        <v>37.935289755279797</v>
      </c>
    </row>
    <row r="105" spans="1:12" x14ac:dyDescent="0.3">
      <c r="A105" s="1">
        <v>42556</v>
      </c>
      <c r="B105" s="3">
        <f>YEAR(Tabla3[[#This Row],[Date]])</f>
        <v>2016</v>
      </c>
      <c r="C105" s="1" t="str">
        <f>+TEXT(Tabla3[[#This Row],[Date]],"mmm")</f>
        <v>jul</v>
      </c>
      <c r="D105" s="2">
        <v>1356.40002441406</v>
      </c>
      <c r="E105" s="2">
        <v>1356.40002441406</v>
      </c>
      <c r="F105" s="2">
        <v>1356.80004882812</v>
      </c>
      <c r="G105" s="2">
        <v>1339.69995117187</v>
      </c>
      <c r="H105" s="2">
        <v>1342.19995117187</v>
      </c>
      <c r="I105">
        <v>90</v>
      </c>
      <c r="J105" s="2">
        <f ca="1">IFERROR((Tabla3[[#This Row],[Close]]-OFFSET(Tabla3[[#This Row],[Close]],-1,0))/OFFSET(Tabla3[[#This Row],[Close]],-1,0),"")</f>
        <v>1.473784241924986E-2</v>
      </c>
      <c r="K105" s="2">
        <f ca="1">IFERROR(AVERAGE(OFFSET(Tabla3[[#This Row],[Close]],-6,0,7)),"")</f>
        <v>1327.6000104631673</v>
      </c>
      <c r="L105" s="2">
        <f ca="1">IFERROR(_xlfn.STDEV.S(OFFSET(Tabla3[[#This Row],[Close]],-29,0,30)),"")</f>
        <v>41.111951353906235</v>
      </c>
    </row>
    <row r="106" spans="1:12" x14ac:dyDescent="0.3">
      <c r="A106" s="1">
        <v>42557</v>
      </c>
      <c r="B106" s="3">
        <f>YEAR(Tabla3[[#This Row],[Date]])</f>
        <v>2016</v>
      </c>
      <c r="C106" s="1" t="str">
        <f>+TEXT(Tabla3[[#This Row],[Date]],"mmm")</f>
        <v>jul</v>
      </c>
      <c r="D106" s="2">
        <v>1364.90002441406</v>
      </c>
      <c r="E106" s="2">
        <v>1364.90002441406</v>
      </c>
      <c r="F106" s="2">
        <v>1374.90002441406</v>
      </c>
      <c r="G106" s="2">
        <v>1359</v>
      </c>
      <c r="H106" s="2">
        <v>1359</v>
      </c>
      <c r="I106">
        <v>130</v>
      </c>
      <c r="J106" s="2">
        <f ca="1">IFERROR((Tabla3[[#This Row],[Close]]-OFFSET(Tabla3[[#This Row],[Close]],-1,0))/OFFSET(Tabla3[[#This Row],[Close]],-1,0),"")</f>
        <v>6.2665879143373243E-3</v>
      </c>
      <c r="K106" s="2">
        <f ca="1">IFERROR(AVERAGE(OFFSET(Tabla3[[#This Row],[Close]],-6,0,7)),"")</f>
        <v>1334.0142996651757</v>
      </c>
      <c r="L106" s="2">
        <f ca="1">IFERROR(_xlfn.STDEV.S(OFFSET(Tabla3[[#This Row],[Close]],-29,0,30)),"")</f>
        <v>44.325221873017782</v>
      </c>
    </row>
    <row r="107" spans="1:12" x14ac:dyDescent="0.3">
      <c r="A107" s="1">
        <v>42558</v>
      </c>
      <c r="B107" s="3">
        <f>YEAR(Tabla3[[#This Row],[Date]])</f>
        <v>2016</v>
      </c>
      <c r="C107" s="1" t="str">
        <f>+TEXT(Tabla3[[#This Row],[Date]],"mmm")</f>
        <v>jul</v>
      </c>
      <c r="D107" s="2">
        <v>1360.09997558593</v>
      </c>
      <c r="E107" s="2">
        <v>1360.09997558593</v>
      </c>
      <c r="F107" s="2">
        <v>1368.59997558593</v>
      </c>
      <c r="G107" s="2">
        <v>1350.5</v>
      </c>
      <c r="H107" s="2">
        <v>1366.80004882812</v>
      </c>
      <c r="I107">
        <v>207</v>
      </c>
      <c r="J107" s="2">
        <f ca="1">IFERROR((Tabla3[[#This Row],[Close]]-OFFSET(Tabla3[[#This Row],[Close]],-1,0))/OFFSET(Tabla3[[#This Row],[Close]],-1,0),"")</f>
        <v>-3.5167768644378348E-3</v>
      </c>
      <c r="K107" s="2">
        <f ca="1">IFERROR(AVERAGE(OFFSET(Tabla3[[#This Row],[Close]],-6,0,7)),"")</f>
        <v>1339.38572474888</v>
      </c>
      <c r="L107" s="2">
        <f ca="1">IFERROR(_xlfn.STDEV.S(OFFSET(Tabla3[[#This Row],[Close]],-29,0,30)),"")</f>
        <v>46.06663660740432</v>
      </c>
    </row>
    <row r="108" spans="1:12" x14ac:dyDescent="0.3">
      <c r="A108" s="1">
        <v>42559</v>
      </c>
      <c r="B108" s="3">
        <f>YEAR(Tabla3[[#This Row],[Date]])</f>
        <v>2016</v>
      </c>
      <c r="C108" s="1" t="str">
        <f>+TEXT(Tabla3[[#This Row],[Date]],"mmm")</f>
        <v>jul</v>
      </c>
      <c r="D108" s="2">
        <v>1356.59997558593</v>
      </c>
      <c r="E108" s="2">
        <v>1356.59997558593</v>
      </c>
      <c r="F108" s="2">
        <v>1365.80004882812</v>
      </c>
      <c r="G108" s="2">
        <v>1335</v>
      </c>
      <c r="H108" s="2">
        <v>1361.30004882812</v>
      </c>
      <c r="I108">
        <v>249</v>
      </c>
      <c r="J108" s="2">
        <f ca="1">IFERROR((Tabla3[[#This Row],[Close]]-OFFSET(Tabla3[[#This Row],[Close]],-1,0))/OFFSET(Tabla3[[#This Row],[Close]],-1,0),"")</f>
        <v>-2.5733402417658325E-3</v>
      </c>
      <c r="K108" s="2">
        <f ca="1">IFERROR(AVERAGE(OFFSET(Tabla3[[#This Row],[Close]],-6,0,7)),"")</f>
        <v>1345.2857142857099</v>
      </c>
      <c r="L108" s="2">
        <f ca="1">IFERROR(_xlfn.STDEV.S(OFFSET(Tabla3[[#This Row],[Close]],-29,0,30)),"")</f>
        <v>46.909928960232214</v>
      </c>
    </row>
    <row r="109" spans="1:12" x14ac:dyDescent="0.3">
      <c r="A109" s="1">
        <v>42562</v>
      </c>
      <c r="B109" s="3">
        <f>YEAR(Tabla3[[#This Row],[Date]])</f>
        <v>2016</v>
      </c>
      <c r="C109" s="1" t="str">
        <f>+TEXT(Tabla3[[#This Row],[Date]],"mmm")</f>
        <v>jul</v>
      </c>
      <c r="D109" s="2">
        <v>1355</v>
      </c>
      <c r="E109" s="2">
        <v>1355</v>
      </c>
      <c r="F109" s="2">
        <v>1371.80004882812</v>
      </c>
      <c r="G109" s="2">
        <v>1353</v>
      </c>
      <c r="H109" s="2">
        <v>1371.69995117187</v>
      </c>
      <c r="I109">
        <v>26</v>
      </c>
      <c r="J109" s="2">
        <f ca="1">IFERROR((Tabla3[[#This Row],[Close]]-OFFSET(Tabla3[[#This Row],[Close]],-1,0))/OFFSET(Tabla3[[#This Row],[Close]],-1,0),"")</f>
        <v>-1.1794011607872469E-3</v>
      </c>
      <c r="K109" s="2">
        <f ca="1">IFERROR(AVERAGE(OFFSET(Tabla3[[#This Row],[Close]],-6,0,7)),"")</f>
        <v>1349.7285679408444</v>
      </c>
      <c r="L109" s="2">
        <f ca="1">IFERROR(_xlfn.STDEV.S(OFFSET(Tabla3[[#This Row],[Close]],-29,0,30)),"")</f>
        <v>47.065849598080483</v>
      </c>
    </row>
    <row r="110" spans="1:12" x14ac:dyDescent="0.3">
      <c r="A110" s="1">
        <v>42563</v>
      </c>
      <c r="B110" s="3">
        <f>YEAR(Tabla3[[#This Row],[Date]])</f>
        <v>2016</v>
      </c>
      <c r="C110" s="1" t="str">
        <f>+TEXT(Tabla3[[#This Row],[Date]],"mmm")</f>
        <v>jul</v>
      </c>
      <c r="D110" s="2">
        <v>1334.09997558593</v>
      </c>
      <c r="E110" s="2">
        <v>1334.09997558593</v>
      </c>
      <c r="F110" s="2">
        <v>1356</v>
      </c>
      <c r="G110" s="2">
        <v>1330.30004882812</v>
      </c>
      <c r="H110" s="2">
        <v>1353.59997558593</v>
      </c>
      <c r="I110">
        <v>252</v>
      </c>
      <c r="J110" s="2">
        <f ca="1">IFERROR((Tabla3[[#This Row],[Close]]-OFFSET(Tabla3[[#This Row],[Close]],-1,0))/OFFSET(Tabla3[[#This Row],[Close]],-1,0),"")</f>
        <v>-1.5424372261306276E-2</v>
      </c>
      <c r="K110" s="2">
        <f ca="1">IFERROR(AVERAGE(OFFSET(Tabla3[[#This Row],[Close]],-6,0,7)),"")</f>
        <v>1351.9714181082543</v>
      </c>
      <c r="L110" s="2">
        <f ca="1">IFERROR(_xlfn.STDEV.S(OFFSET(Tabla3[[#This Row],[Close]],-29,0,30)),"")</f>
        <v>45.608555157131256</v>
      </c>
    </row>
    <row r="111" spans="1:12" x14ac:dyDescent="0.3">
      <c r="A111" s="1">
        <v>42564</v>
      </c>
      <c r="B111" s="3">
        <f>YEAR(Tabla3[[#This Row],[Date]])</f>
        <v>2016</v>
      </c>
      <c r="C111" s="1" t="str">
        <f>+TEXT(Tabla3[[#This Row],[Date]],"mmm")</f>
        <v>jul</v>
      </c>
      <c r="D111" s="2">
        <v>1342.40002441406</v>
      </c>
      <c r="E111" s="2">
        <v>1342.40002441406</v>
      </c>
      <c r="F111" s="2">
        <v>1342.40002441406</v>
      </c>
      <c r="G111" s="2">
        <v>1336.69995117187</v>
      </c>
      <c r="H111" s="2">
        <v>1341.5</v>
      </c>
      <c r="I111">
        <v>7</v>
      </c>
      <c r="J111" s="2">
        <f ca="1">IFERROR((Tabla3[[#This Row],[Close]]-OFFSET(Tabla3[[#This Row],[Close]],-1,0))/OFFSET(Tabla3[[#This Row],[Close]],-1,0),"")</f>
        <v>6.2214593958632393E-3</v>
      </c>
      <c r="K111" s="2">
        <f ca="1">IFERROR(AVERAGE(OFFSET(Tabla3[[#This Row],[Close]],-6,0,7)),"")</f>
        <v>1352.7857142857101</v>
      </c>
      <c r="L111" s="2">
        <f ca="1">IFERROR(_xlfn.STDEV.S(OFFSET(Tabla3[[#This Row],[Close]],-29,0,30)),"")</f>
        <v>44.061918025610822</v>
      </c>
    </row>
    <row r="112" spans="1:12" x14ac:dyDescent="0.3">
      <c r="A112" s="1">
        <v>42565</v>
      </c>
      <c r="B112" s="3">
        <f>YEAR(Tabla3[[#This Row],[Date]])</f>
        <v>2016</v>
      </c>
      <c r="C112" s="1" t="str">
        <f>+TEXT(Tabla3[[#This Row],[Date]],"mmm")</f>
        <v>jul</v>
      </c>
      <c r="D112" s="2">
        <v>1331.30004882812</v>
      </c>
      <c r="E112" s="2">
        <v>1331.30004882812</v>
      </c>
      <c r="F112" s="2">
        <v>1341.40002441406</v>
      </c>
      <c r="G112" s="2">
        <v>1322.69995117187</v>
      </c>
      <c r="H112" s="2">
        <v>1341.40002441406</v>
      </c>
      <c r="I112">
        <v>20</v>
      </c>
      <c r="J112" s="2">
        <f ca="1">IFERROR((Tabla3[[#This Row],[Close]]-OFFSET(Tabla3[[#This Row],[Close]],-1,0))/OFFSET(Tabla3[[#This Row],[Close]],-1,0),"")</f>
        <v>-8.2687540107763292E-3</v>
      </c>
      <c r="K112" s="2">
        <f ca="1">IFERROR(AVERAGE(OFFSET(Tabla3[[#This Row],[Close]],-6,0,7)),"")</f>
        <v>1349.2000034877185</v>
      </c>
      <c r="L112" s="2">
        <f ca="1">IFERROR(_xlfn.STDEV.S(OFFSET(Tabla3[[#This Row],[Close]],-29,0,30)),"")</f>
        <v>41.474539153160293</v>
      </c>
    </row>
    <row r="113" spans="1:12" x14ac:dyDescent="0.3">
      <c r="A113" s="1">
        <v>42566</v>
      </c>
      <c r="B113" s="3">
        <f>YEAR(Tabla3[[#This Row],[Date]])</f>
        <v>2016</v>
      </c>
      <c r="C113" s="1" t="str">
        <f>+TEXT(Tabla3[[#This Row],[Date]],"mmm")</f>
        <v>jul</v>
      </c>
      <c r="D113" s="2">
        <v>1326.5</v>
      </c>
      <c r="E113" s="2">
        <v>1326.5</v>
      </c>
      <c r="F113" s="2">
        <v>1333.69995117187</v>
      </c>
      <c r="G113" s="2">
        <v>1322.90002441406</v>
      </c>
      <c r="H113" s="2">
        <v>1333.69995117187</v>
      </c>
      <c r="I113">
        <v>52</v>
      </c>
      <c r="J113" s="2">
        <f ca="1">IFERROR((Tabla3[[#This Row],[Close]]-OFFSET(Tabla3[[#This Row],[Close]],-1,0))/OFFSET(Tabla3[[#This Row],[Close]],-1,0),"")</f>
        <v>-3.6055349298193535E-3</v>
      </c>
      <c r="K113" s="2">
        <f ca="1">IFERROR(AVERAGE(OFFSET(Tabla3[[#This Row],[Close]],-6,0,7)),"")</f>
        <v>1343.7142857142812</v>
      </c>
      <c r="L113" s="2">
        <f ca="1">IFERROR(_xlfn.STDEV.S(OFFSET(Tabla3[[#This Row],[Close]],-29,0,30)),"")</f>
        <v>38.005135689882053</v>
      </c>
    </row>
    <row r="114" spans="1:12" x14ac:dyDescent="0.3">
      <c r="A114" s="1">
        <v>42569</v>
      </c>
      <c r="B114" s="3">
        <f>YEAR(Tabla3[[#This Row],[Date]])</f>
        <v>2016</v>
      </c>
      <c r="C114" s="1" t="str">
        <f>+TEXT(Tabla3[[#This Row],[Date]],"mmm")</f>
        <v>jul</v>
      </c>
      <c r="D114" s="2">
        <v>1328.40002441406</v>
      </c>
      <c r="E114" s="2">
        <v>1328.40002441406</v>
      </c>
      <c r="F114" s="2">
        <v>1335</v>
      </c>
      <c r="G114" s="2">
        <v>1326.19995117187</v>
      </c>
      <c r="H114" s="2">
        <v>1327.5</v>
      </c>
      <c r="I114">
        <v>54</v>
      </c>
      <c r="J114" s="2">
        <f ca="1">IFERROR((Tabla3[[#This Row],[Close]]-OFFSET(Tabla3[[#This Row],[Close]],-1,0))/OFFSET(Tabla3[[#This Row],[Close]],-1,0),"")</f>
        <v>1.4323591511948728E-3</v>
      </c>
      <c r="K114" s="2">
        <f ca="1">IFERROR(AVERAGE(OFFSET(Tabla3[[#This Row],[Close]],-6,0,7)),"")</f>
        <v>1339.1857212611574</v>
      </c>
      <c r="L114" s="2">
        <f ca="1">IFERROR(_xlfn.STDEV.S(OFFSET(Tabla3[[#This Row],[Close]],-29,0,30)),"")</f>
        <v>36.235143674666361</v>
      </c>
    </row>
    <row r="115" spans="1:12" x14ac:dyDescent="0.3">
      <c r="A115" s="1">
        <v>42570</v>
      </c>
      <c r="B115" s="3">
        <f>YEAR(Tabla3[[#This Row],[Date]])</f>
        <v>2016</v>
      </c>
      <c r="C115" s="1" t="str">
        <f>+TEXT(Tabla3[[#This Row],[Date]],"mmm")</f>
        <v>jul</v>
      </c>
      <c r="D115" s="2">
        <v>1331.5</v>
      </c>
      <c r="E115" s="2">
        <v>1331.5</v>
      </c>
      <c r="F115" s="2">
        <v>1333.19995117187</v>
      </c>
      <c r="G115" s="2">
        <v>1326.40002441406</v>
      </c>
      <c r="H115" s="2">
        <v>1328.5</v>
      </c>
      <c r="I115">
        <v>322</v>
      </c>
      <c r="J115" s="2">
        <f ca="1">IFERROR((Tabla3[[#This Row],[Close]]-OFFSET(Tabla3[[#This Row],[Close]],-1,0))/OFFSET(Tabla3[[#This Row],[Close]],-1,0),"")</f>
        <v>2.3336160260214989E-3</v>
      </c>
      <c r="K115" s="2">
        <f ca="1">IFERROR(AVERAGE(OFFSET(Tabla3[[#This Row],[Close]],-6,0,7)),"")</f>
        <v>1335.6000104631671</v>
      </c>
      <c r="L115" s="2">
        <f ca="1">IFERROR(_xlfn.STDEV.S(OFFSET(Tabla3[[#This Row],[Close]],-29,0,30)),"")</f>
        <v>34.48098388122262</v>
      </c>
    </row>
    <row r="116" spans="1:12" x14ac:dyDescent="0.3">
      <c r="A116" s="1">
        <v>42571</v>
      </c>
      <c r="B116" s="3">
        <f>YEAR(Tabla3[[#This Row],[Date]])</f>
        <v>2016</v>
      </c>
      <c r="C116" s="1" t="str">
        <f>+TEXT(Tabla3[[#This Row],[Date]],"mmm")</f>
        <v>jul</v>
      </c>
      <c r="D116" s="2">
        <v>1318.80004882812</v>
      </c>
      <c r="E116" s="2">
        <v>1318.80004882812</v>
      </c>
      <c r="F116" s="2">
        <v>1337.5</v>
      </c>
      <c r="G116" s="2">
        <v>1315.5</v>
      </c>
      <c r="H116" s="2">
        <v>1331</v>
      </c>
      <c r="I116">
        <v>751</v>
      </c>
      <c r="J116" s="2">
        <f ca="1">IFERROR((Tabla3[[#This Row],[Close]]-OFFSET(Tabla3[[#This Row],[Close]],-1,0))/OFFSET(Tabla3[[#This Row],[Close]],-1,0),"")</f>
        <v>-9.5380782364851684E-3</v>
      </c>
      <c r="K116" s="2">
        <f ca="1">IFERROR(AVERAGE(OFFSET(Tabla3[[#This Row],[Close]],-6,0,7)),"")</f>
        <v>1330.4285888671843</v>
      </c>
      <c r="L116" s="2">
        <f ca="1">IFERROR(_xlfn.STDEV.S(OFFSET(Tabla3[[#This Row],[Close]],-29,0,30)),"")</f>
        <v>32.184552108511561</v>
      </c>
    </row>
    <row r="117" spans="1:12" x14ac:dyDescent="0.3">
      <c r="A117" s="1">
        <v>42572</v>
      </c>
      <c r="B117" s="3">
        <f>YEAR(Tabla3[[#This Row],[Date]])</f>
        <v>2016</v>
      </c>
      <c r="C117" s="1" t="str">
        <f>+TEXT(Tabla3[[#This Row],[Date]],"mmm")</f>
        <v>jul</v>
      </c>
      <c r="D117" s="2">
        <v>1330.5</v>
      </c>
      <c r="E117" s="2">
        <v>1330.5</v>
      </c>
      <c r="F117" s="2">
        <v>1330.5</v>
      </c>
      <c r="G117" s="2">
        <v>1312.80004882812</v>
      </c>
      <c r="H117" s="2">
        <v>1312.80004882812</v>
      </c>
      <c r="I117">
        <v>318</v>
      </c>
      <c r="J117" s="2">
        <f ca="1">IFERROR((Tabla3[[#This Row],[Close]]-OFFSET(Tabla3[[#This Row],[Close]],-1,0))/OFFSET(Tabla3[[#This Row],[Close]],-1,0),"")</f>
        <v>8.871664193731664E-3</v>
      </c>
      <c r="K117" s="2">
        <f ca="1">IFERROR(AVERAGE(OFFSET(Tabla3[[#This Row],[Close]],-6,0,7)),"")</f>
        <v>1329.914306640623</v>
      </c>
      <c r="L117" s="2">
        <f ca="1">IFERROR(_xlfn.STDEV.S(OFFSET(Tabla3[[#This Row],[Close]],-29,0,30)),"")</f>
        <v>30.735037866340576</v>
      </c>
    </row>
    <row r="118" spans="1:12" x14ac:dyDescent="0.3">
      <c r="A118" s="1">
        <v>42573</v>
      </c>
      <c r="B118" s="3">
        <f>YEAR(Tabla3[[#This Row],[Date]])</f>
        <v>2016</v>
      </c>
      <c r="C118" s="1" t="str">
        <f>+TEXT(Tabla3[[#This Row],[Date]],"mmm")</f>
        <v>jul</v>
      </c>
      <c r="D118" s="2">
        <v>1323.09997558593</v>
      </c>
      <c r="E118" s="2">
        <v>1323.09997558593</v>
      </c>
      <c r="F118" s="2">
        <v>1330.69995117187</v>
      </c>
      <c r="G118" s="2">
        <v>1320.40002441406</v>
      </c>
      <c r="H118" s="2">
        <v>1330.69995117187</v>
      </c>
      <c r="I118">
        <v>55</v>
      </c>
      <c r="J118" s="2">
        <f ca="1">IFERROR((Tabla3[[#This Row],[Close]]-OFFSET(Tabla3[[#This Row],[Close]],-1,0))/OFFSET(Tabla3[[#This Row],[Close]],-1,0),"")</f>
        <v>-5.5618372146335991E-3</v>
      </c>
      <c r="K118" s="2">
        <f ca="1">IFERROR(AVERAGE(OFFSET(Tabla3[[#This Row],[Close]],-6,0,7)),"")</f>
        <v>1327.1571568080328</v>
      </c>
      <c r="L118" s="2">
        <f ca="1">IFERROR(_xlfn.STDEV.S(OFFSET(Tabla3[[#This Row],[Close]],-29,0,30)),"")</f>
        <v>29.569550821619067</v>
      </c>
    </row>
    <row r="119" spans="1:12" x14ac:dyDescent="0.3">
      <c r="A119" s="1">
        <v>42576</v>
      </c>
      <c r="B119" s="3">
        <f>YEAR(Tabla3[[#This Row],[Date]])</f>
        <v>2016</v>
      </c>
      <c r="C119" s="1" t="str">
        <f>+TEXT(Tabla3[[#This Row],[Date]],"mmm")</f>
        <v>jul</v>
      </c>
      <c r="D119" s="2">
        <v>1319.30004882812</v>
      </c>
      <c r="E119" s="2">
        <v>1319.30004882812</v>
      </c>
      <c r="F119" s="2">
        <v>1319.30004882812</v>
      </c>
      <c r="G119" s="2">
        <v>1313.80004882812</v>
      </c>
      <c r="H119" s="2">
        <v>1315.69995117187</v>
      </c>
      <c r="I119">
        <v>548</v>
      </c>
      <c r="J119" s="2">
        <f ca="1">IFERROR((Tabla3[[#This Row],[Close]]-OFFSET(Tabla3[[#This Row],[Close]],-1,0))/OFFSET(Tabla3[[#This Row],[Close]],-1,0),"")</f>
        <v>-2.8719876259745338E-3</v>
      </c>
      <c r="K119" s="2">
        <f ca="1">IFERROR(AVERAGE(OFFSET(Tabla3[[#This Row],[Close]],-6,0,7)),"")</f>
        <v>1325.442871093747</v>
      </c>
      <c r="L119" s="2">
        <f ca="1">IFERROR(_xlfn.STDEV.S(OFFSET(Tabla3[[#This Row],[Close]],-29,0,30)),"")</f>
        <v>28.411485401259487</v>
      </c>
    </row>
    <row r="120" spans="1:12" x14ac:dyDescent="0.3">
      <c r="A120" s="1">
        <v>42577</v>
      </c>
      <c r="B120" s="3">
        <f>YEAR(Tabla3[[#This Row],[Date]])</f>
        <v>2016</v>
      </c>
      <c r="C120" s="1" t="str">
        <f>+TEXT(Tabla3[[#This Row],[Date]],"mmm")</f>
        <v>jul</v>
      </c>
      <c r="D120" s="2">
        <v>1320.69995117187</v>
      </c>
      <c r="E120" s="2">
        <v>1320.69995117187</v>
      </c>
      <c r="F120" s="2">
        <v>1320.69995117187</v>
      </c>
      <c r="G120" s="2">
        <v>1315.19995117187</v>
      </c>
      <c r="H120" s="2">
        <v>1315.19995117187</v>
      </c>
      <c r="I120">
        <v>63</v>
      </c>
      <c r="J120" s="2">
        <f ca="1">IFERROR((Tabla3[[#This Row],[Close]]-OFFSET(Tabla3[[#This Row],[Close]],-1,0))/OFFSET(Tabla3[[#This Row],[Close]],-1,0),"")</f>
        <v>1.0610947411041755E-3</v>
      </c>
      <c r="K120" s="2">
        <f ca="1">IFERROR(AVERAGE(OFFSET(Tabla3[[#This Row],[Close]],-6,0,7)),"")</f>
        <v>1324.6142926897285</v>
      </c>
      <c r="L120" s="2">
        <f ca="1">IFERROR(_xlfn.STDEV.S(OFFSET(Tabla3[[#This Row],[Close]],-29,0,30)),"")</f>
        <v>27.680352030196495</v>
      </c>
    </row>
    <row r="121" spans="1:12" x14ac:dyDescent="0.3">
      <c r="A121" s="1">
        <v>42578</v>
      </c>
      <c r="B121" s="3">
        <f>YEAR(Tabla3[[#This Row],[Date]])</f>
        <v>2016</v>
      </c>
      <c r="C121" s="1" t="str">
        <f>+TEXT(Tabla3[[#This Row],[Date]],"mmm")</f>
        <v>jul</v>
      </c>
      <c r="D121" s="2">
        <v>1326.59997558593</v>
      </c>
      <c r="E121" s="2">
        <v>1326.59997558593</v>
      </c>
      <c r="F121" s="2">
        <v>1326.59997558593</v>
      </c>
      <c r="G121" s="2">
        <v>1326</v>
      </c>
      <c r="H121" s="2">
        <v>1326</v>
      </c>
      <c r="I121">
        <v>215388</v>
      </c>
      <c r="J121" s="2">
        <f ca="1">IFERROR((Tabla3[[#This Row],[Close]]-OFFSET(Tabla3[[#This Row],[Close]],-1,0))/OFFSET(Tabla3[[#This Row],[Close]],-1,0),"")</f>
        <v>4.4673465830182314E-3</v>
      </c>
      <c r="K121" s="2">
        <f ca="1">IFERROR(AVERAGE(OFFSET(Tabla3[[#This Row],[Close]],-6,0,7)),"")</f>
        <v>1324.3571428571383</v>
      </c>
      <c r="L121" s="2">
        <f ca="1">IFERROR(_xlfn.STDEV.S(OFFSET(Tabla3[[#This Row],[Close]],-29,0,30)),"")</f>
        <v>26.949513781086363</v>
      </c>
    </row>
    <row r="122" spans="1:12" x14ac:dyDescent="0.3">
      <c r="A122" s="1">
        <v>42579</v>
      </c>
      <c r="B122" s="3">
        <f>YEAR(Tabla3[[#This Row],[Date]])</f>
        <v>2016</v>
      </c>
      <c r="C122" s="1" t="str">
        <f>+TEXT(Tabla3[[#This Row],[Date]],"mmm")</f>
        <v>jul</v>
      </c>
      <c r="D122" s="2">
        <v>1332.30004882812</v>
      </c>
      <c r="E122" s="2">
        <v>1332.30004882812</v>
      </c>
      <c r="F122" s="2">
        <v>1344.30004882812</v>
      </c>
      <c r="G122" s="2">
        <v>1330.09997558593</v>
      </c>
      <c r="H122" s="2">
        <v>1339.5</v>
      </c>
      <c r="I122">
        <v>56908</v>
      </c>
      <c r="J122" s="2">
        <f ca="1">IFERROR((Tabla3[[#This Row],[Close]]-OFFSET(Tabla3[[#This Row],[Close]],-1,0))/OFFSET(Tabla3[[#This Row],[Close]],-1,0),"")</f>
        <v>4.2967536160796356E-3</v>
      </c>
      <c r="K122" s="2">
        <f ca="1">IFERROR(AVERAGE(OFFSET(Tabla3[[#This Row],[Close]],-6,0,7)),"")</f>
        <v>1324.4714355468698</v>
      </c>
      <c r="L122" s="2">
        <f ca="1">IFERROR(_xlfn.STDEV.S(OFFSET(Tabla3[[#This Row],[Close]],-29,0,30)),"")</f>
        <v>26.187376358923363</v>
      </c>
    </row>
    <row r="123" spans="1:12" x14ac:dyDescent="0.3">
      <c r="A123" s="1">
        <v>42580</v>
      </c>
      <c r="B123" s="3">
        <f>YEAR(Tabla3[[#This Row],[Date]])</f>
        <v>2016</v>
      </c>
      <c r="C123" s="1" t="str">
        <f>+TEXT(Tabla3[[#This Row],[Date]],"mmm")</f>
        <v>jul</v>
      </c>
      <c r="D123" s="2">
        <v>1349</v>
      </c>
      <c r="E123" s="2">
        <v>1349</v>
      </c>
      <c r="F123" s="2">
        <v>1353.30004882812</v>
      </c>
      <c r="G123" s="2">
        <v>1325.80004882812</v>
      </c>
      <c r="H123" s="2">
        <v>1333.19995117187</v>
      </c>
      <c r="I123">
        <v>6076</v>
      </c>
      <c r="J123" s="2">
        <f ca="1">IFERROR((Tabla3[[#This Row],[Close]]-OFFSET(Tabla3[[#This Row],[Close]],-1,0))/OFFSET(Tabla3[[#This Row],[Close]],-1,0),"")</f>
        <v>1.2534677294779912E-2</v>
      </c>
      <c r="K123" s="2">
        <f ca="1">IFERROR(AVERAGE(OFFSET(Tabla3[[#This Row],[Close]],-6,0,7)),"")</f>
        <v>1328.7857142857101</v>
      </c>
      <c r="L123" s="2">
        <f ca="1">IFERROR(_xlfn.STDEV.S(OFFSET(Tabla3[[#This Row],[Close]],-29,0,30)),"")</f>
        <v>26.132637157306103</v>
      </c>
    </row>
    <row r="124" spans="1:12" x14ac:dyDescent="0.3">
      <c r="A124" s="1">
        <v>42583</v>
      </c>
      <c r="B124" s="3">
        <f>YEAR(Tabla3[[#This Row],[Date]])</f>
        <v>2016</v>
      </c>
      <c r="C124" s="1" t="str">
        <f>+TEXT(Tabla3[[#This Row],[Date]],"mmm")</f>
        <v>ago</v>
      </c>
      <c r="D124" s="2">
        <v>1351.40002441406</v>
      </c>
      <c r="E124" s="2">
        <v>1351.40002441406</v>
      </c>
      <c r="F124" s="2">
        <v>1353.5</v>
      </c>
      <c r="G124" s="2">
        <v>1345.59997558593</v>
      </c>
      <c r="H124" s="2">
        <v>1348.80004882812</v>
      </c>
      <c r="I124">
        <v>1257</v>
      </c>
      <c r="J124" s="2">
        <f ca="1">IFERROR((Tabla3[[#This Row],[Close]]-OFFSET(Tabla3[[#This Row],[Close]],-1,0))/OFFSET(Tabla3[[#This Row],[Close]],-1,0),"")</f>
        <v>1.7791137242846545E-3</v>
      </c>
      <c r="K124" s="2">
        <f ca="1">IFERROR(AVERAGE(OFFSET(Tabla3[[#This Row],[Close]],-6,0,7)),"")</f>
        <v>1331.7714320591472</v>
      </c>
      <c r="L124" s="2">
        <f ca="1">IFERROR(_xlfn.STDEV.S(OFFSET(Tabla3[[#This Row],[Close]],-29,0,30)),"")</f>
        <v>25.878945046262583</v>
      </c>
    </row>
    <row r="125" spans="1:12" x14ac:dyDescent="0.3">
      <c r="A125" s="1">
        <v>42584</v>
      </c>
      <c r="B125" s="3">
        <f>YEAR(Tabla3[[#This Row],[Date]])</f>
        <v>2016</v>
      </c>
      <c r="C125" s="1" t="str">
        <f>+TEXT(Tabla3[[#This Row],[Date]],"mmm")</f>
        <v>ago</v>
      </c>
      <c r="D125" s="2">
        <v>1364.40002441406</v>
      </c>
      <c r="E125" s="2">
        <v>1364.40002441406</v>
      </c>
      <c r="F125" s="2">
        <v>1366</v>
      </c>
      <c r="G125" s="2">
        <v>1346.59997558593</v>
      </c>
      <c r="H125" s="2">
        <v>1352.09997558593</v>
      </c>
      <c r="I125">
        <v>2941</v>
      </c>
      <c r="J125" s="2">
        <f ca="1">IFERROR((Tabla3[[#This Row],[Close]]-OFFSET(Tabla3[[#This Row],[Close]],-1,0))/OFFSET(Tabla3[[#This Row],[Close]],-1,0),"")</f>
        <v>9.619653518680776E-3</v>
      </c>
      <c r="K125" s="2">
        <f ca="1">IFERROR(AVERAGE(OFFSET(Tabla3[[#This Row],[Close]],-6,0,7)),"")</f>
        <v>1337.6714390345944</v>
      </c>
      <c r="L125" s="2">
        <f ca="1">IFERROR(_xlfn.STDEV.S(OFFSET(Tabla3[[#This Row],[Close]],-29,0,30)),"")</f>
        <v>25.857126759248967</v>
      </c>
    </row>
    <row r="126" spans="1:12" x14ac:dyDescent="0.3">
      <c r="A126" s="1">
        <v>42585</v>
      </c>
      <c r="B126" s="3">
        <f>YEAR(Tabla3[[#This Row],[Date]])</f>
        <v>2016</v>
      </c>
      <c r="C126" s="1" t="str">
        <f>+TEXT(Tabla3[[#This Row],[Date]],"mmm")</f>
        <v>ago</v>
      </c>
      <c r="D126" s="2">
        <v>1356.09997558593</v>
      </c>
      <c r="E126" s="2">
        <v>1356.09997558593</v>
      </c>
      <c r="F126" s="2">
        <v>1364.69995117187</v>
      </c>
      <c r="G126" s="2">
        <v>1353.30004882812</v>
      </c>
      <c r="H126" s="2">
        <v>1362.40002441406</v>
      </c>
      <c r="I126">
        <v>715</v>
      </c>
      <c r="J126" s="2">
        <f ca="1">IFERROR((Tabla3[[#This Row],[Close]]-OFFSET(Tabla3[[#This Row],[Close]],-1,0))/OFFSET(Tabla3[[#This Row],[Close]],-1,0),"")</f>
        <v>-6.0832957194459506E-3</v>
      </c>
      <c r="K126" s="2">
        <f ca="1">IFERROR(AVERAGE(OFFSET(Tabla3[[#This Row],[Close]],-6,0,7)),"")</f>
        <v>1342.928571428567</v>
      </c>
      <c r="L126" s="2">
        <f ca="1">IFERROR(_xlfn.STDEV.S(OFFSET(Tabla3[[#This Row],[Close]],-29,0,30)),"")</f>
        <v>23.864025453099075</v>
      </c>
    </row>
    <row r="127" spans="1:12" x14ac:dyDescent="0.3">
      <c r="A127" s="1">
        <v>42586</v>
      </c>
      <c r="B127" s="3">
        <f>YEAR(Tabla3[[#This Row],[Date]])</f>
        <v>2016</v>
      </c>
      <c r="C127" s="1" t="str">
        <f>+TEXT(Tabla3[[#This Row],[Date]],"mmm")</f>
        <v>ago</v>
      </c>
      <c r="D127" s="2">
        <v>1358.80004882812</v>
      </c>
      <c r="E127" s="2">
        <v>1358.80004882812</v>
      </c>
      <c r="F127" s="2">
        <v>1361.59997558593</v>
      </c>
      <c r="G127" s="2">
        <v>1347</v>
      </c>
      <c r="H127" s="2">
        <v>1354.40002441406</v>
      </c>
      <c r="I127">
        <v>381</v>
      </c>
      <c r="J127" s="2">
        <f ca="1">IFERROR((Tabla3[[#This Row],[Close]]-OFFSET(Tabla3[[#This Row],[Close]],-1,0))/OFFSET(Tabla3[[#This Row],[Close]],-1,0),"")</f>
        <v>1.9910576585796197E-3</v>
      </c>
      <c r="K127" s="2">
        <f ca="1">IFERROR(AVERAGE(OFFSET(Tabla3[[#This Row],[Close]],-6,0,7)),"")</f>
        <v>1348.371442522317</v>
      </c>
      <c r="L127" s="2">
        <f ca="1">IFERROR(_xlfn.STDEV.S(OFFSET(Tabla3[[#This Row],[Close]],-29,0,30)),"")</f>
        <v>21.132634045815198</v>
      </c>
    </row>
    <row r="128" spans="1:12" x14ac:dyDescent="0.3">
      <c r="A128" s="1">
        <v>42587</v>
      </c>
      <c r="B128" s="3">
        <f>YEAR(Tabla3[[#This Row],[Date]])</f>
        <v>2016</v>
      </c>
      <c r="C128" s="1" t="str">
        <f>+TEXT(Tabla3[[#This Row],[Date]],"mmm")</f>
        <v>ago</v>
      </c>
      <c r="D128" s="2">
        <v>1336.40002441406</v>
      </c>
      <c r="E128" s="2">
        <v>1336.40002441406</v>
      </c>
      <c r="F128" s="2">
        <v>1360.80004882812</v>
      </c>
      <c r="G128" s="2">
        <v>1333.69995117187</v>
      </c>
      <c r="H128" s="2">
        <v>1357.59997558593</v>
      </c>
      <c r="I128">
        <v>1107</v>
      </c>
      <c r="J128" s="2">
        <f ca="1">IFERROR((Tabla3[[#This Row],[Close]]-OFFSET(Tabla3[[#This Row],[Close]],-1,0))/OFFSET(Tabla3[[#This Row],[Close]],-1,0),"")</f>
        <v>-1.6485151316691971E-2</v>
      </c>
      <c r="K128" s="2">
        <f ca="1">IFERROR(AVERAGE(OFFSET(Tabla3[[#This Row],[Close]],-6,0,7)),"")</f>
        <v>1349.7714494977645</v>
      </c>
      <c r="L128" s="2">
        <f ca="1">IFERROR(_xlfn.STDEV.S(OFFSET(Tabla3[[#This Row],[Close]],-29,0,30)),"")</f>
        <v>15.960352470760483</v>
      </c>
    </row>
    <row r="129" spans="1:12" x14ac:dyDescent="0.3">
      <c r="A129" s="1">
        <v>42590</v>
      </c>
      <c r="B129" s="3">
        <f>YEAR(Tabla3[[#This Row],[Date]])</f>
        <v>2016</v>
      </c>
      <c r="C129" s="1" t="str">
        <f>+TEXT(Tabla3[[#This Row],[Date]],"mmm")</f>
        <v>ago</v>
      </c>
      <c r="D129" s="2">
        <v>1333.40002441406</v>
      </c>
      <c r="E129" s="2">
        <v>1333.40002441406</v>
      </c>
      <c r="F129" s="2">
        <v>1335.40002441406</v>
      </c>
      <c r="G129" s="2">
        <v>1327.80004882812</v>
      </c>
      <c r="H129" s="2">
        <v>1330</v>
      </c>
      <c r="I129">
        <v>587</v>
      </c>
      <c r="J129" s="2">
        <f ca="1">IFERROR((Tabla3[[#This Row],[Close]]-OFFSET(Tabla3[[#This Row],[Close]],-1,0))/OFFSET(Tabla3[[#This Row],[Close]],-1,0),"")</f>
        <v>-2.2448368341772065E-3</v>
      </c>
      <c r="K129" s="2">
        <f ca="1">IFERROR(AVERAGE(OFFSET(Tabla3[[#This Row],[Close]],-6,0,7)),"")</f>
        <v>1349.9285888671841</v>
      </c>
      <c r="L129" s="2">
        <f ca="1">IFERROR(_xlfn.STDEV.S(OFFSET(Tabla3[[#This Row],[Close]],-29,0,30)),"")</f>
        <v>15.651348117497855</v>
      </c>
    </row>
    <row r="130" spans="1:12" x14ac:dyDescent="0.3">
      <c r="A130" s="1">
        <v>42591</v>
      </c>
      <c r="B130" s="3">
        <f>YEAR(Tabla3[[#This Row],[Date]])</f>
        <v>2016</v>
      </c>
      <c r="C130" s="1" t="str">
        <f>+TEXT(Tabla3[[#This Row],[Date]],"mmm")</f>
        <v>ago</v>
      </c>
      <c r="D130" s="2">
        <v>1339</v>
      </c>
      <c r="E130" s="2">
        <v>1339</v>
      </c>
      <c r="F130" s="2">
        <v>1339.40002441406</v>
      </c>
      <c r="G130" s="2">
        <v>1328.5</v>
      </c>
      <c r="H130" s="2">
        <v>1331.80004882812</v>
      </c>
      <c r="I130">
        <v>620</v>
      </c>
      <c r="J130" s="2">
        <f ca="1">IFERROR((Tabla3[[#This Row],[Close]]-OFFSET(Tabla3[[#This Row],[Close]],-1,0))/OFFSET(Tabla3[[#This Row],[Close]],-1,0),"")</f>
        <v>4.1997716239736945E-3</v>
      </c>
      <c r="K130" s="2">
        <f ca="1">IFERROR(AVERAGE(OFFSET(Tabla3[[#This Row],[Close]],-6,0,7)),"")</f>
        <v>1348.5000174386128</v>
      </c>
      <c r="L130" s="2">
        <f ca="1">IFERROR(_xlfn.STDEV.S(OFFSET(Tabla3[[#This Row],[Close]],-29,0,30)),"")</f>
        <v>15.394099761666977</v>
      </c>
    </row>
    <row r="131" spans="1:12" x14ac:dyDescent="0.3">
      <c r="A131" s="1">
        <v>42592</v>
      </c>
      <c r="B131" s="3">
        <f>YEAR(Tabla3[[#This Row],[Date]])</f>
        <v>2016</v>
      </c>
      <c r="C131" s="1" t="str">
        <f>+TEXT(Tabla3[[#This Row],[Date]],"mmm")</f>
        <v>ago</v>
      </c>
      <c r="D131" s="2">
        <v>1344.30004882812</v>
      </c>
      <c r="E131" s="2">
        <v>1344.30004882812</v>
      </c>
      <c r="F131" s="2">
        <v>1354.19995117187</v>
      </c>
      <c r="G131" s="2">
        <v>1344.30004882812</v>
      </c>
      <c r="H131" s="2">
        <v>1344.80004882812</v>
      </c>
      <c r="I131">
        <v>110</v>
      </c>
      <c r="J131" s="2">
        <f ca="1">IFERROR((Tabla3[[#This Row],[Close]]-OFFSET(Tabla3[[#This Row],[Close]],-1,0))/OFFSET(Tabla3[[#This Row],[Close]],-1,0),"")</f>
        <v>3.9582142106945467E-3</v>
      </c>
      <c r="K131" s="2">
        <f ca="1">IFERROR(AVERAGE(OFFSET(Tabla3[[#This Row],[Close]],-6,0,7)),"")</f>
        <v>1347.48573521205</v>
      </c>
      <c r="L131" s="2">
        <f ca="1">IFERROR(_xlfn.STDEV.S(OFFSET(Tabla3[[#This Row],[Close]],-29,0,30)),"")</f>
        <v>14.816377838858569</v>
      </c>
    </row>
    <row r="132" spans="1:12" x14ac:dyDescent="0.3">
      <c r="A132" s="1">
        <v>42593</v>
      </c>
      <c r="B132" s="3">
        <f>YEAR(Tabla3[[#This Row],[Date]])</f>
        <v>2016</v>
      </c>
      <c r="C132" s="1" t="str">
        <f>+TEXT(Tabla3[[#This Row],[Date]],"mmm")</f>
        <v>ago</v>
      </c>
      <c r="D132" s="2">
        <v>1342.5</v>
      </c>
      <c r="E132" s="2">
        <v>1342.5</v>
      </c>
      <c r="F132" s="2">
        <v>1350.40002441406</v>
      </c>
      <c r="G132" s="2">
        <v>1334.80004882812</v>
      </c>
      <c r="H132" s="2">
        <v>1341.59997558593</v>
      </c>
      <c r="I132">
        <v>666</v>
      </c>
      <c r="J132" s="2">
        <f ca="1">IFERROR((Tabla3[[#This Row],[Close]]-OFFSET(Tabla3[[#This Row],[Close]],-1,0))/OFFSET(Tabla3[[#This Row],[Close]],-1,0),"")</f>
        <v>-1.3390231069984504E-3</v>
      </c>
      <c r="K132" s="2">
        <f ca="1">IFERROR(AVERAGE(OFFSET(Tabla3[[#This Row],[Close]],-6,0,7)),"")</f>
        <v>1344.3571602957556</v>
      </c>
      <c r="L132" s="2">
        <f ca="1">IFERROR(_xlfn.STDEV.S(OFFSET(Tabla3[[#This Row],[Close]],-29,0,30)),"")</f>
        <v>14.549040637214011</v>
      </c>
    </row>
    <row r="133" spans="1:12" x14ac:dyDescent="0.3">
      <c r="A133" s="1">
        <v>42594</v>
      </c>
      <c r="B133" s="3">
        <f>YEAR(Tabla3[[#This Row],[Date]])</f>
        <v>2016</v>
      </c>
      <c r="C133" s="1" t="str">
        <f>+TEXT(Tabla3[[#This Row],[Date]],"mmm")</f>
        <v>ago</v>
      </c>
      <c r="D133" s="2">
        <v>1335.80004882812</v>
      </c>
      <c r="E133" s="2">
        <v>1335.80004882812</v>
      </c>
      <c r="F133" s="2">
        <v>1351.80004882812</v>
      </c>
      <c r="G133" s="2">
        <v>1333.19995117187</v>
      </c>
      <c r="H133" s="2">
        <v>1336.80004882812</v>
      </c>
      <c r="I133">
        <v>113</v>
      </c>
      <c r="J133" s="2">
        <f ca="1">IFERROR((Tabla3[[#This Row],[Close]]-OFFSET(Tabla3[[#This Row],[Close]],-1,0))/OFFSET(Tabla3[[#This Row],[Close]],-1,0),"")</f>
        <v>-4.9906526419962773E-3</v>
      </c>
      <c r="K133" s="2">
        <f ca="1">IFERROR(AVERAGE(OFFSET(Tabla3[[#This Row],[Close]],-6,0,7)),"")</f>
        <v>1341.4571707589257</v>
      </c>
      <c r="L133" s="2">
        <f ca="1">IFERROR(_xlfn.STDEV.S(OFFSET(Tabla3[[#This Row],[Close]],-29,0,30)),"")</f>
        <v>14.010374534351238</v>
      </c>
    </row>
    <row r="134" spans="1:12" x14ac:dyDescent="0.3">
      <c r="A134" s="1">
        <v>42597</v>
      </c>
      <c r="B134" s="3">
        <f>YEAR(Tabla3[[#This Row],[Date]])</f>
        <v>2016</v>
      </c>
      <c r="C134" s="1" t="str">
        <f>+TEXT(Tabla3[[#This Row],[Date]],"mmm")</f>
        <v>ago</v>
      </c>
      <c r="D134" s="2">
        <v>1340.30004882812</v>
      </c>
      <c r="E134" s="2">
        <v>1340.30004882812</v>
      </c>
      <c r="F134" s="2">
        <v>1340.59997558593</v>
      </c>
      <c r="G134" s="2">
        <v>1333.59997558593</v>
      </c>
      <c r="H134" s="2">
        <v>1336.5</v>
      </c>
      <c r="I134">
        <v>62</v>
      </c>
      <c r="J134" s="2">
        <f ca="1">IFERROR((Tabla3[[#This Row],[Close]]-OFFSET(Tabla3[[#This Row],[Close]],-1,0))/OFFSET(Tabla3[[#This Row],[Close]],-1,0),"")</f>
        <v>3.3687676564675916E-3</v>
      </c>
      <c r="K134" s="2">
        <f ca="1">IFERROR(AVERAGE(OFFSET(Tabla3[[#This Row],[Close]],-6,0,7)),"")</f>
        <v>1338.8143136160686</v>
      </c>
      <c r="L134" s="2">
        <f ca="1">IFERROR(_xlfn.STDEV.S(OFFSET(Tabla3[[#This Row],[Close]],-29,0,30)),"")</f>
        <v>13.99468226032293</v>
      </c>
    </row>
    <row r="135" spans="1:12" x14ac:dyDescent="0.3">
      <c r="A135" s="1">
        <v>42598</v>
      </c>
      <c r="B135" s="3">
        <f>YEAR(Tabla3[[#This Row],[Date]])</f>
        <v>2016</v>
      </c>
      <c r="C135" s="1" t="str">
        <f>+TEXT(Tabla3[[#This Row],[Date]],"mmm")</f>
        <v>ago</v>
      </c>
      <c r="D135" s="2">
        <v>1350.5</v>
      </c>
      <c r="E135" s="2">
        <v>1350.5</v>
      </c>
      <c r="F135" s="2">
        <v>1355</v>
      </c>
      <c r="G135" s="2">
        <v>1341</v>
      </c>
      <c r="H135" s="2">
        <v>1342.19995117187</v>
      </c>
      <c r="I135">
        <v>338</v>
      </c>
      <c r="J135" s="2">
        <f ca="1">IFERROR((Tabla3[[#This Row],[Close]]-OFFSET(Tabla3[[#This Row],[Close]],-1,0))/OFFSET(Tabla3[[#This Row],[Close]],-1,0),"")</f>
        <v>7.6101998062286453E-3</v>
      </c>
      <c r="K135" s="2">
        <f ca="1">IFERROR(AVERAGE(OFFSET(Tabla3[[#This Row],[Close]],-6,0,7)),"")</f>
        <v>1340.8285958426313</v>
      </c>
      <c r="L135" s="2">
        <f ca="1">IFERROR(_xlfn.STDEV.S(OFFSET(Tabla3[[#This Row],[Close]],-29,0,30)),"")</f>
        <v>13.801181660423451</v>
      </c>
    </row>
    <row r="136" spans="1:12" x14ac:dyDescent="0.3">
      <c r="A136" s="1">
        <v>42599</v>
      </c>
      <c r="B136" s="3">
        <f>YEAR(Tabla3[[#This Row],[Date]])</f>
        <v>2016</v>
      </c>
      <c r="C136" s="1" t="str">
        <f>+TEXT(Tabla3[[#This Row],[Date]],"mmm")</f>
        <v>ago</v>
      </c>
      <c r="D136" s="2">
        <v>1342.69995117187</v>
      </c>
      <c r="E136" s="2">
        <v>1342.69995117187</v>
      </c>
      <c r="F136" s="2">
        <v>1347.30004882812</v>
      </c>
      <c r="G136" s="2">
        <v>1338.59997558593</v>
      </c>
      <c r="H136" s="2">
        <v>1345.5</v>
      </c>
      <c r="I136">
        <v>135</v>
      </c>
      <c r="J136" s="2">
        <f ca="1">IFERROR((Tabla3[[#This Row],[Close]]-OFFSET(Tabla3[[#This Row],[Close]],-1,0))/OFFSET(Tabla3[[#This Row],[Close]],-1,0),"")</f>
        <v>-5.775674807945207E-3</v>
      </c>
      <c r="K136" s="2">
        <f ca="1">IFERROR(AVERAGE(OFFSET(Tabla3[[#This Row],[Close]],-6,0,7)),"")</f>
        <v>1342.1571568080328</v>
      </c>
      <c r="L136" s="2">
        <f ca="1">IFERROR(_xlfn.STDEV.S(OFFSET(Tabla3[[#This Row],[Close]],-29,0,30)),"")</f>
        <v>12.999306102346244</v>
      </c>
    </row>
    <row r="137" spans="1:12" x14ac:dyDescent="0.3">
      <c r="A137" s="1">
        <v>42600</v>
      </c>
      <c r="B137" s="3">
        <f>YEAR(Tabla3[[#This Row],[Date]])</f>
        <v>2016</v>
      </c>
      <c r="C137" s="1" t="str">
        <f>+TEXT(Tabla3[[#This Row],[Date]],"mmm")</f>
        <v>ago</v>
      </c>
      <c r="D137" s="2">
        <v>1351.19995117187</v>
      </c>
      <c r="E137" s="2">
        <v>1351.19995117187</v>
      </c>
      <c r="F137" s="2">
        <v>1354.40002441406</v>
      </c>
      <c r="G137" s="2">
        <v>1348.19995117187</v>
      </c>
      <c r="H137" s="2">
        <v>1351.30004882812</v>
      </c>
      <c r="I137">
        <v>140</v>
      </c>
      <c r="J137" s="2">
        <f ca="1">IFERROR((Tabla3[[#This Row],[Close]]-OFFSET(Tabla3[[#This Row],[Close]],-1,0))/OFFSET(Tabla3[[#This Row],[Close]],-1,0),"")</f>
        <v>6.3305282707290219E-3</v>
      </c>
      <c r="K137" s="2">
        <f ca="1">IFERROR(AVERAGE(OFFSET(Tabla3[[#This Row],[Close]],-6,0,7)),"")</f>
        <v>1343.9000069754427</v>
      </c>
      <c r="L137" s="2">
        <f ca="1">IFERROR(_xlfn.STDEV.S(OFFSET(Tabla3[[#This Row],[Close]],-29,0,30)),"")</f>
        <v>12.606057428119193</v>
      </c>
    </row>
    <row r="138" spans="1:12" x14ac:dyDescent="0.3">
      <c r="A138" s="1">
        <v>42601</v>
      </c>
      <c r="B138" s="3">
        <f>YEAR(Tabla3[[#This Row],[Date]])</f>
        <v>2016</v>
      </c>
      <c r="C138" s="1" t="str">
        <f>+TEXT(Tabla3[[#This Row],[Date]],"mmm")</f>
        <v>ago</v>
      </c>
      <c r="D138" s="2">
        <v>1340.40002441406</v>
      </c>
      <c r="E138" s="2">
        <v>1340.40002441406</v>
      </c>
      <c r="F138" s="2">
        <v>1350.09997558593</v>
      </c>
      <c r="G138" s="2">
        <v>1338.59997558593</v>
      </c>
      <c r="H138" s="2">
        <v>1350.09997558593</v>
      </c>
      <c r="I138">
        <v>197</v>
      </c>
      <c r="J138" s="2">
        <f ca="1">IFERROR((Tabla3[[#This Row],[Close]]-OFFSET(Tabla3[[#This Row],[Close]],-1,0))/OFFSET(Tabla3[[#This Row],[Close]],-1,0),"")</f>
        <v>-7.9928412878074988E-3</v>
      </c>
      <c r="K138" s="2">
        <f ca="1">IFERROR(AVERAGE(OFFSET(Tabla3[[#This Row],[Close]],-6,0,7)),"")</f>
        <v>1343.3428606305772</v>
      </c>
      <c r="L138" s="2">
        <f ca="1">IFERROR(_xlfn.STDEV.S(OFFSET(Tabla3[[#This Row],[Close]],-29,0,30)),"")</f>
        <v>12.169851235337365</v>
      </c>
    </row>
    <row r="139" spans="1:12" x14ac:dyDescent="0.3">
      <c r="A139" s="1">
        <v>42604</v>
      </c>
      <c r="B139" s="3">
        <f>YEAR(Tabla3[[#This Row],[Date]])</f>
        <v>2016</v>
      </c>
      <c r="C139" s="1" t="str">
        <f>+TEXT(Tabla3[[#This Row],[Date]],"mmm")</f>
        <v>ago</v>
      </c>
      <c r="D139" s="2">
        <v>1337.69995117187</v>
      </c>
      <c r="E139" s="2">
        <v>1337.69995117187</v>
      </c>
      <c r="F139" s="2">
        <v>1337.69995117187</v>
      </c>
      <c r="G139" s="2">
        <v>1333.30004882812</v>
      </c>
      <c r="H139" s="2">
        <v>1334.40002441406</v>
      </c>
      <c r="I139">
        <v>117</v>
      </c>
      <c r="J139" s="2">
        <f ca="1">IFERROR((Tabla3[[#This Row],[Close]]-OFFSET(Tabla3[[#This Row],[Close]],-1,0))/OFFSET(Tabla3[[#This Row],[Close]],-1,0),"")</f>
        <v>-2.014378687713249E-3</v>
      </c>
      <c r="K139" s="2">
        <f ca="1">IFERROR(AVERAGE(OFFSET(Tabla3[[#This Row],[Close]],-6,0,7)),"")</f>
        <v>1342.6571393694157</v>
      </c>
      <c r="L139" s="2">
        <f ca="1">IFERROR(_xlfn.STDEV.S(OFFSET(Tabla3[[#This Row],[Close]],-29,0,30)),"")</f>
        <v>11.767031413562909</v>
      </c>
    </row>
    <row r="140" spans="1:12" x14ac:dyDescent="0.3">
      <c r="A140" s="1">
        <v>42605</v>
      </c>
      <c r="B140" s="3">
        <f>YEAR(Tabla3[[#This Row],[Date]])</f>
        <v>2016</v>
      </c>
      <c r="C140" s="1" t="str">
        <f>+TEXT(Tabla3[[#This Row],[Date]],"mmm")</f>
        <v>ago</v>
      </c>
      <c r="D140" s="2">
        <v>1340.59997558593</v>
      </c>
      <c r="E140" s="2">
        <v>1340.59997558593</v>
      </c>
      <c r="F140" s="2">
        <v>1341.19995117187</v>
      </c>
      <c r="G140" s="2">
        <v>1334.30004882812</v>
      </c>
      <c r="H140" s="2">
        <v>1337</v>
      </c>
      <c r="I140">
        <v>551</v>
      </c>
      <c r="J140" s="2">
        <f ca="1">IFERROR((Tabla3[[#This Row],[Close]]-OFFSET(Tabla3[[#This Row],[Close]],-1,0))/OFFSET(Tabla3[[#This Row],[Close]],-1,0),"")</f>
        <v>2.1679184569899103E-3</v>
      </c>
      <c r="K140" s="2">
        <f ca="1">IFERROR(AVERAGE(OFFSET(Tabla3[[#This Row],[Close]],-6,0,7)),"")</f>
        <v>1343.3428431919601</v>
      </c>
      <c r="L140" s="2">
        <f ca="1">IFERROR(_xlfn.STDEV.S(OFFSET(Tabla3[[#This Row],[Close]],-29,0,30)),"")</f>
        <v>11.752958619818218</v>
      </c>
    </row>
    <row r="141" spans="1:12" x14ac:dyDescent="0.3">
      <c r="A141" s="1">
        <v>42606</v>
      </c>
      <c r="B141" s="3">
        <f>YEAR(Tabla3[[#This Row],[Date]])</f>
        <v>2016</v>
      </c>
      <c r="C141" s="1" t="str">
        <f>+TEXT(Tabla3[[#This Row],[Date]],"mmm")</f>
        <v>ago</v>
      </c>
      <c r="D141" s="2">
        <v>1324.40002441406</v>
      </c>
      <c r="E141" s="2">
        <v>1324.40002441406</v>
      </c>
      <c r="F141" s="2">
        <v>1337.19995117187</v>
      </c>
      <c r="G141" s="2">
        <v>1322.90002441406</v>
      </c>
      <c r="H141" s="2">
        <v>1337.19995117187</v>
      </c>
      <c r="I141">
        <v>262</v>
      </c>
      <c r="J141" s="2">
        <f ca="1">IFERROR((Tabla3[[#This Row],[Close]]-OFFSET(Tabla3[[#This Row],[Close]],-1,0))/OFFSET(Tabla3[[#This Row],[Close]],-1,0),"")</f>
        <v>-1.2084105226683715E-2</v>
      </c>
      <c r="K141" s="2">
        <f ca="1">IFERROR(AVERAGE(OFFSET(Tabla3[[#This Row],[Close]],-6,0,7)),"")</f>
        <v>1341.0714111328086</v>
      </c>
      <c r="L141" s="2">
        <f ca="1">IFERROR(_xlfn.STDEV.S(OFFSET(Tabla3[[#This Row],[Close]],-29,0,30)),"")</f>
        <v>11.988081001151553</v>
      </c>
    </row>
    <row r="142" spans="1:12" x14ac:dyDescent="0.3">
      <c r="A142" s="1">
        <v>42607</v>
      </c>
      <c r="B142" s="3">
        <f>YEAR(Tabla3[[#This Row],[Date]])</f>
        <v>2016</v>
      </c>
      <c r="C142" s="1" t="str">
        <f>+TEXT(Tabla3[[#This Row],[Date]],"mmm")</f>
        <v>ago</v>
      </c>
      <c r="D142" s="2">
        <v>1320.09997558593</v>
      </c>
      <c r="E142" s="2">
        <v>1320.09997558593</v>
      </c>
      <c r="F142" s="2">
        <v>1324</v>
      </c>
      <c r="G142" s="2">
        <v>1317</v>
      </c>
      <c r="H142" s="2">
        <v>1321.40002441406</v>
      </c>
      <c r="I142">
        <v>58</v>
      </c>
      <c r="J142" s="2">
        <f ca="1">IFERROR((Tabla3[[#This Row],[Close]]-OFFSET(Tabla3[[#This Row],[Close]],-1,0))/OFFSET(Tabla3[[#This Row],[Close]],-1,0),"")</f>
        <v>-3.2467900550156108E-3</v>
      </c>
      <c r="K142" s="2">
        <f ca="1">IFERROR(AVERAGE(OFFSET(Tabla3[[#This Row],[Close]],-6,0,7)),"")</f>
        <v>1336.7285505022269</v>
      </c>
      <c r="L142" s="2">
        <f ca="1">IFERROR(_xlfn.STDEV.S(OFFSET(Tabla3[[#This Row],[Close]],-29,0,30)),"")</f>
        <v>12.359575530717805</v>
      </c>
    </row>
    <row r="143" spans="1:12" x14ac:dyDescent="0.3">
      <c r="A143" s="1">
        <v>42608</v>
      </c>
      <c r="B143" s="3">
        <f>YEAR(Tabla3[[#This Row],[Date]])</f>
        <v>2016</v>
      </c>
      <c r="C143" s="1" t="str">
        <f>+TEXT(Tabla3[[#This Row],[Date]],"mmm")</f>
        <v>ago</v>
      </c>
      <c r="D143" s="2">
        <v>1321.5</v>
      </c>
      <c r="E143" s="2">
        <v>1321.5</v>
      </c>
      <c r="F143" s="2">
        <v>1340.5</v>
      </c>
      <c r="G143" s="2">
        <v>1320.09997558593</v>
      </c>
      <c r="H143" s="2">
        <v>1323.80004882812</v>
      </c>
      <c r="I143">
        <v>141</v>
      </c>
      <c r="J143" s="2">
        <f ca="1">IFERROR((Tabla3[[#This Row],[Close]]-OFFSET(Tabla3[[#This Row],[Close]],-1,0))/OFFSET(Tabla3[[#This Row],[Close]],-1,0),"")</f>
        <v>1.0605442314689829E-3</v>
      </c>
      <c r="K143" s="2">
        <f ca="1">IFERROR(AVERAGE(OFFSET(Tabla3[[#This Row],[Close]],-6,0,7)),"")</f>
        <v>1333.699986049103</v>
      </c>
      <c r="L143" s="2">
        <f ca="1">IFERROR(_xlfn.STDEV.S(OFFSET(Tabla3[[#This Row],[Close]],-29,0,30)),"")</f>
        <v>12.541536749029081</v>
      </c>
    </row>
    <row r="144" spans="1:12" x14ac:dyDescent="0.3">
      <c r="A144" s="1">
        <v>42611</v>
      </c>
      <c r="B144" s="3">
        <f>YEAR(Tabla3[[#This Row],[Date]])</f>
        <v>2016</v>
      </c>
      <c r="C144" s="1" t="str">
        <f>+TEXT(Tabla3[[#This Row],[Date]],"mmm")</f>
        <v>ago</v>
      </c>
      <c r="D144" s="2">
        <v>1322.90002441406</v>
      </c>
      <c r="E144" s="2">
        <v>1322.90002441406</v>
      </c>
      <c r="F144" s="2">
        <v>1323</v>
      </c>
      <c r="G144" s="2">
        <v>1315</v>
      </c>
      <c r="H144" s="2">
        <v>1315</v>
      </c>
      <c r="I144">
        <v>437</v>
      </c>
      <c r="J144" s="2">
        <f ca="1">IFERROR((Tabla3[[#This Row],[Close]]-OFFSET(Tabla3[[#This Row],[Close]],-1,0))/OFFSET(Tabla3[[#This Row],[Close]],-1,0),"")</f>
        <v>1.0594206689822163E-3</v>
      </c>
      <c r="K144" s="2">
        <f ca="1">IFERROR(AVERAGE(OFFSET(Tabla3[[#This Row],[Close]],-6,0,7)),"")</f>
        <v>1329.6571393694157</v>
      </c>
      <c r="L144" s="2">
        <f ca="1">IFERROR(_xlfn.STDEV.S(OFFSET(Tabla3[[#This Row],[Close]],-29,0,30)),"")</f>
        <v>12.711492193599167</v>
      </c>
    </row>
    <row r="145" spans="1:12" x14ac:dyDescent="0.3">
      <c r="A145" s="1">
        <v>42612</v>
      </c>
      <c r="B145" s="3">
        <f>YEAR(Tabla3[[#This Row],[Date]])</f>
        <v>2016</v>
      </c>
      <c r="C145" s="1" t="str">
        <f>+TEXT(Tabla3[[#This Row],[Date]],"mmm")</f>
        <v>ago</v>
      </c>
      <c r="D145" s="2">
        <v>1311.69995117187</v>
      </c>
      <c r="E145" s="2">
        <v>1311.69995117187</v>
      </c>
      <c r="F145" s="2">
        <v>1322.09997558593</v>
      </c>
      <c r="G145" s="2">
        <v>1308</v>
      </c>
      <c r="H145" s="2">
        <v>1322</v>
      </c>
      <c r="I145">
        <v>705</v>
      </c>
      <c r="J145" s="2">
        <f ca="1">IFERROR((Tabla3[[#This Row],[Close]]-OFFSET(Tabla3[[#This Row],[Close]],-1,0))/OFFSET(Tabla3[[#This Row],[Close]],-1,0),"")</f>
        <v>-8.4663036023079272E-3</v>
      </c>
      <c r="K145" s="2">
        <f ca="1">IFERROR(AVERAGE(OFFSET(Tabla3[[#This Row],[Close]],-6,0,7)),"")</f>
        <v>1325.5571289062457</v>
      </c>
      <c r="L145" s="2">
        <f ca="1">IFERROR(_xlfn.STDEV.S(OFFSET(Tabla3[[#This Row],[Close]],-29,0,30)),"")</f>
        <v>13.490274442577583</v>
      </c>
    </row>
    <row r="146" spans="1:12" x14ac:dyDescent="0.3">
      <c r="A146" s="1">
        <v>42613</v>
      </c>
      <c r="B146" s="3">
        <f>YEAR(Tabla3[[#This Row],[Date]])</f>
        <v>2016</v>
      </c>
      <c r="C146" s="1" t="str">
        <f>+TEXT(Tabla3[[#This Row],[Date]],"mmm")</f>
        <v>ago</v>
      </c>
      <c r="D146" s="2">
        <v>1306.90002441406</v>
      </c>
      <c r="E146" s="2">
        <v>1306.90002441406</v>
      </c>
      <c r="F146" s="2">
        <v>1313.69995117187</v>
      </c>
      <c r="G146" s="2">
        <v>1306.30004882812</v>
      </c>
      <c r="H146" s="2">
        <v>1310.30004882812</v>
      </c>
      <c r="I146">
        <v>214</v>
      </c>
      <c r="J146" s="2">
        <f ca="1">IFERROR((Tabla3[[#This Row],[Close]]-OFFSET(Tabla3[[#This Row],[Close]],-1,0))/OFFSET(Tabla3[[#This Row],[Close]],-1,0),"")</f>
        <v>-3.659317630927526E-3</v>
      </c>
      <c r="K146" s="2">
        <f ca="1">IFERROR(AVERAGE(OFFSET(Tabla3[[#This Row],[Close]],-6,0,7)),"")</f>
        <v>1321.1571393694157</v>
      </c>
      <c r="L146" s="2">
        <f ca="1">IFERROR(_xlfn.STDEV.S(OFFSET(Tabla3[[#This Row],[Close]],-29,0,30)),"")</f>
        <v>14.17740431180629</v>
      </c>
    </row>
    <row r="147" spans="1:12" x14ac:dyDescent="0.3">
      <c r="A147" s="1">
        <v>42614</v>
      </c>
      <c r="B147" s="3">
        <f>YEAR(Tabla3[[#This Row],[Date]])</f>
        <v>2016</v>
      </c>
      <c r="C147" s="1" t="str">
        <f>+TEXT(Tabla3[[#This Row],[Date]],"mmm")</f>
        <v>sept</v>
      </c>
      <c r="D147" s="2">
        <v>1312.19995117187</v>
      </c>
      <c r="E147" s="2">
        <v>1312.19995117187</v>
      </c>
      <c r="F147" s="2">
        <v>1313.09997558593</v>
      </c>
      <c r="G147" s="2">
        <v>1301.5</v>
      </c>
      <c r="H147" s="2">
        <v>1305.30004882812</v>
      </c>
      <c r="I147">
        <v>225</v>
      </c>
      <c r="J147" s="2">
        <f ca="1">IFERROR((Tabla3[[#This Row],[Close]]-OFFSET(Tabla3[[#This Row],[Close]],-1,0))/OFFSET(Tabla3[[#This Row],[Close]],-1,0),"")</f>
        <v>4.055342152270742E-3</v>
      </c>
      <c r="K147" s="2">
        <f ca="1">IFERROR(AVERAGE(OFFSET(Tabla3[[#This Row],[Close]],-6,0,7)),"")</f>
        <v>1317.09999302455</v>
      </c>
      <c r="L147" s="2">
        <f ca="1">IFERROR(_xlfn.STDEV.S(OFFSET(Tabla3[[#This Row],[Close]],-29,0,30)),"")</f>
        <v>14.794319032312709</v>
      </c>
    </row>
    <row r="148" spans="1:12" x14ac:dyDescent="0.3">
      <c r="A148" s="1">
        <v>42615</v>
      </c>
      <c r="B148" s="3">
        <f>YEAR(Tabla3[[#This Row],[Date]])</f>
        <v>2016</v>
      </c>
      <c r="C148" s="1" t="str">
        <f>+TEXT(Tabla3[[#This Row],[Date]],"mmm")</f>
        <v>sept</v>
      </c>
      <c r="D148" s="2">
        <v>1322.09997558593</v>
      </c>
      <c r="E148" s="2">
        <v>1322.09997558593</v>
      </c>
      <c r="F148" s="2">
        <v>1326.69995117187</v>
      </c>
      <c r="G148" s="2">
        <v>1309.19995117187</v>
      </c>
      <c r="H148" s="2">
        <v>1309.59997558593</v>
      </c>
      <c r="I148">
        <v>55</v>
      </c>
      <c r="J148" s="2">
        <f ca="1">IFERROR((Tabla3[[#This Row],[Close]]-OFFSET(Tabla3[[#This Row],[Close]],-1,0))/OFFSET(Tabla3[[#This Row],[Close]],-1,0),"")</f>
        <v>7.5446005048382357E-3</v>
      </c>
      <c r="K148" s="2">
        <f ca="1">IFERROR(AVERAGE(OFFSET(Tabla3[[#This Row],[Close]],-6,0,7)),"")</f>
        <v>1316.7714146205315</v>
      </c>
      <c r="L148" s="2">
        <f ca="1">IFERROR(_xlfn.STDEV.S(OFFSET(Tabla3[[#This Row],[Close]],-29,0,30)),"")</f>
        <v>14.823634957189839</v>
      </c>
    </row>
    <row r="149" spans="1:12" x14ac:dyDescent="0.3">
      <c r="A149" s="1">
        <v>42619</v>
      </c>
      <c r="B149" s="3">
        <f>YEAR(Tabla3[[#This Row],[Date]])</f>
        <v>2016</v>
      </c>
      <c r="C149" s="1" t="str">
        <f>+TEXT(Tabla3[[#This Row],[Date]],"mmm")</f>
        <v>sept</v>
      </c>
      <c r="D149" s="2">
        <v>1349.40002441406</v>
      </c>
      <c r="E149" s="2">
        <v>1349.40002441406</v>
      </c>
      <c r="F149" s="2">
        <v>1349.40002441406</v>
      </c>
      <c r="G149" s="2">
        <v>1323.19995117187</v>
      </c>
      <c r="H149" s="2">
        <v>1323.30004882812</v>
      </c>
      <c r="I149">
        <v>46</v>
      </c>
      <c r="J149" s="2">
        <f ca="1">IFERROR((Tabla3[[#This Row],[Close]]-OFFSET(Tabla3[[#This Row],[Close]],-1,0))/OFFSET(Tabla3[[#This Row],[Close]],-1,0),"")</f>
        <v>2.0649004865181342E-2</v>
      </c>
      <c r="K149" s="2">
        <f ca="1">IFERROR(AVERAGE(OFFSET(Tabla3[[#This Row],[Close]],-6,0,7)),"")</f>
        <v>1320.9571358816931</v>
      </c>
      <c r="L149" s="2">
        <f ca="1">IFERROR(_xlfn.STDEV.S(OFFSET(Tabla3[[#This Row],[Close]],-29,0,30)),"")</f>
        <v>14.730570597587541</v>
      </c>
    </row>
    <row r="150" spans="1:12" x14ac:dyDescent="0.3">
      <c r="A150" s="1">
        <v>42620</v>
      </c>
      <c r="B150" s="3">
        <f>YEAR(Tabla3[[#This Row],[Date]])</f>
        <v>2016</v>
      </c>
      <c r="C150" s="1" t="str">
        <f>+TEXT(Tabla3[[#This Row],[Date]],"mmm")</f>
        <v>sept</v>
      </c>
      <c r="D150" s="2">
        <v>1344.30004882812</v>
      </c>
      <c r="E150" s="2">
        <v>1344.30004882812</v>
      </c>
      <c r="F150" s="2">
        <v>1350.5</v>
      </c>
      <c r="G150" s="2">
        <v>1343.90002441406</v>
      </c>
      <c r="H150" s="2">
        <v>1348.40002441406</v>
      </c>
      <c r="I150">
        <v>14</v>
      </c>
      <c r="J150" s="2">
        <f ca="1">IFERROR((Tabla3[[#This Row],[Close]]-OFFSET(Tabla3[[#This Row],[Close]],-1,0))/OFFSET(Tabla3[[#This Row],[Close]],-1,0),"")</f>
        <v>-3.7794393757733372E-3</v>
      </c>
      <c r="K150" s="2">
        <f ca="1">IFERROR(AVERAGE(OFFSET(Tabla3[[#This Row],[Close]],-6,0,7)),"")</f>
        <v>1324.2142857142815</v>
      </c>
      <c r="L150" s="2">
        <f ca="1">IFERROR(_xlfn.STDEV.S(OFFSET(Tabla3[[#This Row],[Close]],-29,0,30)),"")</f>
        <v>14.503978818213518</v>
      </c>
    </row>
    <row r="151" spans="1:12" x14ac:dyDescent="0.3">
      <c r="A151" s="1">
        <v>42621</v>
      </c>
      <c r="B151" s="3">
        <f>YEAR(Tabla3[[#This Row],[Date]])</f>
        <v>2016</v>
      </c>
      <c r="C151" s="1" t="str">
        <f>+TEXT(Tabla3[[#This Row],[Date]],"mmm")</f>
        <v>sept</v>
      </c>
      <c r="D151" s="2">
        <v>1336.80004882812</v>
      </c>
      <c r="E151" s="2">
        <v>1336.80004882812</v>
      </c>
      <c r="F151" s="2">
        <v>1345.40002441406</v>
      </c>
      <c r="G151" s="2">
        <v>1335.69995117187</v>
      </c>
      <c r="H151" s="2">
        <v>1344.80004882812</v>
      </c>
      <c r="I151">
        <v>30</v>
      </c>
      <c r="J151" s="2">
        <f ca="1">IFERROR((Tabla3[[#This Row],[Close]]-OFFSET(Tabla3[[#This Row],[Close]],-1,0))/OFFSET(Tabla3[[#This Row],[Close]],-1,0),"")</f>
        <v>-5.5791116027541984E-3</v>
      </c>
      <c r="K151" s="2">
        <f ca="1">IFERROR(AVERAGE(OFFSET(Tabla3[[#This Row],[Close]],-6,0,7)),"")</f>
        <v>1326.2000034877185</v>
      </c>
      <c r="L151" s="2">
        <f ca="1">IFERROR(_xlfn.STDEV.S(OFFSET(Tabla3[[#This Row],[Close]],-29,0,30)),"")</f>
        <v>14.371614712426407</v>
      </c>
    </row>
    <row r="152" spans="1:12" x14ac:dyDescent="0.3">
      <c r="A152" s="1">
        <v>42622</v>
      </c>
      <c r="B152" s="3">
        <f>YEAR(Tabla3[[#This Row],[Date]])</f>
        <v>2016</v>
      </c>
      <c r="C152" s="1" t="str">
        <f>+TEXT(Tabla3[[#This Row],[Date]],"mmm")</f>
        <v>sept</v>
      </c>
      <c r="D152" s="2">
        <v>1330.09997558593</v>
      </c>
      <c r="E152" s="2">
        <v>1330.09997558593</v>
      </c>
      <c r="F152" s="2">
        <v>1338.5</v>
      </c>
      <c r="G152" s="2">
        <v>1328</v>
      </c>
      <c r="H152" s="2">
        <v>1338.5</v>
      </c>
      <c r="I152">
        <v>35</v>
      </c>
      <c r="J152" s="2">
        <f ca="1">IFERROR((Tabla3[[#This Row],[Close]]-OFFSET(Tabla3[[#This Row],[Close]],-1,0))/OFFSET(Tabla3[[#This Row],[Close]],-1,0),"")</f>
        <v>-5.0120234870304585E-3</v>
      </c>
      <c r="K152" s="2">
        <f ca="1">IFERROR(AVERAGE(OFFSET(Tabla3[[#This Row],[Close]],-6,0,7)),"")</f>
        <v>1328.8285784040129</v>
      </c>
      <c r="L152" s="2">
        <f ca="1">IFERROR(_xlfn.STDEV.S(OFFSET(Tabla3[[#This Row],[Close]],-29,0,30)),"")</f>
        <v>14.403603678605011</v>
      </c>
    </row>
    <row r="153" spans="1:12" x14ac:dyDescent="0.3">
      <c r="A153" s="1">
        <v>42625</v>
      </c>
      <c r="B153" s="3">
        <f>YEAR(Tabla3[[#This Row],[Date]])</f>
        <v>2016</v>
      </c>
      <c r="C153" s="1" t="str">
        <f>+TEXT(Tabla3[[#This Row],[Date]],"mmm")</f>
        <v>sept</v>
      </c>
      <c r="D153" s="2">
        <v>1321</v>
      </c>
      <c r="E153" s="2">
        <v>1321</v>
      </c>
      <c r="F153" s="2">
        <v>1329.30004882812</v>
      </c>
      <c r="G153" s="2">
        <v>1319.90002441406</v>
      </c>
      <c r="H153" s="2">
        <v>1327</v>
      </c>
      <c r="I153">
        <v>177</v>
      </c>
      <c r="J153" s="2">
        <f ca="1">IFERROR((Tabla3[[#This Row],[Close]]-OFFSET(Tabla3[[#This Row],[Close]],-1,0))/OFFSET(Tabla3[[#This Row],[Close]],-1,0),"")</f>
        <v>-6.8415726283442072E-3</v>
      </c>
      <c r="K153" s="2">
        <f ca="1">IFERROR(AVERAGE(OFFSET(Tabla3[[#This Row],[Close]],-6,0,7)),"")</f>
        <v>1330.8428606305756</v>
      </c>
      <c r="L153" s="2">
        <f ca="1">IFERROR(_xlfn.STDEV.S(OFFSET(Tabla3[[#This Row],[Close]],-29,0,30)),"")</f>
        <v>14.521324520527047</v>
      </c>
    </row>
    <row r="154" spans="1:12" x14ac:dyDescent="0.3">
      <c r="A154" s="1">
        <v>42626</v>
      </c>
      <c r="B154" s="3">
        <f>YEAR(Tabla3[[#This Row],[Date]])</f>
        <v>2016</v>
      </c>
      <c r="C154" s="1" t="str">
        <f>+TEXT(Tabla3[[#This Row],[Date]],"mmm")</f>
        <v>sept</v>
      </c>
      <c r="D154" s="2">
        <v>1319</v>
      </c>
      <c r="E154" s="2">
        <v>1319</v>
      </c>
      <c r="F154" s="2">
        <v>1324.59997558593</v>
      </c>
      <c r="G154" s="2">
        <v>1315</v>
      </c>
      <c r="H154" s="2">
        <v>1324.59997558593</v>
      </c>
      <c r="I154">
        <v>79</v>
      </c>
      <c r="J154" s="2">
        <f ca="1">IFERROR((Tabla3[[#This Row],[Close]]-OFFSET(Tabla3[[#This Row],[Close]],-1,0))/OFFSET(Tabla3[[#This Row],[Close]],-1,0),"")</f>
        <v>-1.514004542013626E-3</v>
      </c>
      <c r="K154" s="2">
        <f ca="1">IFERROR(AVERAGE(OFFSET(Tabla3[[#This Row],[Close]],-6,0,7)),"")</f>
        <v>1331.8142961774515</v>
      </c>
      <c r="L154" s="2">
        <f ca="1">IFERROR(_xlfn.STDEV.S(OFFSET(Tabla3[[#This Row],[Close]],-29,0,30)),"")</f>
        <v>14.564089795164969</v>
      </c>
    </row>
    <row r="155" spans="1:12" x14ac:dyDescent="0.3">
      <c r="A155" s="1">
        <v>42627</v>
      </c>
      <c r="B155" s="3">
        <f>YEAR(Tabla3[[#This Row],[Date]])</f>
        <v>2016</v>
      </c>
      <c r="C155" s="1" t="str">
        <f>+TEXT(Tabla3[[#This Row],[Date]],"mmm")</f>
        <v>sept</v>
      </c>
      <c r="D155" s="2">
        <v>1321.5</v>
      </c>
      <c r="E155" s="2">
        <v>1321.5</v>
      </c>
      <c r="F155" s="2">
        <v>1322.30004882812</v>
      </c>
      <c r="G155" s="2">
        <v>1319.19995117187</v>
      </c>
      <c r="H155" s="2">
        <v>1319.19995117187</v>
      </c>
      <c r="I155">
        <v>73</v>
      </c>
      <c r="J155" s="2">
        <f ca="1">IFERROR((Tabla3[[#This Row],[Close]]-OFFSET(Tabla3[[#This Row],[Close]],-1,0))/OFFSET(Tabla3[[#This Row],[Close]],-1,0),"")</f>
        <v>1.8953752843062926E-3</v>
      </c>
      <c r="K155" s="2">
        <f ca="1">IFERROR(AVERAGE(OFFSET(Tabla3[[#This Row],[Close]],-6,0,7)),"")</f>
        <v>1331.7285853794615</v>
      </c>
      <c r="L155" s="2">
        <f ca="1">IFERROR(_xlfn.STDEV.S(OFFSET(Tabla3[[#This Row],[Close]],-29,0,30)),"")</f>
        <v>13.679081045984885</v>
      </c>
    </row>
    <row r="156" spans="1:12" x14ac:dyDescent="0.3">
      <c r="A156" s="1">
        <v>42628</v>
      </c>
      <c r="B156" s="3">
        <f>YEAR(Tabla3[[#This Row],[Date]])</f>
        <v>2016</v>
      </c>
      <c r="C156" s="1" t="str">
        <f>+TEXT(Tabla3[[#This Row],[Date]],"mmm")</f>
        <v>sept</v>
      </c>
      <c r="D156" s="2">
        <v>1313.5</v>
      </c>
      <c r="E156" s="2">
        <v>1313.5</v>
      </c>
      <c r="F156" s="2">
        <v>1320.69995117187</v>
      </c>
      <c r="G156" s="2">
        <v>1310.80004882812</v>
      </c>
      <c r="H156" s="2">
        <v>1320.69995117187</v>
      </c>
      <c r="I156">
        <v>37</v>
      </c>
      <c r="J156" s="2">
        <f ca="1">IFERROR((Tabla3[[#This Row],[Close]]-OFFSET(Tabla3[[#This Row],[Close]],-1,0))/OFFSET(Tabla3[[#This Row],[Close]],-1,0),"")</f>
        <v>-6.0537268255769962E-3</v>
      </c>
      <c r="K156" s="2">
        <f ca="1">IFERROR(AVERAGE(OFFSET(Tabla3[[#This Row],[Close]],-6,0,7)),"")</f>
        <v>1326.6000104631671</v>
      </c>
      <c r="L156" s="2">
        <f ca="1">IFERROR(_xlfn.STDEV.S(OFFSET(Tabla3[[#This Row],[Close]],-29,0,30)),"")</f>
        <v>13.492748915766022</v>
      </c>
    </row>
    <row r="157" spans="1:12" x14ac:dyDescent="0.3">
      <c r="A157" s="1">
        <v>42629</v>
      </c>
      <c r="B157" s="3">
        <f>YEAR(Tabla3[[#This Row],[Date]])</f>
        <v>2016</v>
      </c>
      <c r="C157" s="1" t="str">
        <f>+TEXT(Tabla3[[#This Row],[Date]],"mmm")</f>
        <v>sept</v>
      </c>
      <c r="D157" s="2">
        <v>1305.80004882812</v>
      </c>
      <c r="E157" s="2">
        <v>1305.80004882812</v>
      </c>
      <c r="F157" s="2">
        <v>1312.59997558593</v>
      </c>
      <c r="G157" s="2">
        <v>1305.80004882812</v>
      </c>
      <c r="H157" s="2">
        <v>1312.19995117187</v>
      </c>
      <c r="I157">
        <v>4</v>
      </c>
      <c r="J157" s="2">
        <f ca="1">IFERROR((Tabla3[[#This Row],[Close]]-OFFSET(Tabla3[[#This Row],[Close]],-1,0))/OFFSET(Tabla3[[#This Row],[Close]],-1,0),"")</f>
        <v>-5.8621630543433589E-3</v>
      </c>
      <c r="K157" s="2">
        <f ca="1">IFERROR(AVERAGE(OFFSET(Tabla3[[#This Row],[Close]],-6,0,7)),"")</f>
        <v>1321.1000104631671</v>
      </c>
      <c r="L157" s="2">
        <f ca="1">IFERROR(_xlfn.STDEV.S(OFFSET(Tabla3[[#This Row],[Close]],-29,0,30)),"")</f>
        <v>13.381668514440406</v>
      </c>
    </row>
    <row r="158" spans="1:12" x14ac:dyDescent="0.3">
      <c r="A158" s="1">
        <v>42632</v>
      </c>
      <c r="B158" s="3">
        <f>YEAR(Tabla3[[#This Row],[Date]])</f>
        <v>2016</v>
      </c>
      <c r="C158" s="1" t="str">
        <f>+TEXT(Tabla3[[#This Row],[Date]],"mmm")</f>
        <v>sept</v>
      </c>
      <c r="D158" s="2">
        <v>1313.5</v>
      </c>
      <c r="E158" s="2">
        <v>1313.5</v>
      </c>
      <c r="F158" s="2">
        <v>1313.5</v>
      </c>
      <c r="G158" s="2">
        <v>1313.5</v>
      </c>
      <c r="H158" s="2">
        <v>1313.5</v>
      </c>
      <c r="I158">
        <v>20</v>
      </c>
      <c r="J158" s="2">
        <f ca="1">IFERROR((Tabla3[[#This Row],[Close]]-OFFSET(Tabla3[[#This Row],[Close]],-1,0))/OFFSET(Tabla3[[#This Row],[Close]],-1,0),"")</f>
        <v>5.8967306509065173E-3</v>
      </c>
      <c r="K158" s="2">
        <f ca="1">IFERROR(AVERAGE(OFFSET(Tabla3[[#This Row],[Close]],-6,0,7)),"")</f>
        <v>1317.7714320591499</v>
      </c>
      <c r="L158" s="2">
        <f ca="1">IFERROR(_xlfn.STDEV.S(OFFSET(Tabla3[[#This Row],[Close]],-29,0,30)),"")</f>
        <v>13.689024104699341</v>
      </c>
    </row>
    <row r="159" spans="1:12" x14ac:dyDescent="0.3">
      <c r="A159" s="1">
        <v>42633</v>
      </c>
      <c r="B159" s="3">
        <f>YEAR(Tabla3[[#This Row],[Date]])</f>
        <v>2016</v>
      </c>
      <c r="C159" s="1" t="str">
        <f>+TEXT(Tabla3[[#This Row],[Date]],"mmm")</f>
        <v>sept</v>
      </c>
      <c r="D159" s="2">
        <v>1313.69995117187</v>
      </c>
      <c r="E159" s="2">
        <v>1313.69995117187</v>
      </c>
      <c r="F159" s="2">
        <v>1313.69995117187</v>
      </c>
      <c r="G159" s="2">
        <v>1313.69995117187</v>
      </c>
      <c r="H159" s="2">
        <v>1313.69995117187</v>
      </c>
      <c r="I159">
        <v>97</v>
      </c>
      <c r="J159" s="2">
        <f ca="1">IFERROR((Tabla3[[#This Row],[Close]]-OFFSET(Tabla3[[#This Row],[Close]],-1,0))/OFFSET(Tabla3[[#This Row],[Close]],-1,0),"")</f>
        <v>1.5222776693566637E-4</v>
      </c>
      <c r="K159" s="2">
        <f ca="1">IFERROR(AVERAGE(OFFSET(Tabla3[[#This Row],[Close]],-6,0,7)),"")</f>
        <v>1315.42857142857</v>
      </c>
      <c r="L159" s="2">
        <f ca="1">IFERROR(_xlfn.STDEV.S(OFFSET(Tabla3[[#This Row],[Close]],-29,0,30)),"")</f>
        <v>13.981578785213561</v>
      </c>
    </row>
    <row r="160" spans="1:12" x14ac:dyDescent="0.3">
      <c r="A160" s="1">
        <v>42634</v>
      </c>
      <c r="B160" s="3">
        <f>YEAR(Tabla3[[#This Row],[Date]])</f>
        <v>2016</v>
      </c>
      <c r="C160" s="1" t="str">
        <f>+TEXT(Tabla3[[#This Row],[Date]],"mmm")</f>
        <v>sept</v>
      </c>
      <c r="D160" s="2">
        <v>1326.90002441406</v>
      </c>
      <c r="E160" s="2">
        <v>1326.90002441406</v>
      </c>
      <c r="F160" s="2">
        <v>1326.90002441406</v>
      </c>
      <c r="G160" s="2">
        <v>1324</v>
      </c>
      <c r="H160" s="2">
        <v>1326.30004882812</v>
      </c>
      <c r="I160">
        <v>76</v>
      </c>
      <c r="J160" s="2">
        <f ca="1">IFERROR((Tabla3[[#This Row],[Close]]-OFFSET(Tabla3[[#This Row],[Close]],-1,0))/OFFSET(Tabla3[[#This Row],[Close]],-1,0),"")</f>
        <v>1.0048012280441235E-2</v>
      </c>
      <c r="K160" s="2">
        <f ca="1">IFERROR(AVERAGE(OFFSET(Tabla3[[#This Row],[Close]],-6,0,7)),"")</f>
        <v>1316.2714320591499</v>
      </c>
      <c r="L160" s="2">
        <f ca="1">IFERROR(_xlfn.STDEV.S(OFFSET(Tabla3[[#This Row],[Close]],-29,0,30)),"")</f>
        <v>13.862548665023139</v>
      </c>
    </row>
    <row r="161" spans="1:12" x14ac:dyDescent="0.3">
      <c r="A161" s="1">
        <v>42635</v>
      </c>
      <c r="B161" s="3">
        <f>YEAR(Tabla3[[#This Row],[Date]])</f>
        <v>2016</v>
      </c>
      <c r="C161" s="1" t="str">
        <f>+TEXT(Tabla3[[#This Row],[Date]],"mmm")</f>
        <v>sept</v>
      </c>
      <c r="D161" s="2">
        <v>1340.40002441406</v>
      </c>
      <c r="E161" s="2">
        <v>1340.40002441406</v>
      </c>
      <c r="F161" s="2">
        <v>1340.40002441406</v>
      </c>
      <c r="G161" s="2">
        <v>1338.19995117187</v>
      </c>
      <c r="H161" s="2">
        <v>1338.59997558593</v>
      </c>
      <c r="I161">
        <v>23</v>
      </c>
      <c r="J161" s="2">
        <f ca="1">IFERROR((Tabla3[[#This Row],[Close]]-OFFSET(Tabla3[[#This Row],[Close]],-1,0))/OFFSET(Tabla3[[#This Row],[Close]],-1,0),"")</f>
        <v>1.0174089796977287E-2</v>
      </c>
      <c r="K161" s="2">
        <f ca="1">IFERROR(AVERAGE(OFFSET(Tabla3[[#This Row],[Close]],-6,0,7)),"")</f>
        <v>1319.3285784040156</v>
      </c>
      <c r="L161" s="2">
        <f ca="1">IFERROR(_xlfn.STDEV.S(OFFSET(Tabla3[[#This Row],[Close]],-29,0,30)),"")</f>
        <v>13.72960238411998</v>
      </c>
    </row>
    <row r="162" spans="1:12" x14ac:dyDescent="0.3">
      <c r="A162" s="1">
        <v>42636</v>
      </c>
      <c r="B162" s="3">
        <f>YEAR(Tabla3[[#This Row],[Date]])</f>
        <v>2016</v>
      </c>
      <c r="C162" s="1" t="str">
        <f>+TEXT(Tabla3[[#This Row],[Date]],"mmm")</f>
        <v>sept</v>
      </c>
      <c r="D162" s="2">
        <v>1337.19995117187</v>
      </c>
      <c r="E162" s="2">
        <v>1337.19995117187</v>
      </c>
      <c r="F162" s="2">
        <v>1337.19995117187</v>
      </c>
      <c r="G162" s="2">
        <v>1337.19995117187</v>
      </c>
      <c r="H162" s="2">
        <v>1337.19995117187</v>
      </c>
      <c r="I162">
        <v>40</v>
      </c>
      <c r="J162" s="2">
        <f ca="1">IFERROR((Tabla3[[#This Row],[Close]]-OFFSET(Tabla3[[#This Row],[Close]],-1,0))/OFFSET(Tabla3[[#This Row],[Close]],-1,0),"")</f>
        <v>-2.3874016591344627E-3</v>
      </c>
      <c r="K162" s="2">
        <f ca="1">IFERROR(AVERAGE(OFFSET(Tabla3[[#This Row],[Close]],-6,0,7)),"")</f>
        <v>1321.5714285714257</v>
      </c>
      <c r="L162" s="2">
        <f ca="1">IFERROR(_xlfn.STDEV.S(OFFSET(Tabla3[[#This Row],[Close]],-29,0,30)),"")</f>
        <v>13.578462861277647</v>
      </c>
    </row>
    <row r="163" spans="1:12" x14ac:dyDescent="0.3">
      <c r="A163" s="1">
        <v>42639</v>
      </c>
      <c r="B163" s="3">
        <f>YEAR(Tabla3[[#This Row],[Date]])</f>
        <v>2016</v>
      </c>
      <c r="C163" s="1" t="str">
        <f>+TEXT(Tabla3[[#This Row],[Date]],"mmm")</f>
        <v>sept</v>
      </c>
      <c r="D163" s="2">
        <v>1339.69995117187</v>
      </c>
      <c r="E163" s="2">
        <v>1339.69995117187</v>
      </c>
      <c r="F163" s="2">
        <v>1341.80004882812</v>
      </c>
      <c r="G163" s="2">
        <v>1335.19995117187</v>
      </c>
      <c r="H163" s="2">
        <v>1335.19995117187</v>
      </c>
      <c r="I163">
        <v>24</v>
      </c>
      <c r="J163" s="2">
        <f ca="1">IFERROR((Tabla3[[#This Row],[Close]]-OFFSET(Tabla3[[#This Row],[Close]],-1,0))/OFFSET(Tabla3[[#This Row],[Close]],-1,0),"")</f>
        <v>1.8695782914208883E-3</v>
      </c>
      <c r="K163" s="2">
        <f ca="1">IFERROR(AVERAGE(OFFSET(Tabla3[[#This Row],[Close]],-6,0,7)),"")</f>
        <v>1325.3142787388356</v>
      </c>
      <c r="L163" s="2">
        <f ca="1">IFERROR(_xlfn.STDEV.S(OFFSET(Tabla3[[#This Row],[Close]],-29,0,30)),"")</f>
        <v>13.66942242784538</v>
      </c>
    </row>
    <row r="164" spans="1:12" x14ac:dyDescent="0.3">
      <c r="A164" s="1">
        <v>42640</v>
      </c>
      <c r="B164" s="3">
        <f>YEAR(Tabla3[[#This Row],[Date]])</f>
        <v>2016</v>
      </c>
      <c r="C164" s="1" t="str">
        <f>+TEXT(Tabla3[[#This Row],[Date]],"mmm")</f>
        <v>sept</v>
      </c>
      <c r="D164" s="2">
        <v>1325.90002441406</v>
      </c>
      <c r="E164" s="2">
        <v>1325.90002441406</v>
      </c>
      <c r="F164" s="2">
        <v>1328.69995117187</v>
      </c>
      <c r="G164" s="2">
        <v>1325.90002441406</v>
      </c>
      <c r="H164" s="2">
        <v>1328</v>
      </c>
      <c r="I164">
        <v>48</v>
      </c>
      <c r="J164" s="2">
        <f ca="1">IFERROR((Tabla3[[#This Row],[Close]]-OFFSET(Tabla3[[#This Row],[Close]],-1,0))/OFFSET(Tabla3[[#This Row],[Close]],-1,0),"")</f>
        <v>-1.030075931983042E-2</v>
      </c>
      <c r="K164" s="2">
        <f ca="1">IFERROR(AVERAGE(OFFSET(Tabla3[[#This Row],[Close]],-6,0,7)),"")</f>
        <v>1328.1857038225414</v>
      </c>
      <c r="L164" s="2">
        <f ca="1">IFERROR(_xlfn.STDEV.S(OFFSET(Tabla3[[#This Row],[Close]],-29,0,30)),"")</f>
        <v>13.496138350340667</v>
      </c>
    </row>
    <row r="165" spans="1:12" x14ac:dyDescent="0.3">
      <c r="A165" s="1">
        <v>42641</v>
      </c>
      <c r="B165" s="3">
        <f>YEAR(Tabla3[[#This Row],[Date]])</f>
        <v>2016</v>
      </c>
      <c r="C165" s="1" t="str">
        <f>+TEXT(Tabla3[[#This Row],[Date]],"mmm")</f>
        <v>sept</v>
      </c>
      <c r="D165" s="2">
        <v>1319.40002441406</v>
      </c>
      <c r="E165" s="2">
        <v>1319.40002441406</v>
      </c>
      <c r="F165" s="2">
        <v>1319.40002441406</v>
      </c>
      <c r="G165" s="2">
        <v>1319.40002441406</v>
      </c>
      <c r="H165" s="2">
        <v>1319.40002441406</v>
      </c>
      <c r="I165">
        <v>10551</v>
      </c>
      <c r="J165" s="2">
        <f ca="1">IFERROR((Tabla3[[#This Row],[Close]]-OFFSET(Tabla3[[#This Row],[Close]],-1,0))/OFFSET(Tabla3[[#This Row],[Close]],-1,0),"")</f>
        <v>-4.9023304022280797E-3</v>
      </c>
      <c r="K165" s="2">
        <f ca="1">IFERROR(AVERAGE(OFFSET(Tabla3[[#This Row],[Close]],-6,0,7)),"")</f>
        <v>1329.0285644531214</v>
      </c>
      <c r="L165" s="2">
        <f ca="1">IFERROR(_xlfn.STDEV.S(OFFSET(Tabla3[[#This Row],[Close]],-29,0,30)),"")</f>
        <v>12.899023952072616</v>
      </c>
    </row>
    <row r="166" spans="1:12" x14ac:dyDescent="0.3">
      <c r="A166" s="1">
        <v>42642</v>
      </c>
      <c r="B166" s="3">
        <f>YEAR(Tabla3[[#This Row],[Date]])</f>
        <v>2016</v>
      </c>
      <c r="C166" s="1" t="str">
        <f>+TEXT(Tabla3[[#This Row],[Date]],"mmm")</f>
        <v>sept</v>
      </c>
      <c r="D166" s="2">
        <v>1321.69995117187</v>
      </c>
      <c r="E166" s="2">
        <v>1321.69995117187</v>
      </c>
      <c r="F166" s="2">
        <v>1325</v>
      </c>
      <c r="G166" s="2">
        <v>1314.69995117187</v>
      </c>
      <c r="H166" s="2">
        <v>1321.19995117187</v>
      </c>
      <c r="I166">
        <v>6108</v>
      </c>
      <c r="J166" s="2">
        <f ca="1">IFERROR((Tabla3[[#This Row],[Close]]-OFFSET(Tabla3[[#This Row],[Close]],-1,0))/OFFSET(Tabla3[[#This Row],[Close]],-1,0),"")</f>
        <v>1.7431610696167651E-3</v>
      </c>
      <c r="K166" s="2">
        <f ca="1">IFERROR(AVERAGE(OFFSET(Tabla3[[#This Row],[Close]],-6,0,7)),"")</f>
        <v>1330.1714215959785</v>
      </c>
      <c r="L166" s="2">
        <f ca="1">IFERROR(_xlfn.STDEV.S(OFFSET(Tabla3[[#This Row],[Close]],-29,0,30)),"")</f>
        <v>12.588393160383101</v>
      </c>
    </row>
    <row r="167" spans="1:12" x14ac:dyDescent="0.3">
      <c r="A167" s="1">
        <v>42643</v>
      </c>
      <c r="B167" s="3">
        <f>YEAR(Tabla3[[#This Row],[Date]])</f>
        <v>2016</v>
      </c>
      <c r="C167" s="1" t="str">
        <f>+TEXT(Tabla3[[#This Row],[Date]],"mmm")</f>
        <v>sept</v>
      </c>
      <c r="D167" s="2">
        <v>1313.30004882812</v>
      </c>
      <c r="E167" s="2">
        <v>1313.30004882812</v>
      </c>
      <c r="F167" s="2">
        <v>1327.69995117187</v>
      </c>
      <c r="G167" s="2">
        <v>1312.90002441406</v>
      </c>
      <c r="H167" s="2">
        <v>1320.59997558593</v>
      </c>
      <c r="I167">
        <v>868</v>
      </c>
      <c r="J167" s="2">
        <f ca="1">IFERROR((Tabla3[[#This Row],[Close]]-OFFSET(Tabla3[[#This Row],[Close]],-1,0))/OFFSET(Tabla3[[#This Row],[Close]],-1,0),"")</f>
        <v>-6.3553776606425109E-3</v>
      </c>
      <c r="K167" s="2">
        <f ca="1">IFERROR(AVERAGE(OFFSET(Tabla3[[#This Row],[Close]],-6,0,7)),"")</f>
        <v>1328.2285679408444</v>
      </c>
      <c r="L167" s="2">
        <f ca="1">IFERROR(_xlfn.STDEV.S(OFFSET(Tabla3[[#This Row],[Close]],-29,0,30)),"")</f>
        <v>11.894636644059769</v>
      </c>
    </row>
    <row r="168" spans="1:12" x14ac:dyDescent="0.3">
      <c r="A168" s="1">
        <v>42646</v>
      </c>
      <c r="B168" s="3">
        <f>YEAR(Tabla3[[#This Row],[Date]])</f>
        <v>2016</v>
      </c>
      <c r="C168" s="1" t="str">
        <f>+TEXT(Tabla3[[#This Row],[Date]],"mmm")</f>
        <v>oct</v>
      </c>
      <c r="D168" s="2">
        <v>1309</v>
      </c>
      <c r="E168" s="2">
        <v>1309</v>
      </c>
      <c r="F168" s="2">
        <v>1316.80004882812</v>
      </c>
      <c r="G168" s="2">
        <v>1308.19995117187</v>
      </c>
      <c r="H168" s="2">
        <v>1313.5</v>
      </c>
      <c r="I168">
        <v>299</v>
      </c>
      <c r="J168" s="2">
        <f ca="1">IFERROR((Tabla3[[#This Row],[Close]]-OFFSET(Tabla3[[#This Row],[Close]],-1,0))/OFFSET(Tabla3[[#This Row],[Close]],-1,0),"")</f>
        <v>-3.2742318344973829E-3</v>
      </c>
      <c r="K168" s="2">
        <f ca="1">IFERROR(AVERAGE(OFFSET(Tabla3[[#This Row],[Close]],-6,0,7)),"")</f>
        <v>1323.7428501674071</v>
      </c>
      <c r="L168" s="2">
        <f ca="1">IFERROR(_xlfn.STDEV.S(OFFSET(Tabla3[[#This Row],[Close]],-29,0,30)),"")</f>
        <v>11.88522534608679</v>
      </c>
    </row>
    <row r="169" spans="1:12" x14ac:dyDescent="0.3">
      <c r="A169" s="1">
        <v>42647</v>
      </c>
      <c r="B169" s="3">
        <f>YEAR(Tabla3[[#This Row],[Date]])</f>
        <v>2016</v>
      </c>
      <c r="C169" s="1" t="str">
        <f>+TEXT(Tabla3[[#This Row],[Date]],"mmm")</f>
        <v>oct</v>
      </c>
      <c r="D169" s="2">
        <v>1266.30004882812</v>
      </c>
      <c r="E169" s="2">
        <v>1266.30004882812</v>
      </c>
      <c r="F169" s="2">
        <v>1310.19995117187</v>
      </c>
      <c r="G169" s="2">
        <v>1266.30004882812</v>
      </c>
      <c r="H169" s="2">
        <v>1307.59997558593</v>
      </c>
      <c r="I169">
        <v>1893</v>
      </c>
      <c r="J169" s="2">
        <f ca="1">IFERROR((Tabla3[[#This Row],[Close]]-OFFSET(Tabla3[[#This Row],[Close]],-1,0))/OFFSET(Tabla3[[#This Row],[Close]],-1,0),"")</f>
        <v>-3.2620283553766234E-2</v>
      </c>
      <c r="K169" s="2">
        <f ca="1">IFERROR(AVERAGE(OFFSET(Tabla3[[#This Row],[Close]],-6,0,7)),"")</f>
        <v>1313.6142926897285</v>
      </c>
      <c r="L169" s="2">
        <f ca="1">IFERROR(_xlfn.STDEV.S(OFFSET(Tabla3[[#This Row],[Close]],-29,0,30)),"")</f>
        <v>15.623407268356187</v>
      </c>
    </row>
    <row r="170" spans="1:12" x14ac:dyDescent="0.3">
      <c r="A170" s="1">
        <v>42648</v>
      </c>
      <c r="B170" s="3">
        <f>YEAR(Tabla3[[#This Row],[Date]])</f>
        <v>2016</v>
      </c>
      <c r="C170" s="1" t="str">
        <f>+TEXT(Tabla3[[#This Row],[Date]],"mmm")</f>
        <v>oct</v>
      </c>
      <c r="D170" s="2">
        <v>1265.19995117187</v>
      </c>
      <c r="E170" s="2">
        <v>1265.19995117187</v>
      </c>
      <c r="F170" s="2">
        <v>1274</v>
      </c>
      <c r="G170" s="2">
        <v>1261.30004882812</v>
      </c>
      <c r="H170" s="2">
        <v>1272.09997558593</v>
      </c>
      <c r="I170">
        <v>246</v>
      </c>
      <c r="J170" s="2">
        <f ca="1">IFERROR((Tabla3[[#This Row],[Close]]-OFFSET(Tabla3[[#This Row],[Close]],-1,0))/OFFSET(Tabla3[[#This Row],[Close]],-1,0),"")</f>
        <v>-8.6874959632835067E-4</v>
      </c>
      <c r="K170" s="2">
        <f ca="1">IFERROR(AVERAGE(OFFSET(Tabla3[[#This Row],[Close]],-6,0,7)),"")</f>
        <v>1302.9714355468714</v>
      </c>
      <c r="L170" s="2">
        <f ca="1">IFERROR(_xlfn.STDEV.S(OFFSET(Tabla3[[#This Row],[Close]],-29,0,30)),"")</f>
        <v>18.310700359188754</v>
      </c>
    </row>
    <row r="171" spans="1:12" x14ac:dyDescent="0.3">
      <c r="A171" s="1">
        <v>42649</v>
      </c>
      <c r="B171" s="3">
        <f>YEAR(Tabla3[[#This Row],[Date]])</f>
        <v>2016</v>
      </c>
      <c r="C171" s="1" t="str">
        <f>+TEXT(Tabla3[[#This Row],[Date]],"mmm")</f>
        <v>oct</v>
      </c>
      <c r="D171" s="2">
        <v>1249.80004882812</v>
      </c>
      <c r="E171" s="2">
        <v>1249.80004882812</v>
      </c>
      <c r="F171" s="2">
        <v>1265.30004882812</v>
      </c>
      <c r="G171" s="2">
        <v>1249.80004882812</v>
      </c>
      <c r="H171" s="2">
        <v>1265.30004882812</v>
      </c>
      <c r="I171">
        <v>114</v>
      </c>
      <c r="J171" s="2">
        <f ca="1">IFERROR((Tabla3[[#This Row],[Close]]-OFFSET(Tabla3[[#This Row],[Close]],-1,0))/OFFSET(Tabla3[[#This Row],[Close]],-1,0),"")</f>
        <v>-1.2171911901740197E-2</v>
      </c>
      <c r="K171" s="2">
        <f ca="1">IFERROR(AVERAGE(OFFSET(Tabla3[[#This Row],[Close]],-6,0,7)),"")</f>
        <v>1292.1000104631655</v>
      </c>
      <c r="L171" s="2">
        <f ca="1">IFERROR(_xlfn.STDEV.S(OFFSET(Tabla3[[#This Row],[Close]],-29,0,30)),"")</f>
        <v>22.224555044542864</v>
      </c>
    </row>
    <row r="172" spans="1:12" x14ac:dyDescent="0.3">
      <c r="A172" s="1">
        <v>42650</v>
      </c>
      <c r="B172" s="3">
        <f>YEAR(Tabla3[[#This Row],[Date]])</f>
        <v>2016</v>
      </c>
      <c r="C172" s="1" t="str">
        <f>+TEXT(Tabla3[[#This Row],[Date]],"mmm")</f>
        <v>oct</v>
      </c>
      <c r="D172" s="2">
        <v>1248.90002441406</v>
      </c>
      <c r="E172" s="2">
        <v>1248.90002441406</v>
      </c>
      <c r="F172" s="2">
        <v>1263.59997558593</v>
      </c>
      <c r="G172" s="2">
        <v>1248.90002441406</v>
      </c>
      <c r="H172" s="2">
        <v>1253.90002441406</v>
      </c>
      <c r="I172">
        <v>169</v>
      </c>
      <c r="J172" s="2">
        <f ca="1">IFERROR((Tabla3[[#This Row],[Close]]-OFFSET(Tabla3[[#This Row],[Close]],-1,0))/OFFSET(Tabla3[[#This Row],[Close]],-1,0),"")</f>
        <v>-7.2013472467368715E-4</v>
      </c>
      <c r="K172" s="2">
        <f ca="1">IFERROR(AVERAGE(OFFSET(Tabla3[[#This Row],[Close]],-6,0,7)),"")</f>
        <v>1282.0285818917371</v>
      </c>
      <c r="L172" s="2">
        <f ca="1">IFERROR(_xlfn.STDEV.S(OFFSET(Tabla3[[#This Row],[Close]],-29,0,30)),"")</f>
        <v>25.420153024515688</v>
      </c>
    </row>
    <row r="173" spans="1:12" x14ac:dyDescent="0.3">
      <c r="A173" s="1">
        <v>42654</v>
      </c>
      <c r="B173" s="3">
        <f>YEAR(Tabla3[[#This Row],[Date]])</f>
        <v>2016</v>
      </c>
      <c r="C173" s="1" t="str">
        <f>+TEXT(Tabla3[[#This Row],[Date]],"mmm")</f>
        <v>oct</v>
      </c>
      <c r="D173" s="2">
        <v>1253</v>
      </c>
      <c r="E173" s="2">
        <v>1253</v>
      </c>
      <c r="F173" s="2">
        <v>1258.90002441406</v>
      </c>
      <c r="G173" s="2">
        <v>1253</v>
      </c>
      <c r="H173" s="2">
        <v>1258.90002441406</v>
      </c>
      <c r="I173">
        <v>26</v>
      </c>
      <c r="J173" s="2">
        <f ca="1">IFERROR((Tabla3[[#This Row],[Close]]-OFFSET(Tabla3[[#This Row],[Close]],-1,0))/OFFSET(Tabla3[[#This Row],[Close]],-1,0),"")</f>
        <v>3.2828693296435524E-3</v>
      </c>
      <c r="K173" s="2">
        <f ca="1">IFERROR(AVERAGE(OFFSET(Tabla3[[#This Row],[Close]],-6,0,7)),"")</f>
        <v>1272.2143031528988</v>
      </c>
      <c r="L173" s="2">
        <f ca="1">IFERROR(_xlfn.STDEV.S(OFFSET(Tabla3[[#This Row],[Close]],-29,0,30)),"")</f>
        <v>27.72495659430934</v>
      </c>
    </row>
    <row r="174" spans="1:12" x14ac:dyDescent="0.3">
      <c r="A174" s="1">
        <v>42655</v>
      </c>
      <c r="B174" s="3">
        <f>YEAR(Tabla3[[#This Row],[Date]])</f>
        <v>2016</v>
      </c>
      <c r="C174" s="1" t="str">
        <f>+TEXT(Tabla3[[#This Row],[Date]],"mmm")</f>
        <v>oct</v>
      </c>
      <c r="D174" s="2">
        <v>1251.09997558593</v>
      </c>
      <c r="E174" s="2">
        <v>1251.09997558593</v>
      </c>
      <c r="F174" s="2">
        <v>1254</v>
      </c>
      <c r="G174" s="2">
        <v>1251.09997558593</v>
      </c>
      <c r="H174" s="2">
        <v>1251.69995117187</v>
      </c>
      <c r="I174">
        <v>127</v>
      </c>
      <c r="J174" s="2">
        <f ca="1">IFERROR((Tabla3[[#This Row],[Close]]-OFFSET(Tabla3[[#This Row],[Close]],-1,0))/OFFSET(Tabla3[[#This Row],[Close]],-1,0),"")</f>
        <v>-1.5163802187310481E-3</v>
      </c>
      <c r="K174" s="2">
        <f ca="1">IFERROR(AVERAGE(OFFSET(Tabla3[[#This Row],[Close]],-6,0,7)),"")</f>
        <v>1263.3285784040143</v>
      </c>
      <c r="L174" s="2">
        <f ca="1">IFERROR(_xlfn.STDEV.S(OFFSET(Tabla3[[#This Row],[Close]],-29,0,30)),"")</f>
        <v>29.777884645722906</v>
      </c>
    </row>
    <row r="175" spans="1:12" x14ac:dyDescent="0.3">
      <c r="A175" s="1">
        <v>42656</v>
      </c>
      <c r="B175" s="3">
        <f>YEAR(Tabla3[[#This Row],[Date]])</f>
        <v>2016</v>
      </c>
      <c r="C175" s="1" t="str">
        <f>+TEXT(Tabla3[[#This Row],[Date]],"mmm")</f>
        <v>oct</v>
      </c>
      <c r="D175" s="2">
        <v>1255</v>
      </c>
      <c r="E175" s="2">
        <v>1255</v>
      </c>
      <c r="F175" s="2">
        <v>1259</v>
      </c>
      <c r="G175" s="2">
        <v>1255</v>
      </c>
      <c r="H175" s="2">
        <v>1258.69995117187</v>
      </c>
      <c r="I175">
        <v>315</v>
      </c>
      <c r="J175" s="2">
        <f ca="1">IFERROR((Tabla3[[#This Row],[Close]]-OFFSET(Tabla3[[#This Row],[Close]],-1,0))/OFFSET(Tabla3[[#This Row],[Close]],-1,0),"")</f>
        <v>3.1172763889180779E-3</v>
      </c>
      <c r="K175" s="2">
        <f ca="1">IFERROR(AVERAGE(OFFSET(Tabla3[[#This Row],[Close]],-6,0,7)),"")</f>
        <v>1255.6142926897285</v>
      </c>
      <c r="L175" s="2">
        <f ca="1">IFERROR(_xlfn.STDEV.S(OFFSET(Tabla3[[#This Row],[Close]],-29,0,30)),"")</f>
        <v>31.398139399756342</v>
      </c>
    </row>
    <row r="176" spans="1:12" x14ac:dyDescent="0.3">
      <c r="A176" s="1">
        <v>42657</v>
      </c>
      <c r="B176" s="3">
        <f>YEAR(Tabla3[[#This Row],[Date]])</f>
        <v>2016</v>
      </c>
      <c r="C176" s="1" t="str">
        <f>+TEXT(Tabla3[[#This Row],[Date]],"mmm")</f>
        <v>oct</v>
      </c>
      <c r="D176" s="2">
        <v>1253.09997558593</v>
      </c>
      <c r="E176" s="2">
        <v>1253.09997558593</v>
      </c>
      <c r="F176" s="2">
        <v>1253.90002441406</v>
      </c>
      <c r="G176" s="2">
        <v>1250.59997558593</v>
      </c>
      <c r="H176" s="2">
        <v>1253.90002441406</v>
      </c>
      <c r="I176">
        <v>311</v>
      </c>
      <c r="J176" s="2">
        <f ca="1">IFERROR((Tabla3[[#This Row],[Close]]-OFFSET(Tabla3[[#This Row],[Close]],-1,0))/OFFSET(Tabla3[[#This Row],[Close]],-1,0),"")</f>
        <v>-1.5139636765498035E-3</v>
      </c>
      <c r="K176" s="2">
        <f ca="1">IFERROR(AVERAGE(OFFSET(Tabla3[[#This Row],[Close]],-6,0,7)),"")</f>
        <v>1253.7285679408444</v>
      </c>
      <c r="L176" s="2">
        <f ca="1">IFERROR(_xlfn.STDEV.S(OFFSET(Tabla3[[#This Row],[Close]],-29,0,30)),"")</f>
        <v>32.946786664507279</v>
      </c>
    </row>
    <row r="177" spans="1:12" x14ac:dyDescent="0.3">
      <c r="A177" s="1">
        <v>42660</v>
      </c>
      <c r="B177" s="3">
        <f>YEAR(Tabla3[[#This Row],[Date]])</f>
        <v>2016</v>
      </c>
      <c r="C177" s="1" t="str">
        <f>+TEXT(Tabla3[[#This Row],[Date]],"mmm")</f>
        <v>oct</v>
      </c>
      <c r="D177" s="2">
        <v>1254.40002441406</v>
      </c>
      <c r="E177" s="2">
        <v>1254.40002441406</v>
      </c>
      <c r="F177" s="2">
        <v>1255</v>
      </c>
      <c r="G177" s="2">
        <v>1249.90002441406</v>
      </c>
      <c r="H177" s="2">
        <v>1249.90002441406</v>
      </c>
      <c r="I177">
        <v>41</v>
      </c>
      <c r="J177" s="2">
        <f ca="1">IFERROR((Tabla3[[#This Row],[Close]]-OFFSET(Tabla3[[#This Row],[Close]],-1,0))/OFFSET(Tabla3[[#This Row],[Close]],-1,0),"")</f>
        <v>1.0374661666736685E-3</v>
      </c>
      <c r="K177" s="2">
        <f ca="1">IFERROR(AVERAGE(OFFSET(Tabla3[[#This Row],[Close]],-6,0,7)),"")</f>
        <v>1252.1857212611574</v>
      </c>
      <c r="L177" s="2">
        <f ca="1">IFERROR(_xlfn.STDEV.S(OFFSET(Tabla3[[#This Row],[Close]],-29,0,30)),"")</f>
        <v>34.234165744693364</v>
      </c>
    </row>
    <row r="178" spans="1:12" x14ac:dyDescent="0.3">
      <c r="A178" s="1">
        <v>42661</v>
      </c>
      <c r="B178" s="3">
        <f>YEAR(Tabla3[[#This Row],[Date]])</f>
        <v>2016</v>
      </c>
      <c r="C178" s="1" t="str">
        <f>+TEXT(Tabla3[[#This Row],[Date]],"mmm")</f>
        <v>oct</v>
      </c>
      <c r="D178" s="2">
        <v>1260.80004882812</v>
      </c>
      <c r="E178" s="2">
        <v>1260.80004882812</v>
      </c>
      <c r="F178" s="2">
        <v>1261.69995117187</v>
      </c>
      <c r="G178" s="2">
        <v>1260.80004882812</v>
      </c>
      <c r="H178" s="2">
        <v>1260.90002441406</v>
      </c>
      <c r="I178">
        <v>11</v>
      </c>
      <c r="J178" s="2">
        <f ca="1">IFERROR((Tabla3[[#This Row],[Close]]-OFFSET(Tabla3[[#This Row],[Close]],-1,0))/OFFSET(Tabla3[[#This Row],[Close]],-1,0),"")</f>
        <v>5.1020601797656211E-3</v>
      </c>
      <c r="K178" s="2">
        <f ca="1">IFERROR(AVERAGE(OFFSET(Tabla3[[#This Row],[Close]],-6,0,7)),"")</f>
        <v>1253.7571498325856</v>
      </c>
      <c r="L178" s="2">
        <f ca="1">IFERROR(_xlfn.STDEV.S(OFFSET(Tabla3[[#This Row],[Close]],-29,0,30)),"")</f>
        <v>34.940749263864376</v>
      </c>
    </row>
    <row r="179" spans="1:12" x14ac:dyDescent="0.3">
      <c r="A179" s="1">
        <v>42662</v>
      </c>
      <c r="B179" s="3">
        <f>YEAR(Tabla3[[#This Row],[Date]])</f>
        <v>2016</v>
      </c>
      <c r="C179" s="1" t="str">
        <f>+TEXT(Tabla3[[#This Row],[Date]],"mmm")</f>
        <v>oct</v>
      </c>
      <c r="D179" s="2">
        <v>1267.90002441406</v>
      </c>
      <c r="E179" s="2">
        <v>1267.90002441406</v>
      </c>
      <c r="F179" s="2">
        <v>1271.5</v>
      </c>
      <c r="G179" s="2">
        <v>1262.90002441406</v>
      </c>
      <c r="H179" s="2">
        <v>1262.90002441406</v>
      </c>
      <c r="I179">
        <v>219</v>
      </c>
      <c r="J179" s="2">
        <f ca="1">IFERROR((Tabla3[[#This Row],[Close]]-OFFSET(Tabla3[[#This Row],[Close]],-1,0))/OFFSET(Tabla3[[#This Row],[Close]],-1,0),"")</f>
        <v>5.6313255956321057E-3</v>
      </c>
      <c r="K179" s="2">
        <f ca="1">IFERROR(AVERAGE(OFFSET(Tabla3[[#This Row],[Close]],-6,0,7)),"")</f>
        <v>1256.4714355468716</v>
      </c>
      <c r="L179" s="2">
        <f ca="1">IFERROR(_xlfn.STDEV.S(OFFSET(Tabla3[[#This Row],[Close]],-29,0,30)),"")</f>
        <v>34.289754960789772</v>
      </c>
    </row>
    <row r="180" spans="1:12" x14ac:dyDescent="0.3">
      <c r="A180" s="1">
        <v>42663</v>
      </c>
      <c r="B180" s="3">
        <f>YEAR(Tabla3[[#This Row],[Date]])</f>
        <v>2016</v>
      </c>
      <c r="C180" s="1" t="str">
        <f>+TEXT(Tabla3[[#This Row],[Date]],"mmm")</f>
        <v>oct</v>
      </c>
      <c r="D180" s="2">
        <v>1265.59997558593</v>
      </c>
      <c r="E180" s="2">
        <v>1265.59997558593</v>
      </c>
      <c r="F180" s="2">
        <v>1270.5</v>
      </c>
      <c r="G180" s="2">
        <v>1265.5</v>
      </c>
      <c r="H180" s="2">
        <v>1270</v>
      </c>
      <c r="I180">
        <v>415</v>
      </c>
      <c r="J180" s="2">
        <f ca="1">IFERROR((Tabla3[[#This Row],[Close]]-OFFSET(Tabla3[[#This Row],[Close]],-1,0))/OFFSET(Tabla3[[#This Row],[Close]],-1,0),"")</f>
        <v>-1.8140616640440034E-3</v>
      </c>
      <c r="K180" s="2">
        <f ca="1">IFERROR(AVERAGE(OFFSET(Tabla3[[#This Row],[Close]],-6,0,7)),"")</f>
        <v>1258.2714320591472</v>
      </c>
      <c r="L180" s="2">
        <f ca="1">IFERROR(_xlfn.STDEV.S(OFFSET(Tabla3[[#This Row],[Close]],-29,0,30)),"")</f>
        <v>33.732142547103138</v>
      </c>
    </row>
    <row r="181" spans="1:12" x14ac:dyDescent="0.3">
      <c r="A181" s="1">
        <v>42664</v>
      </c>
      <c r="B181" s="3">
        <f>YEAR(Tabla3[[#This Row],[Date]])</f>
        <v>2016</v>
      </c>
      <c r="C181" s="1" t="str">
        <f>+TEXT(Tabla3[[#This Row],[Date]],"mmm")</f>
        <v>oct</v>
      </c>
      <c r="D181" s="2">
        <v>1265.90002441406</v>
      </c>
      <c r="E181" s="2">
        <v>1265.90002441406</v>
      </c>
      <c r="F181" s="2">
        <v>1265.90002441406</v>
      </c>
      <c r="G181" s="2">
        <v>1265.90002441406</v>
      </c>
      <c r="H181" s="2">
        <v>1265.90002441406</v>
      </c>
      <c r="I181">
        <v>224</v>
      </c>
      <c r="J181" s="2">
        <f ca="1">IFERROR((Tabla3[[#This Row],[Close]]-OFFSET(Tabla3[[#This Row],[Close]],-1,0))/OFFSET(Tabla3[[#This Row],[Close]],-1,0),"")</f>
        <v>2.3708030492896443E-4</v>
      </c>
      <c r="K181" s="2">
        <f ca="1">IFERROR(AVERAGE(OFFSET(Tabla3[[#This Row],[Close]],-6,0,7)),"")</f>
        <v>1260.38572474888</v>
      </c>
      <c r="L181" s="2">
        <f ca="1">IFERROR(_xlfn.STDEV.S(OFFSET(Tabla3[[#This Row],[Close]],-29,0,30)),"")</f>
        <v>33.303122194739558</v>
      </c>
    </row>
    <row r="182" spans="1:12" x14ac:dyDescent="0.3">
      <c r="A182" s="1">
        <v>42667</v>
      </c>
      <c r="B182" s="3">
        <f>YEAR(Tabla3[[#This Row],[Date]])</f>
        <v>2016</v>
      </c>
      <c r="C182" s="1" t="str">
        <f>+TEXT(Tabla3[[#This Row],[Date]],"mmm")</f>
        <v>oct</v>
      </c>
      <c r="D182" s="2">
        <v>1262</v>
      </c>
      <c r="E182" s="2">
        <v>1262</v>
      </c>
      <c r="F182" s="2">
        <v>1269.19995117187</v>
      </c>
      <c r="G182" s="2">
        <v>1261.80004882812</v>
      </c>
      <c r="H182" s="2">
        <v>1269.19995117187</v>
      </c>
      <c r="I182">
        <v>42</v>
      </c>
      <c r="J182" s="2">
        <f ca="1">IFERROR((Tabla3[[#This Row],[Close]]-OFFSET(Tabla3[[#This Row],[Close]],-1,0))/OFFSET(Tabla3[[#This Row],[Close]],-1,0),"")</f>
        <v>-3.0808312969779592E-3</v>
      </c>
      <c r="K182" s="2">
        <f ca="1">IFERROR(AVERAGE(OFFSET(Tabla3[[#This Row],[Close]],-6,0,7)),"")</f>
        <v>1261.38572474888</v>
      </c>
      <c r="L182" s="2">
        <f ca="1">IFERROR(_xlfn.STDEV.S(OFFSET(Tabla3[[#This Row],[Close]],-29,0,30)),"")</f>
        <v>33.098124643462583</v>
      </c>
    </row>
    <row r="183" spans="1:12" x14ac:dyDescent="0.3">
      <c r="A183" s="1">
        <v>42668</v>
      </c>
      <c r="B183" s="3">
        <f>YEAR(Tabla3[[#This Row],[Date]])</f>
        <v>2016</v>
      </c>
      <c r="C183" s="1" t="str">
        <f>+TEXT(Tabla3[[#This Row],[Date]],"mmm")</f>
        <v>oct</v>
      </c>
      <c r="D183" s="2">
        <v>1271.90002441406</v>
      </c>
      <c r="E183" s="2">
        <v>1271.90002441406</v>
      </c>
      <c r="F183" s="2">
        <v>1274.09997558593</v>
      </c>
      <c r="G183" s="2">
        <v>1264.09997558593</v>
      </c>
      <c r="H183" s="2">
        <v>1264.09997558593</v>
      </c>
      <c r="I183">
        <v>61</v>
      </c>
      <c r="J183" s="2">
        <f ca="1">IFERROR((Tabla3[[#This Row],[Close]]-OFFSET(Tabla3[[#This Row],[Close]],-1,0))/OFFSET(Tabla3[[#This Row],[Close]],-1,0),"")</f>
        <v>7.8447103122503952E-3</v>
      </c>
      <c r="K183" s="2">
        <f ca="1">IFERROR(AVERAGE(OFFSET(Tabla3[[#This Row],[Close]],-6,0,7)),"")</f>
        <v>1264.0714460100414</v>
      </c>
      <c r="L183" s="2">
        <f ca="1">IFERROR(_xlfn.STDEV.S(OFFSET(Tabla3[[#This Row],[Close]],-29,0,30)),"")</f>
        <v>32.828381131154529</v>
      </c>
    </row>
    <row r="184" spans="1:12" x14ac:dyDescent="0.3">
      <c r="A184" s="1">
        <v>42669</v>
      </c>
      <c r="B184" s="3">
        <f>YEAR(Tabla3[[#This Row],[Date]])</f>
        <v>2016</v>
      </c>
      <c r="C184" s="1" t="str">
        <f>+TEXT(Tabla3[[#This Row],[Date]],"mmm")</f>
        <v>oct</v>
      </c>
      <c r="D184" s="2">
        <v>1264.80004882812</v>
      </c>
      <c r="E184" s="2">
        <v>1264.80004882812</v>
      </c>
      <c r="F184" s="2">
        <v>1274</v>
      </c>
      <c r="G184" s="2">
        <v>1264.80004882812</v>
      </c>
      <c r="H184" s="2">
        <v>1274</v>
      </c>
      <c r="I184">
        <v>279</v>
      </c>
      <c r="J184" s="2">
        <f ca="1">IFERROR((Tabla3[[#This Row],[Close]]-OFFSET(Tabla3[[#This Row],[Close]],-1,0))/OFFSET(Tabla3[[#This Row],[Close]],-1,0),"")</f>
        <v>-5.5821805563773174E-3</v>
      </c>
      <c r="K184" s="2">
        <f ca="1">IFERROR(AVERAGE(OFFSET(Tabla3[[#This Row],[Close]],-6,0,7)),"")</f>
        <v>1265.5571637834785</v>
      </c>
      <c r="L184" s="2">
        <f ca="1">IFERROR(_xlfn.STDEV.S(OFFSET(Tabla3[[#This Row],[Close]],-29,0,30)),"")</f>
        <v>32.690125313537415</v>
      </c>
    </row>
    <row r="185" spans="1:12" x14ac:dyDescent="0.3">
      <c r="A185" s="1">
        <v>42670</v>
      </c>
      <c r="B185" s="3">
        <f>YEAR(Tabla3[[#This Row],[Date]])</f>
        <v>2016</v>
      </c>
      <c r="C185" s="1" t="str">
        <f>+TEXT(Tabla3[[#This Row],[Date]],"mmm")</f>
        <v>oct</v>
      </c>
      <c r="D185" s="2">
        <v>1267.90002441406</v>
      </c>
      <c r="E185" s="2">
        <v>1267.90002441406</v>
      </c>
      <c r="F185" s="2">
        <v>1269.40002441406</v>
      </c>
      <c r="G185" s="2">
        <v>1267.90002441406</v>
      </c>
      <c r="H185" s="2">
        <v>1269.40002441406</v>
      </c>
      <c r="I185">
        <v>338</v>
      </c>
      <c r="J185" s="2">
        <f ca="1">IFERROR((Tabla3[[#This Row],[Close]]-OFFSET(Tabla3[[#This Row],[Close]],-1,0))/OFFSET(Tabla3[[#This Row],[Close]],-1,0),"")</f>
        <v>2.4509609948325296E-3</v>
      </c>
      <c r="K185" s="2">
        <f ca="1">IFERROR(AVERAGE(OFFSET(Tabla3[[#This Row],[Close]],-6,0,7)),"")</f>
        <v>1266.5714460100414</v>
      </c>
      <c r="L185" s="2">
        <f ca="1">IFERROR(_xlfn.STDEV.S(OFFSET(Tabla3[[#This Row],[Close]],-29,0,30)),"")</f>
        <v>32.290780296818561</v>
      </c>
    </row>
    <row r="186" spans="1:12" x14ac:dyDescent="0.3">
      <c r="A186" s="1">
        <v>42671</v>
      </c>
      <c r="B186" s="3">
        <f>YEAR(Tabla3[[#This Row],[Date]])</f>
        <v>2016</v>
      </c>
      <c r="C186" s="1" t="str">
        <f>+TEXT(Tabla3[[#This Row],[Date]],"mmm")</f>
        <v>oct</v>
      </c>
      <c r="D186" s="2">
        <v>1275.5</v>
      </c>
      <c r="E186" s="2">
        <v>1275.5</v>
      </c>
      <c r="F186" s="2">
        <v>1281.5</v>
      </c>
      <c r="G186" s="2">
        <v>1262</v>
      </c>
      <c r="H186" s="2">
        <v>1270.30004882812</v>
      </c>
      <c r="I186">
        <v>560</v>
      </c>
      <c r="J186" s="2">
        <f ca="1">IFERROR((Tabla3[[#This Row],[Close]]-OFFSET(Tabla3[[#This Row],[Close]],-1,0))/OFFSET(Tabla3[[#This Row],[Close]],-1,0),"")</f>
        <v>5.9941442066398015E-3</v>
      </c>
      <c r="K186" s="2">
        <f ca="1">IFERROR(AVERAGE(OFFSET(Tabla3[[#This Row],[Close]],-6,0,7)),"")</f>
        <v>1267.6571568080326</v>
      </c>
      <c r="L186" s="2">
        <f ca="1">IFERROR(_xlfn.STDEV.S(OFFSET(Tabla3[[#This Row],[Close]],-29,0,30)),"")</f>
        <v>31.950281507107182</v>
      </c>
    </row>
    <row r="187" spans="1:12" x14ac:dyDescent="0.3">
      <c r="A187" s="1">
        <v>42674</v>
      </c>
      <c r="B187" s="3">
        <f>YEAR(Tabla3[[#This Row],[Date]])</f>
        <v>2016</v>
      </c>
      <c r="C187" s="1" t="str">
        <f>+TEXT(Tabla3[[#This Row],[Date]],"mmm")</f>
        <v>oct</v>
      </c>
      <c r="D187" s="2">
        <v>1271.5</v>
      </c>
      <c r="E187" s="2">
        <v>1271.5</v>
      </c>
      <c r="F187" s="2">
        <v>1276.59997558593</v>
      </c>
      <c r="G187" s="2">
        <v>1271.5</v>
      </c>
      <c r="H187" s="2">
        <v>1276.59997558593</v>
      </c>
      <c r="I187">
        <v>58</v>
      </c>
      <c r="J187" s="2">
        <f ca="1">IFERROR((Tabla3[[#This Row],[Close]]-OFFSET(Tabla3[[#This Row],[Close]],-1,0))/OFFSET(Tabla3[[#This Row],[Close]],-1,0),"")</f>
        <v>-3.1360250882007056E-3</v>
      </c>
      <c r="K187" s="2">
        <f ca="1">IFERROR(AVERAGE(OFFSET(Tabla3[[#This Row],[Close]],-6,0,7)),"")</f>
        <v>1268.5000174386139</v>
      </c>
      <c r="L187" s="2">
        <f ca="1">IFERROR(_xlfn.STDEV.S(OFFSET(Tabla3[[#This Row],[Close]],-29,0,30)),"")</f>
        <v>31.812954550700084</v>
      </c>
    </row>
    <row r="188" spans="1:12" x14ac:dyDescent="0.3">
      <c r="A188" s="1">
        <v>42675</v>
      </c>
      <c r="B188" s="3">
        <f>YEAR(Tabla3[[#This Row],[Date]])</f>
        <v>2016</v>
      </c>
      <c r="C188" s="1" t="str">
        <f>+TEXT(Tabla3[[#This Row],[Date]],"mmm")</f>
        <v>nov</v>
      </c>
      <c r="D188" s="2">
        <v>1286.40002441406</v>
      </c>
      <c r="E188" s="2">
        <v>1286.40002441406</v>
      </c>
      <c r="F188" s="2">
        <v>1290.69995117187</v>
      </c>
      <c r="G188" s="2">
        <v>1279</v>
      </c>
      <c r="H188" s="2">
        <v>1279.30004882812</v>
      </c>
      <c r="I188">
        <v>49</v>
      </c>
      <c r="J188" s="2">
        <f ca="1">IFERROR((Tabla3[[#This Row],[Close]]-OFFSET(Tabla3[[#This Row],[Close]],-1,0))/OFFSET(Tabla3[[#This Row],[Close]],-1,0),"")</f>
        <v>1.1718461985104206E-2</v>
      </c>
      <c r="K188" s="2">
        <f ca="1">IFERROR(AVERAGE(OFFSET(Tabla3[[#This Row],[Close]],-6,0,7)),"")</f>
        <v>1271.4285888671857</v>
      </c>
      <c r="L188" s="2">
        <f ca="1">IFERROR(_xlfn.STDEV.S(OFFSET(Tabla3[[#This Row],[Close]],-29,0,30)),"")</f>
        <v>31.338696852383762</v>
      </c>
    </row>
    <row r="189" spans="1:12" x14ac:dyDescent="0.3">
      <c r="A189" s="1">
        <v>42676</v>
      </c>
      <c r="B189" s="3">
        <f>YEAR(Tabla3[[#This Row],[Date]])</f>
        <v>2016</v>
      </c>
      <c r="C189" s="1" t="str">
        <f>+TEXT(Tabla3[[#This Row],[Date]],"mmm")</f>
        <v>nov</v>
      </c>
      <c r="D189" s="2">
        <v>1306.80004882812</v>
      </c>
      <c r="E189" s="2">
        <v>1306.80004882812</v>
      </c>
      <c r="F189" s="2">
        <v>1307</v>
      </c>
      <c r="G189" s="2">
        <v>1288.30004882812</v>
      </c>
      <c r="H189" s="2">
        <v>1288.30004882812</v>
      </c>
      <c r="I189">
        <v>30</v>
      </c>
      <c r="J189" s="2">
        <f ca="1">IFERROR((Tabla3[[#This Row],[Close]]-OFFSET(Tabla3[[#This Row],[Close]],-1,0))/OFFSET(Tabla3[[#This Row],[Close]],-1,0),"")</f>
        <v>1.5858227632848474E-2</v>
      </c>
      <c r="K189" s="2">
        <f ca="1">IFERROR(AVERAGE(OFFSET(Tabla3[[#This Row],[Close]],-6,0,7)),"")</f>
        <v>1277.8285958426313</v>
      </c>
      <c r="L189" s="2">
        <f ca="1">IFERROR(_xlfn.STDEV.S(OFFSET(Tabla3[[#This Row],[Close]],-29,0,30)),"")</f>
        <v>31.133862292578723</v>
      </c>
    </row>
    <row r="190" spans="1:12" x14ac:dyDescent="0.3">
      <c r="A190" s="1">
        <v>42677</v>
      </c>
      <c r="B190" s="3">
        <f>YEAR(Tabla3[[#This Row],[Date]])</f>
        <v>2016</v>
      </c>
      <c r="C190" s="1" t="str">
        <f>+TEXT(Tabla3[[#This Row],[Date]],"mmm")</f>
        <v>nov</v>
      </c>
      <c r="D190" s="2">
        <v>1302.09997558593</v>
      </c>
      <c r="E190" s="2">
        <v>1302.09997558593</v>
      </c>
      <c r="F190" s="2">
        <v>1303.09997558593</v>
      </c>
      <c r="G190" s="2">
        <v>1287.30004882812</v>
      </c>
      <c r="H190" s="2">
        <v>1296.40002441406</v>
      </c>
      <c r="I190">
        <v>73</v>
      </c>
      <c r="J190" s="2">
        <f ca="1">IFERROR((Tabla3[[#This Row],[Close]]-OFFSET(Tabla3[[#This Row],[Close]],-1,0))/OFFSET(Tabla3[[#This Row],[Close]],-1,0),"")</f>
        <v>-3.5966276909805881E-3</v>
      </c>
      <c r="K190" s="2">
        <f ca="1">IFERROR(AVERAGE(OFFSET(Tabla3[[#This Row],[Close]],-6,0,7)),"")</f>
        <v>1282.1428745814701</v>
      </c>
      <c r="L190" s="2">
        <f ca="1">IFERROR(_xlfn.STDEV.S(OFFSET(Tabla3[[#This Row],[Close]],-29,0,30)),"")</f>
        <v>30.251457307491251</v>
      </c>
    </row>
    <row r="191" spans="1:12" x14ac:dyDescent="0.3">
      <c r="A191" s="1">
        <v>42678</v>
      </c>
      <c r="B191" s="3">
        <f>YEAR(Tabla3[[#This Row],[Date]])</f>
        <v>2016</v>
      </c>
      <c r="C191" s="1" t="str">
        <f>+TEXT(Tabla3[[#This Row],[Date]],"mmm")</f>
        <v>nov</v>
      </c>
      <c r="D191" s="2">
        <v>1303.30004882812</v>
      </c>
      <c r="E191" s="2">
        <v>1303.30004882812</v>
      </c>
      <c r="F191" s="2">
        <v>1303.30004882812</v>
      </c>
      <c r="G191" s="2">
        <v>1296.69995117187</v>
      </c>
      <c r="H191" s="2">
        <v>1300</v>
      </c>
      <c r="I191">
        <v>11</v>
      </c>
      <c r="J191" s="2">
        <f ca="1">IFERROR((Tabla3[[#This Row],[Close]]-OFFSET(Tabla3[[#This Row],[Close]],-1,0))/OFFSET(Tabla3[[#This Row],[Close]],-1,0),"")</f>
        <v>9.2164447023354102E-4</v>
      </c>
      <c r="K191" s="2">
        <f ca="1">IFERROR(AVERAGE(OFFSET(Tabla3[[#This Row],[Close]],-6,0,7)),"")</f>
        <v>1287.6428745814699</v>
      </c>
      <c r="L191" s="2">
        <f ca="1">IFERROR(_xlfn.STDEV.S(OFFSET(Tabla3[[#This Row],[Close]],-29,0,30)),"")</f>
        <v>28.507431344096183</v>
      </c>
    </row>
    <row r="192" spans="1:12" x14ac:dyDescent="0.3">
      <c r="A192" s="1">
        <v>42681</v>
      </c>
      <c r="B192" s="3">
        <f>YEAR(Tabla3[[#This Row],[Date]])</f>
        <v>2016</v>
      </c>
      <c r="C192" s="1" t="str">
        <f>+TEXT(Tabla3[[#This Row],[Date]],"mmm")</f>
        <v>nov</v>
      </c>
      <c r="D192" s="2">
        <v>1278.30004882812</v>
      </c>
      <c r="E192" s="2">
        <v>1278.30004882812</v>
      </c>
      <c r="F192" s="2">
        <v>1294.5</v>
      </c>
      <c r="G192" s="2">
        <v>1278.30004882812</v>
      </c>
      <c r="H192" s="2">
        <v>1292</v>
      </c>
      <c r="I192">
        <v>34</v>
      </c>
      <c r="J192" s="2">
        <f ca="1">IFERROR((Tabla3[[#This Row],[Close]]-OFFSET(Tabla3[[#This Row],[Close]],-1,0))/OFFSET(Tabla3[[#This Row],[Close]],-1,0),"")</f>
        <v>-1.9182075549278994E-2</v>
      </c>
      <c r="K192" s="2">
        <f ca="1">IFERROR(AVERAGE(OFFSET(Tabla3[[#This Row],[Close]],-6,0,7)),"")</f>
        <v>1289.1285923549071</v>
      </c>
      <c r="L192" s="2">
        <f ca="1">IFERROR(_xlfn.STDEV.S(OFFSET(Tabla3[[#This Row],[Close]],-29,0,30)),"")</f>
        <v>26.471817093955064</v>
      </c>
    </row>
    <row r="193" spans="1:12" x14ac:dyDescent="0.3">
      <c r="A193" s="1">
        <v>42682</v>
      </c>
      <c r="B193" s="3">
        <f>YEAR(Tabla3[[#This Row],[Date]])</f>
        <v>2016</v>
      </c>
      <c r="C193" s="1" t="str">
        <f>+TEXT(Tabla3[[#This Row],[Date]],"mmm")</f>
        <v>nov</v>
      </c>
      <c r="D193" s="2">
        <v>1273.40002441406</v>
      </c>
      <c r="E193" s="2">
        <v>1273.40002441406</v>
      </c>
      <c r="F193" s="2">
        <v>1289.40002441406</v>
      </c>
      <c r="G193" s="2">
        <v>1273.19995117187</v>
      </c>
      <c r="H193" s="2">
        <v>1284.09997558593</v>
      </c>
      <c r="I193">
        <v>50</v>
      </c>
      <c r="J193" s="2">
        <f ca="1">IFERROR((Tabla3[[#This Row],[Close]]-OFFSET(Tabla3[[#This Row],[Close]],-1,0))/OFFSET(Tabla3[[#This Row],[Close]],-1,0),"")</f>
        <v>-3.8332349424159769E-3</v>
      </c>
      <c r="K193" s="2">
        <f ca="1">IFERROR(AVERAGE(OFFSET(Tabla3[[#This Row],[Close]],-6,0,7)),"")</f>
        <v>1288.82859584263</v>
      </c>
      <c r="L193" s="2">
        <f ca="1">IFERROR(_xlfn.STDEV.S(OFFSET(Tabla3[[#This Row],[Close]],-29,0,30)),"")</f>
        <v>23.889862568242819</v>
      </c>
    </row>
    <row r="194" spans="1:12" x14ac:dyDescent="0.3">
      <c r="A194" s="1">
        <v>42683</v>
      </c>
      <c r="B194" s="3">
        <f>YEAR(Tabla3[[#This Row],[Date]])</f>
        <v>2016</v>
      </c>
      <c r="C194" s="1" t="str">
        <f>+TEXT(Tabla3[[#This Row],[Date]],"mmm")</f>
        <v>nov</v>
      </c>
      <c r="D194" s="2">
        <v>1272.59997558593</v>
      </c>
      <c r="E194" s="2">
        <v>1272.59997558593</v>
      </c>
      <c r="F194" s="2">
        <v>1318.59997558593</v>
      </c>
      <c r="G194" s="2">
        <v>1270</v>
      </c>
      <c r="H194" s="2">
        <v>1272.19995117187</v>
      </c>
      <c r="I194">
        <v>108</v>
      </c>
      <c r="J194" s="2">
        <f ca="1">IFERROR((Tabla3[[#This Row],[Close]]-OFFSET(Tabla3[[#This Row],[Close]],-1,0))/OFFSET(Tabla3[[#This Row],[Close]],-1,0),"")</f>
        <v>-6.2827769184167813E-4</v>
      </c>
      <c r="K194" s="2">
        <f ca="1">IFERROR(AVERAGE(OFFSET(Tabla3[[#This Row],[Close]],-6,0,7)),"")</f>
        <v>1288.9857352120484</v>
      </c>
      <c r="L194" s="2">
        <f ca="1">IFERROR(_xlfn.STDEV.S(OFFSET(Tabla3[[#This Row],[Close]],-29,0,30)),"")</f>
        <v>22.03852740990061</v>
      </c>
    </row>
    <row r="195" spans="1:12" x14ac:dyDescent="0.3">
      <c r="A195" s="1">
        <v>42684</v>
      </c>
      <c r="B195" s="3">
        <f>YEAR(Tabla3[[#This Row],[Date]])</f>
        <v>2016</v>
      </c>
      <c r="C195" s="1" t="str">
        <f>+TEXT(Tabla3[[#This Row],[Date]],"mmm")</f>
        <v>nov</v>
      </c>
      <c r="D195" s="2">
        <v>1265.5</v>
      </c>
      <c r="E195" s="2">
        <v>1265.5</v>
      </c>
      <c r="F195" s="2">
        <v>1287.5</v>
      </c>
      <c r="G195" s="2">
        <v>1253.30004882812</v>
      </c>
      <c r="H195" s="2">
        <v>1274.40002441406</v>
      </c>
      <c r="I195">
        <v>63</v>
      </c>
      <c r="J195" s="2">
        <f ca="1">IFERROR((Tabla3[[#This Row],[Close]]-OFFSET(Tabla3[[#This Row],[Close]],-1,0))/OFFSET(Tabla3[[#This Row],[Close]],-1,0),"")</f>
        <v>-5.5791102641354591E-3</v>
      </c>
      <c r="K195" s="2">
        <f ca="1">IFERROR(AVERAGE(OFFSET(Tabla3[[#This Row],[Close]],-6,0,7)),"")</f>
        <v>1286.0000174386114</v>
      </c>
      <c r="L195" s="2">
        <f ca="1">IFERROR(_xlfn.STDEV.S(OFFSET(Tabla3[[#This Row],[Close]],-29,0,30)),"")</f>
        <v>20.453519086267939</v>
      </c>
    </row>
    <row r="196" spans="1:12" x14ac:dyDescent="0.3">
      <c r="A196" s="1">
        <v>42688</v>
      </c>
      <c r="B196" s="3">
        <f>YEAR(Tabla3[[#This Row],[Date]])</f>
        <v>2016</v>
      </c>
      <c r="C196" s="1" t="str">
        <f>+TEXT(Tabla3[[#This Row],[Date]],"mmm")</f>
        <v>nov</v>
      </c>
      <c r="D196" s="2">
        <v>1221.19995117187</v>
      </c>
      <c r="E196" s="2">
        <v>1221.19995117187</v>
      </c>
      <c r="F196" s="2">
        <v>1229.5</v>
      </c>
      <c r="G196" s="2">
        <v>1210.40002441406</v>
      </c>
      <c r="H196" s="2">
        <v>1227.80004882812</v>
      </c>
      <c r="I196">
        <v>216</v>
      </c>
      <c r="J196" s="2">
        <f ca="1">IFERROR((Tabla3[[#This Row],[Close]]-OFFSET(Tabla3[[#This Row],[Close]],-1,0))/OFFSET(Tabla3[[#This Row],[Close]],-1,0),"")</f>
        <v>-3.5005965095322007E-2</v>
      </c>
      <c r="K196" s="2">
        <f ca="1">IFERROR(AVERAGE(OFFSET(Tabla3[[#This Row],[Close]],-6,0,7)),"")</f>
        <v>1273.7714320591472</v>
      </c>
      <c r="L196" s="2">
        <f ca="1">IFERROR(_xlfn.STDEV.S(OFFSET(Tabla3[[#This Row],[Close]],-29,0,30)),"")</f>
        <v>20.505704938251373</v>
      </c>
    </row>
    <row r="197" spans="1:12" x14ac:dyDescent="0.3">
      <c r="A197" s="1">
        <v>42689</v>
      </c>
      <c r="B197" s="3">
        <f>YEAR(Tabla3[[#This Row],[Date]])</f>
        <v>2016</v>
      </c>
      <c r="C197" s="1" t="str">
        <f>+TEXT(Tabla3[[#This Row],[Date]],"mmm")</f>
        <v>nov</v>
      </c>
      <c r="D197" s="2">
        <v>1224</v>
      </c>
      <c r="E197" s="2">
        <v>1224</v>
      </c>
      <c r="F197" s="2">
        <v>1226</v>
      </c>
      <c r="G197" s="2">
        <v>1222.5</v>
      </c>
      <c r="H197" s="2">
        <v>1224.30004882812</v>
      </c>
      <c r="I197">
        <v>20</v>
      </c>
      <c r="J197" s="2">
        <f ca="1">IFERROR((Tabla3[[#This Row],[Close]]-OFFSET(Tabla3[[#This Row],[Close]],-1,0))/OFFSET(Tabla3[[#This Row],[Close]],-1,0),"")</f>
        <v>2.2928668032151985E-3</v>
      </c>
      <c r="K197" s="2">
        <f ca="1">IFERROR(AVERAGE(OFFSET(Tabla3[[#This Row],[Close]],-6,0,7)),"")</f>
        <v>1262.6142926897285</v>
      </c>
      <c r="L197" s="2">
        <f ca="1">IFERROR(_xlfn.STDEV.S(OFFSET(Tabla3[[#This Row],[Close]],-29,0,30)),"")</f>
        <v>20.497442047754689</v>
      </c>
    </row>
    <row r="198" spans="1:12" x14ac:dyDescent="0.3">
      <c r="A198" s="1">
        <v>42690</v>
      </c>
      <c r="B198" s="3">
        <f>YEAR(Tabla3[[#This Row],[Date]])</f>
        <v>2016</v>
      </c>
      <c r="C198" s="1" t="str">
        <f>+TEXT(Tabla3[[#This Row],[Date]],"mmm")</f>
        <v>nov</v>
      </c>
      <c r="D198" s="2">
        <v>1223.40002441406</v>
      </c>
      <c r="E198" s="2">
        <v>1223.40002441406</v>
      </c>
      <c r="F198" s="2">
        <v>1229.30004882812</v>
      </c>
      <c r="G198" s="2">
        <v>1223</v>
      </c>
      <c r="H198" s="2">
        <v>1229.30004882812</v>
      </c>
      <c r="I198">
        <v>66</v>
      </c>
      <c r="J198" s="2">
        <f ca="1">IFERROR((Tabla3[[#This Row],[Close]]-OFFSET(Tabla3[[#This Row],[Close]],-1,0))/OFFSET(Tabla3[[#This Row],[Close]],-1,0),"")</f>
        <v>-4.9017613230392253E-4</v>
      </c>
      <c r="K198" s="2">
        <f ca="1">IFERROR(AVERAGE(OFFSET(Tabla3[[#This Row],[Close]],-6,0,7)),"")</f>
        <v>1251.2000034877201</v>
      </c>
      <c r="L198" s="2">
        <f ca="1">IFERROR(_xlfn.STDEV.S(OFFSET(Tabla3[[#This Row],[Close]],-29,0,30)),"")</f>
        <v>20.422422262473756</v>
      </c>
    </row>
    <row r="199" spans="1:12" x14ac:dyDescent="0.3">
      <c r="A199" s="1">
        <v>42691</v>
      </c>
      <c r="B199" s="3">
        <f>YEAR(Tabla3[[#This Row],[Date]])</f>
        <v>2016</v>
      </c>
      <c r="C199" s="1" t="str">
        <f>+TEXT(Tabla3[[#This Row],[Date]],"mmm")</f>
        <v>nov</v>
      </c>
      <c r="D199" s="2">
        <v>1216.5</v>
      </c>
      <c r="E199" s="2">
        <v>1216.5</v>
      </c>
      <c r="F199" s="2">
        <v>1225</v>
      </c>
      <c r="G199" s="2">
        <v>1211</v>
      </c>
      <c r="H199" s="2">
        <v>1224.59997558593</v>
      </c>
      <c r="I199">
        <v>1139</v>
      </c>
      <c r="J199" s="2">
        <f ca="1">IFERROR((Tabla3[[#This Row],[Close]]-OFFSET(Tabla3[[#This Row],[Close]],-1,0))/OFFSET(Tabla3[[#This Row],[Close]],-1,0),"")</f>
        <v>-5.640039460817179E-3</v>
      </c>
      <c r="K199" s="2">
        <f ca="1">IFERROR(AVERAGE(OFFSET(Tabla3[[#This Row],[Close]],-6,0,7)),"")</f>
        <v>1242.3714250837027</v>
      </c>
      <c r="L199" s="2">
        <f ca="1">IFERROR(_xlfn.STDEV.S(OFFSET(Tabla3[[#This Row],[Close]],-29,0,30)),"")</f>
        <v>22.197164601255377</v>
      </c>
    </row>
    <row r="200" spans="1:12" x14ac:dyDescent="0.3">
      <c r="A200" s="1">
        <v>42692</v>
      </c>
      <c r="B200" s="3">
        <f>YEAR(Tabla3[[#This Row],[Date]])</f>
        <v>2016</v>
      </c>
      <c r="C200" s="1" t="str">
        <f>+TEXT(Tabla3[[#This Row],[Date]],"mmm")</f>
        <v>nov</v>
      </c>
      <c r="D200" s="2">
        <v>1208.5</v>
      </c>
      <c r="E200" s="2">
        <v>1208.5</v>
      </c>
      <c r="F200" s="2">
        <v>1211.90002441406</v>
      </c>
      <c r="G200" s="2">
        <v>1207.19995117187</v>
      </c>
      <c r="H200" s="2">
        <v>1211.90002441406</v>
      </c>
      <c r="I200">
        <v>607</v>
      </c>
      <c r="J200" s="2">
        <f ca="1">IFERROR((Tabla3[[#This Row],[Close]]-OFFSET(Tabla3[[#This Row],[Close]],-1,0))/OFFSET(Tabla3[[#This Row],[Close]],-1,0),"")</f>
        <v>-6.5762433210028769E-3</v>
      </c>
      <c r="K200" s="2">
        <f ca="1">IFERROR(AVERAGE(OFFSET(Tabla3[[#This Row],[Close]],-6,0,7)),"")</f>
        <v>1233.0999930245514</v>
      </c>
      <c r="L200" s="2">
        <f ca="1">IFERROR(_xlfn.STDEV.S(OFFSET(Tabla3[[#This Row],[Close]],-29,0,30)),"")</f>
        <v>24.283414178141147</v>
      </c>
    </row>
    <row r="201" spans="1:12" x14ac:dyDescent="0.3">
      <c r="A201" s="1">
        <v>42695</v>
      </c>
      <c r="B201" s="3">
        <f>YEAR(Tabla3[[#This Row],[Date]])</f>
        <v>2016</v>
      </c>
      <c r="C201" s="1" t="str">
        <f>+TEXT(Tabla3[[#This Row],[Date]],"mmm")</f>
        <v>nov</v>
      </c>
      <c r="D201" s="2">
        <v>1209.59997558593</v>
      </c>
      <c r="E201" s="2">
        <v>1209.59997558593</v>
      </c>
      <c r="F201" s="2">
        <v>1209.59997558593</v>
      </c>
      <c r="G201" s="2">
        <v>1209.59997558593</v>
      </c>
      <c r="H201" s="2">
        <v>1209.59997558593</v>
      </c>
      <c r="I201">
        <v>19</v>
      </c>
      <c r="J201" s="2">
        <f ca="1">IFERROR((Tabla3[[#This Row],[Close]]-OFFSET(Tabla3[[#This Row],[Close]],-1,0))/OFFSET(Tabla3[[#This Row],[Close]],-1,0),"")</f>
        <v>9.1019907813818504E-4</v>
      </c>
      <c r="K201" s="2">
        <f ca="1">IFERROR(AVERAGE(OFFSET(Tabla3[[#This Row],[Close]],-6,0,7)),"")</f>
        <v>1224.0999930245514</v>
      </c>
      <c r="L201" s="2">
        <f ca="1">IFERROR(_xlfn.STDEV.S(OFFSET(Tabla3[[#This Row],[Close]],-29,0,30)),"")</f>
        <v>25.957289986631626</v>
      </c>
    </row>
    <row r="202" spans="1:12" x14ac:dyDescent="0.3">
      <c r="A202" s="1">
        <v>42696</v>
      </c>
      <c r="B202" s="3">
        <f>YEAR(Tabla3[[#This Row],[Date]])</f>
        <v>2016</v>
      </c>
      <c r="C202" s="1" t="str">
        <f>+TEXT(Tabla3[[#This Row],[Date]],"mmm")</f>
        <v>nov</v>
      </c>
      <c r="D202" s="2">
        <v>1211</v>
      </c>
      <c r="E202" s="2">
        <v>1211</v>
      </c>
      <c r="F202" s="2">
        <v>1211.09997558593</v>
      </c>
      <c r="G202" s="2">
        <v>1207.59997558593</v>
      </c>
      <c r="H202" s="2">
        <v>1210.40002441406</v>
      </c>
      <c r="I202">
        <v>19</v>
      </c>
      <c r="J202" s="2">
        <f ca="1">IFERROR((Tabla3[[#This Row],[Close]]-OFFSET(Tabla3[[#This Row],[Close]],-1,0))/OFFSET(Tabla3[[#This Row],[Close]],-1,0),"")</f>
        <v>1.1574276143580706E-3</v>
      </c>
      <c r="K202" s="2">
        <f ca="1">IFERROR(AVERAGE(OFFSET(Tabla3[[#This Row],[Close]],-6,0,7)),"")</f>
        <v>1216.3142787388372</v>
      </c>
      <c r="L202" s="2">
        <f ca="1">IFERROR(_xlfn.STDEV.S(OFFSET(Tabla3[[#This Row],[Close]],-29,0,30)),"")</f>
        <v>27.368051888610289</v>
      </c>
    </row>
    <row r="203" spans="1:12" x14ac:dyDescent="0.3">
      <c r="A203" s="1">
        <v>42697</v>
      </c>
      <c r="B203" s="3">
        <f>YEAR(Tabla3[[#This Row],[Date]])</f>
        <v>2016</v>
      </c>
      <c r="C203" s="1" t="str">
        <f>+TEXT(Tabla3[[#This Row],[Date]],"mmm")</f>
        <v>nov</v>
      </c>
      <c r="D203" s="2">
        <v>1189.09997558593</v>
      </c>
      <c r="E203" s="2">
        <v>1189.09997558593</v>
      </c>
      <c r="F203" s="2">
        <v>1213.80004882812</v>
      </c>
      <c r="G203" s="2">
        <v>1186.80004882812</v>
      </c>
      <c r="H203" s="2">
        <v>1212.80004882812</v>
      </c>
      <c r="I203">
        <v>309</v>
      </c>
      <c r="J203" s="2">
        <f ca="1">IFERROR((Tabla3[[#This Row],[Close]]-OFFSET(Tabla3[[#This Row],[Close]],-1,0))/OFFSET(Tabla3[[#This Row],[Close]],-1,0),"")</f>
        <v>-1.8084248071073495E-2</v>
      </c>
      <c r="K203" s="2">
        <f ca="1">IFERROR(AVERAGE(OFFSET(Tabla3[[#This Row],[Close]],-6,0,7)),"")</f>
        <v>1211.7285679408456</v>
      </c>
      <c r="L203" s="2">
        <f ca="1">IFERROR(_xlfn.STDEV.S(OFFSET(Tabla3[[#This Row],[Close]],-29,0,30)),"")</f>
        <v>30.126277318079808</v>
      </c>
    </row>
    <row r="204" spans="1:12" x14ac:dyDescent="0.3">
      <c r="A204" s="1">
        <v>42699</v>
      </c>
      <c r="B204" s="3">
        <f>YEAR(Tabla3[[#This Row],[Date]])</f>
        <v>2016</v>
      </c>
      <c r="C204" s="1" t="str">
        <f>+TEXT(Tabla3[[#This Row],[Date]],"mmm")</f>
        <v>nov</v>
      </c>
      <c r="D204" s="2">
        <v>1178.19995117187</v>
      </c>
      <c r="E204" s="2">
        <v>1178.19995117187</v>
      </c>
      <c r="F204" s="2">
        <v>1189.30004882812</v>
      </c>
      <c r="G204" s="2">
        <v>1177</v>
      </c>
      <c r="H204" s="2">
        <v>1177</v>
      </c>
      <c r="I204">
        <v>14</v>
      </c>
      <c r="J204" s="2">
        <f ca="1">IFERROR((Tabla3[[#This Row],[Close]]-OFFSET(Tabla3[[#This Row],[Close]],-1,0))/OFFSET(Tabla3[[#This Row],[Close]],-1,0),"")</f>
        <v>-9.1666173054027709E-3</v>
      </c>
      <c r="K204" s="2">
        <f ca="1">IFERROR(AVERAGE(OFFSET(Tabla3[[#This Row],[Close]],-6,0,7)),"")</f>
        <v>1205.1857038225414</v>
      </c>
      <c r="L204" s="2">
        <f ca="1">IFERROR(_xlfn.STDEV.S(OFFSET(Tabla3[[#This Row],[Close]],-29,0,30)),"")</f>
        <v>33.305017884585546</v>
      </c>
    </row>
    <row r="205" spans="1:12" x14ac:dyDescent="0.3">
      <c r="A205" s="1">
        <v>42702</v>
      </c>
      <c r="B205" s="3">
        <f>YEAR(Tabla3[[#This Row],[Date]])</f>
        <v>2016</v>
      </c>
      <c r="C205" s="1" t="str">
        <f>+TEXT(Tabla3[[#This Row],[Date]],"mmm")</f>
        <v>nov</v>
      </c>
      <c r="D205" s="2">
        <v>1190.59997558593</v>
      </c>
      <c r="E205" s="2">
        <v>1190.59997558593</v>
      </c>
      <c r="F205" s="2">
        <v>1190.59997558593</v>
      </c>
      <c r="G205" s="2">
        <v>1188</v>
      </c>
      <c r="H205" s="2">
        <v>1188</v>
      </c>
      <c r="I205">
        <v>189914</v>
      </c>
      <c r="J205" s="2">
        <f ca="1">IFERROR((Tabla3[[#This Row],[Close]]-OFFSET(Tabla3[[#This Row],[Close]],-1,0))/OFFSET(Tabla3[[#This Row],[Close]],-1,0),"")</f>
        <v>1.0524550100113817E-2</v>
      </c>
      <c r="K205" s="2">
        <f ca="1">IFERROR(AVERAGE(OFFSET(Tabla3[[#This Row],[Close]],-6,0,7)),"")</f>
        <v>1200.49998256138</v>
      </c>
      <c r="L205" s="2">
        <f ca="1">IFERROR(_xlfn.STDEV.S(OFFSET(Tabla3[[#This Row],[Close]],-29,0,30)),"")</f>
        <v>35.227620798281784</v>
      </c>
    </row>
    <row r="206" spans="1:12" x14ac:dyDescent="0.3">
      <c r="A206" s="1">
        <v>42703</v>
      </c>
      <c r="B206" s="3">
        <f>YEAR(Tabla3[[#This Row],[Date]])</f>
        <v>2016</v>
      </c>
      <c r="C206" s="1" t="str">
        <f>+TEXT(Tabla3[[#This Row],[Date]],"mmm")</f>
        <v>nov</v>
      </c>
      <c r="D206" s="2">
        <v>1187.90002441406</v>
      </c>
      <c r="E206" s="2">
        <v>1187.90002441406</v>
      </c>
      <c r="F206" s="2">
        <v>1194.80004882812</v>
      </c>
      <c r="G206" s="2">
        <v>1179.40002441406</v>
      </c>
      <c r="H206" s="2">
        <v>1193.19995117187</v>
      </c>
      <c r="I206">
        <v>42124</v>
      </c>
      <c r="J206" s="2">
        <f ca="1">IFERROR((Tabla3[[#This Row],[Close]]-OFFSET(Tabla3[[#This Row],[Close]],-1,0))/OFFSET(Tabla3[[#This Row],[Close]],-1,0),"")</f>
        <v>-2.267723187665337E-3</v>
      </c>
      <c r="K206" s="2">
        <f ca="1">IFERROR(AVERAGE(OFFSET(Tabla3[[#This Row],[Close]],-6,0,7)),"")</f>
        <v>1196.4142717633888</v>
      </c>
      <c r="L206" s="2">
        <f ca="1">IFERROR(_xlfn.STDEV.S(OFFSET(Tabla3[[#This Row],[Close]],-29,0,30)),"")</f>
        <v>37.081159830836938</v>
      </c>
    </row>
    <row r="207" spans="1:12" x14ac:dyDescent="0.3">
      <c r="A207" s="1">
        <v>42704</v>
      </c>
      <c r="B207" s="3">
        <f>YEAR(Tabla3[[#This Row],[Date]])</f>
        <v>2016</v>
      </c>
      <c r="C207" s="1" t="str">
        <f>+TEXT(Tabla3[[#This Row],[Date]],"mmm")</f>
        <v>nov</v>
      </c>
      <c r="D207" s="2">
        <v>1170.80004882812</v>
      </c>
      <c r="E207" s="2">
        <v>1170.80004882812</v>
      </c>
      <c r="F207" s="2">
        <v>1193.30004882812</v>
      </c>
      <c r="G207" s="2">
        <v>1167.90002441406</v>
      </c>
      <c r="H207" s="2">
        <v>1187.09997558593</v>
      </c>
      <c r="I207">
        <v>7158</v>
      </c>
      <c r="J207" s="2">
        <f ca="1">IFERROR((Tabla3[[#This Row],[Close]]-OFFSET(Tabla3[[#This Row],[Close]],-1,0))/OFFSET(Tabla3[[#This Row],[Close]],-1,0),"")</f>
        <v>-1.4395130258857166E-2</v>
      </c>
      <c r="K207" s="2">
        <f ca="1">IFERROR(AVERAGE(OFFSET(Tabla3[[#This Row],[Close]],-6,0,7)),"")</f>
        <v>1191.02856445312</v>
      </c>
      <c r="L207" s="2">
        <f ca="1">IFERROR(_xlfn.STDEV.S(OFFSET(Tabla3[[#This Row],[Close]],-29,0,30)),"")</f>
        <v>39.725459626608931</v>
      </c>
    </row>
    <row r="208" spans="1:12" x14ac:dyDescent="0.3">
      <c r="A208" s="1">
        <v>42705</v>
      </c>
      <c r="B208" s="3">
        <f>YEAR(Tabla3[[#This Row],[Date]])</f>
        <v>2016</v>
      </c>
      <c r="C208" s="1" t="str">
        <f>+TEXT(Tabla3[[#This Row],[Date]],"mmm")</f>
        <v>dic</v>
      </c>
      <c r="D208" s="2">
        <v>1166.90002441406</v>
      </c>
      <c r="E208" s="2">
        <v>1166.90002441406</v>
      </c>
      <c r="F208" s="2">
        <v>1174.59997558593</v>
      </c>
      <c r="G208" s="2">
        <v>1160</v>
      </c>
      <c r="H208" s="2">
        <v>1172.69995117187</v>
      </c>
      <c r="I208">
        <v>1588</v>
      </c>
      <c r="J208" s="2">
        <f ca="1">IFERROR((Tabla3[[#This Row],[Close]]-OFFSET(Tabla3[[#This Row],[Close]],-1,0))/OFFSET(Tabla3[[#This Row],[Close]],-1,0),"")</f>
        <v>-3.3310764019557574E-3</v>
      </c>
      <c r="K208" s="2">
        <f ca="1">IFERROR(AVERAGE(OFFSET(Tabla3[[#This Row],[Close]],-6,0,7)),"")</f>
        <v>1184.9285714285672</v>
      </c>
      <c r="L208" s="2">
        <f ca="1">IFERROR(_xlfn.STDEV.S(OFFSET(Tabla3[[#This Row],[Close]],-29,0,30)),"")</f>
        <v>42.177985442172428</v>
      </c>
    </row>
    <row r="209" spans="1:12" x14ac:dyDescent="0.3">
      <c r="A209" s="1">
        <v>42706</v>
      </c>
      <c r="B209" s="3">
        <f>YEAR(Tabla3[[#This Row],[Date]])</f>
        <v>2016</v>
      </c>
      <c r="C209" s="1" t="str">
        <f>+TEXT(Tabla3[[#This Row],[Date]],"mmm")</f>
        <v>dic</v>
      </c>
      <c r="D209" s="2">
        <v>1175.09997558593</v>
      </c>
      <c r="E209" s="2">
        <v>1175.09997558593</v>
      </c>
      <c r="F209" s="2">
        <v>1177.30004882812</v>
      </c>
      <c r="G209" s="2">
        <v>1166.40002441406</v>
      </c>
      <c r="H209" s="2">
        <v>1172.30004882812</v>
      </c>
      <c r="I209">
        <v>1521</v>
      </c>
      <c r="J209" s="2">
        <f ca="1">IFERROR((Tabla3[[#This Row],[Close]]-OFFSET(Tabla3[[#This Row],[Close]],-1,0))/OFFSET(Tabla3[[#This Row],[Close]],-1,0),"")</f>
        <v>7.027124004035796E-3</v>
      </c>
      <c r="K209" s="2">
        <f ca="1">IFERROR(AVERAGE(OFFSET(Tabla3[[#This Row],[Close]],-6,0,7)),"")</f>
        <v>1179.7999965122713</v>
      </c>
      <c r="L209" s="2">
        <f ca="1">IFERROR(_xlfn.STDEV.S(OFFSET(Tabla3[[#This Row],[Close]],-29,0,30)),"")</f>
        <v>43.687815606950792</v>
      </c>
    </row>
    <row r="210" spans="1:12" x14ac:dyDescent="0.3">
      <c r="A210" s="1">
        <v>42709</v>
      </c>
      <c r="B210" s="3">
        <f>YEAR(Tabla3[[#This Row],[Date]])</f>
        <v>2016</v>
      </c>
      <c r="C210" s="1" t="str">
        <f>+TEXT(Tabla3[[#This Row],[Date]],"mmm")</f>
        <v>dic</v>
      </c>
      <c r="D210" s="2">
        <v>1174</v>
      </c>
      <c r="E210" s="2">
        <v>1174</v>
      </c>
      <c r="F210" s="2">
        <v>1186.69995117187</v>
      </c>
      <c r="G210" s="2">
        <v>1157</v>
      </c>
      <c r="H210" s="2">
        <v>1181.80004882812</v>
      </c>
      <c r="I210">
        <v>358</v>
      </c>
      <c r="J210" s="2">
        <f ca="1">IFERROR((Tabla3[[#This Row],[Close]]-OFFSET(Tabla3[[#This Row],[Close]],-1,0))/OFFSET(Tabla3[[#This Row],[Close]],-1,0),"")</f>
        <v>-9.3606978876969624E-4</v>
      </c>
      <c r="K210" s="2">
        <f ca="1">IFERROR(AVERAGE(OFFSET(Tabla3[[#This Row],[Close]],-6,0,7)),"")</f>
        <v>1177.642857142853</v>
      </c>
      <c r="L210" s="2">
        <f ca="1">IFERROR(_xlfn.STDEV.S(OFFSET(Tabla3[[#This Row],[Close]],-29,0,30)),"")</f>
        <v>45.032387135230543</v>
      </c>
    </row>
    <row r="211" spans="1:12" x14ac:dyDescent="0.3">
      <c r="A211" s="1">
        <v>42710</v>
      </c>
      <c r="B211" s="3">
        <f>YEAR(Tabla3[[#This Row],[Date]])</f>
        <v>2016</v>
      </c>
      <c r="C211" s="1" t="str">
        <f>+TEXT(Tabla3[[#This Row],[Date]],"mmm")</f>
        <v>dic</v>
      </c>
      <c r="D211" s="2">
        <v>1167.59997558593</v>
      </c>
      <c r="E211" s="2">
        <v>1167.59997558593</v>
      </c>
      <c r="F211" s="2">
        <v>1174.5</v>
      </c>
      <c r="G211" s="2">
        <v>1167.09997558593</v>
      </c>
      <c r="H211" s="2">
        <v>1170.90002441406</v>
      </c>
      <c r="I211">
        <v>652</v>
      </c>
      <c r="J211" s="2">
        <f ca="1">IFERROR((Tabla3[[#This Row],[Close]]-OFFSET(Tabla3[[#This Row],[Close]],-1,0))/OFFSET(Tabla3[[#This Row],[Close]],-1,0),"")</f>
        <v>-5.4514688365161872E-3</v>
      </c>
      <c r="K211" s="2">
        <f ca="1">IFERROR(AVERAGE(OFFSET(Tabla3[[#This Row],[Close]],-6,0,7)),"")</f>
        <v>1176.1285749162901</v>
      </c>
      <c r="L211" s="2">
        <f ca="1">IFERROR(_xlfn.STDEV.S(OFFSET(Tabla3[[#This Row],[Close]],-29,0,30)),"")</f>
        <v>46.4236184419076</v>
      </c>
    </row>
    <row r="212" spans="1:12" x14ac:dyDescent="0.3">
      <c r="A212" s="1">
        <v>42711</v>
      </c>
      <c r="B212" s="3">
        <f>YEAR(Tabla3[[#This Row],[Date]])</f>
        <v>2016</v>
      </c>
      <c r="C212" s="1" t="str">
        <f>+TEXT(Tabla3[[#This Row],[Date]],"mmm")</f>
        <v>dic</v>
      </c>
      <c r="D212" s="2">
        <v>1175</v>
      </c>
      <c r="E212" s="2">
        <v>1175</v>
      </c>
      <c r="F212" s="2">
        <v>1178.5</v>
      </c>
      <c r="G212" s="2">
        <v>1166.40002441406</v>
      </c>
      <c r="H212" s="2">
        <v>1167.69995117187</v>
      </c>
      <c r="I212">
        <v>182</v>
      </c>
      <c r="J212" s="2">
        <f ca="1">IFERROR((Tabla3[[#This Row],[Close]]-OFFSET(Tabla3[[#This Row],[Close]],-1,0))/OFFSET(Tabla3[[#This Row],[Close]],-1,0),"")</f>
        <v>6.3378079554656476E-3</v>
      </c>
      <c r="K212" s="2">
        <f ca="1">IFERROR(AVERAGE(OFFSET(Tabla3[[#This Row],[Close]],-6,0,7)),"")</f>
        <v>1173.9000069754427</v>
      </c>
      <c r="L212" s="2">
        <f ca="1">IFERROR(_xlfn.STDEV.S(OFFSET(Tabla3[[#This Row],[Close]],-29,0,30)),"")</f>
        <v>47.315244673748417</v>
      </c>
    </row>
    <row r="213" spans="1:12" x14ac:dyDescent="0.3">
      <c r="A213" s="1">
        <v>42712</v>
      </c>
      <c r="B213" s="3">
        <f>YEAR(Tabla3[[#This Row],[Date]])</f>
        <v>2016</v>
      </c>
      <c r="C213" s="1" t="str">
        <f>+TEXT(Tabla3[[#This Row],[Date]],"mmm")</f>
        <v>dic</v>
      </c>
      <c r="D213" s="2">
        <v>1169.80004882812</v>
      </c>
      <c r="E213" s="2">
        <v>1169.80004882812</v>
      </c>
      <c r="F213" s="2">
        <v>1177.80004882812</v>
      </c>
      <c r="G213" s="2">
        <v>1169.09997558593</v>
      </c>
      <c r="H213" s="2">
        <v>1173.80004882812</v>
      </c>
      <c r="I213">
        <v>322</v>
      </c>
      <c r="J213" s="2">
        <f ca="1">IFERROR((Tabla3[[#This Row],[Close]]-OFFSET(Tabla3[[#This Row],[Close]],-1,0))/OFFSET(Tabla3[[#This Row],[Close]],-1,0),"")</f>
        <v>-4.4254903590468103E-3</v>
      </c>
      <c r="K213" s="2">
        <f ca="1">IFERROR(AVERAGE(OFFSET(Tabla3[[#This Row],[Close]],-6,0,7)),"")</f>
        <v>1171.3142961774515</v>
      </c>
      <c r="L213" s="2">
        <f ca="1">IFERROR(_xlfn.STDEV.S(OFFSET(Tabla3[[#This Row],[Close]],-29,0,30)),"")</f>
        <v>47.938285698214109</v>
      </c>
    </row>
    <row r="214" spans="1:12" x14ac:dyDescent="0.3">
      <c r="A214" s="1">
        <v>42713</v>
      </c>
      <c r="B214" s="3">
        <f>YEAR(Tabla3[[#This Row],[Date]])</f>
        <v>2016</v>
      </c>
      <c r="C214" s="1" t="str">
        <f>+TEXT(Tabla3[[#This Row],[Date]],"mmm")</f>
        <v>dic</v>
      </c>
      <c r="D214" s="2">
        <v>1159.40002441406</v>
      </c>
      <c r="E214" s="2">
        <v>1159.40002441406</v>
      </c>
      <c r="F214" s="2">
        <v>1168.80004882812</v>
      </c>
      <c r="G214" s="2">
        <v>1156</v>
      </c>
      <c r="H214" s="2">
        <v>1166.59997558593</v>
      </c>
      <c r="I214">
        <v>365</v>
      </c>
      <c r="J214" s="2">
        <f ca="1">IFERROR((Tabla3[[#This Row],[Close]]-OFFSET(Tabla3[[#This Row],[Close]],-1,0))/OFFSET(Tabla3[[#This Row],[Close]],-1,0),"")</f>
        <v>-8.8904291160515122E-3</v>
      </c>
      <c r="K214" s="2">
        <f ca="1">IFERROR(AVERAGE(OFFSET(Tabla3[[#This Row],[Close]],-6,0,7)),"")</f>
        <v>1169.6857212611571</v>
      </c>
      <c r="L214" s="2">
        <f ca="1">IFERROR(_xlfn.STDEV.S(OFFSET(Tabla3[[#This Row],[Close]],-29,0,30)),"")</f>
        <v>48.967430379121701</v>
      </c>
    </row>
    <row r="215" spans="1:12" x14ac:dyDescent="0.3">
      <c r="A215" s="1">
        <v>42716</v>
      </c>
      <c r="B215" s="3">
        <f>YEAR(Tabla3[[#This Row],[Date]])</f>
        <v>2016</v>
      </c>
      <c r="C215" s="1" t="str">
        <f>+TEXT(Tabla3[[#This Row],[Date]],"mmm")</f>
        <v>dic</v>
      </c>
      <c r="D215" s="2">
        <v>1163.5</v>
      </c>
      <c r="E215" s="2">
        <v>1163.5</v>
      </c>
      <c r="F215" s="2">
        <v>1163.90002441406</v>
      </c>
      <c r="G215" s="2">
        <v>1153</v>
      </c>
      <c r="H215" s="2">
        <v>1158.30004882812</v>
      </c>
      <c r="I215">
        <v>331</v>
      </c>
      <c r="J215" s="2">
        <f ca="1">IFERROR((Tabla3[[#This Row],[Close]]-OFFSET(Tabla3[[#This Row],[Close]],-1,0))/OFFSET(Tabla3[[#This Row],[Close]],-1,0),"")</f>
        <v>3.5362907534973145E-3</v>
      </c>
      <c r="K215" s="2">
        <f ca="1">IFERROR(AVERAGE(OFFSET(Tabla3[[#This Row],[Close]],-6,0,7)),"")</f>
        <v>1169.2000034877199</v>
      </c>
      <c r="L215" s="2">
        <f ca="1">IFERROR(_xlfn.STDEV.S(OFFSET(Tabla3[[#This Row],[Close]],-29,0,30)),"")</f>
        <v>49.451968549512081</v>
      </c>
    </row>
    <row r="216" spans="1:12" x14ac:dyDescent="0.3">
      <c r="A216" s="1">
        <v>42717</v>
      </c>
      <c r="B216" s="3">
        <f>YEAR(Tabla3[[#This Row],[Date]])</f>
        <v>2016</v>
      </c>
      <c r="C216" s="1" t="str">
        <f>+TEXT(Tabla3[[#This Row],[Date]],"mmm")</f>
        <v>dic</v>
      </c>
      <c r="D216" s="2">
        <v>1156.69995117187</v>
      </c>
      <c r="E216" s="2">
        <v>1156.69995117187</v>
      </c>
      <c r="F216" s="2">
        <v>1164</v>
      </c>
      <c r="G216" s="2">
        <v>1155.40002441406</v>
      </c>
      <c r="H216" s="2">
        <v>1163.5</v>
      </c>
      <c r="I216">
        <v>637</v>
      </c>
      <c r="J216" s="2">
        <f ca="1">IFERROR((Tabla3[[#This Row],[Close]]-OFFSET(Tabla3[[#This Row],[Close]],-1,0))/OFFSET(Tabla3[[#This Row],[Close]],-1,0),"")</f>
        <v>-5.844476861306405E-3</v>
      </c>
      <c r="K216" s="2">
        <f ca="1">IFERROR(AVERAGE(OFFSET(Tabla3[[#This Row],[Close]],-6,0,7)),"")</f>
        <v>1166.5714285714257</v>
      </c>
      <c r="L216" s="2">
        <f ca="1">IFERROR(_xlfn.STDEV.S(OFFSET(Tabla3[[#This Row],[Close]],-29,0,30)),"")</f>
        <v>49.658911561920092</v>
      </c>
    </row>
    <row r="217" spans="1:12" x14ac:dyDescent="0.3">
      <c r="A217" s="1">
        <v>42718</v>
      </c>
      <c r="B217" s="3">
        <f>YEAR(Tabla3[[#This Row],[Date]])</f>
        <v>2016</v>
      </c>
      <c r="C217" s="1" t="str">
        <f>+TEXT(Tabla3[[#This Row],[Date]],"mmm")</f>
        <v>dic</v>
      </c>
      <c r="D217" s="2">
        <v>1161.30004882812</v>
      </c>
      <c r="E217" s="2">
        <v>1161.30004882812</v>
      </c>
      <c r="F217" s="2">
        <v>1164</v>
      </c>
      <c r="G217" s="2">
        <v>1142</v>
      </c>
      <c r="H217" s="2">
        <v>1159.80004882812</v>
      </c>
      <c r="I217">
        <v>487</v>
      </c>
      <c r="J217" s="2">
        <f ca="1">IFERROR((Tabla3[[#This Row],[Close]]-OFFSET(Tabla3[[#This Row],[Close]],-1,0))/OFFSET(Tabla3[[#This Row],[Close]],-1,0),"")</f>
        <v>3.9769152333667627E-3</v>
      </c>
      <c r="K217" s="2">
        <f ca="1">IFERROR(AVERAGE(OFFSET(Tabla3[[#This Row],[Close]],-6,0,7)),"")</f>
        <v>1164.7571498325856</v>
      </c>
      <c r="L217" s="2">
        <f ca="1">IFERROR(_xlfn.STDEV.S(OFFSET(Tabla3[[#This Row],[Close]],-29,0,30)),"")</f>
        <v>49.535300633052273</v>
      </c>
    </row>
    <row r="218" spans="1:12" x14ac:dyDescent="0.3">
      <c r="A218" s="1">
        <v>42719</v>
      </c>
      <c r="B218" s="3">
        <f>YEAR(Tabla3[[#This Row],[Date]])</f>
        <v>2016</v>
      </c>
      <c r="C218" s="1" t="str">
        <f>+TEXT(Tabla3[[#This Row],[Date]],"mmm")</f>
        <v>dic</v>
      </c>
      <c r="D218" s="2">
        <v>1127.80004882812</v>
      </c>
      <c r="E218" s="2">
        <v>1127.80004882812</v>
      </c>
      <c r="F218" s="2">
        <v>1143.30004882812</v>
      </c>
      <c r="G218" s="2">
        <v>1123.90002441406</v>
      </c>
      <c r="H218" s="2">
        <v>1139.80004882812</v>
      </c>
      <c r="I218">
        <v>244</v>
      </c>
      <c r="J218" s="2">
        <f ca="1">IFERROR((Tabla3[[#This Row],[Close]]-OFFSET(Tabla3[[#This Row],[Close]],-1,0))/OFFSET(Tabla3[[#This Row],[Close]],-1,0),"")</f>
        <v>-2.884698061780433E-2</v>
      </c>
      <c r="K218" s="2">
        <f ca="1">IFERROR(AVERAGE(OFFSET(Tabla3[[#This Row],[Close]],-6,0,7)),"")</f>
        <v>1159.0714460100412</v>
      </c>
      <c r="L218" s="2">
        <f ca="1">IFERROR(_xlfn.STDEV.S(OFFSET(Tabla3[[#This Row],[Close]],-29,0,30)),"")</f>
        <v>49.888074232791887</v>
      </c>
    </row>
    <row r="219" spans="1:12" x14ac:dyDescent="0.3">
      <c r="A219" s="1">
        <v>42720</v>
      </c>
      <c r="B219" s="3">
        <f>YEAR(Tabla3[[#This Row],[Date]])</f>
        <v>2016</v>
      </c>
      <c r="C219" s="1" t="str">
        <f>+TEXT(Tabla3[[#This Row],[Date]],"mmm")</f>
        <v>dic</v>
      </c>
      <c r="D219" s="2">
        <v>1135.30004882812</v>
      </c>
      <c r="E219" s="2">
        <v>1135.30004882812</v>
      </c>
      <c r="F219" s="2">
        <v>1140.90002441406</v>
      </c>
      <c r="G219" s="2">
        <v>1126.90002441406</v>
      </c>
      <c r="H219" s="2">
        <v>1126.90002441406</v>
      </c>
      <c r="I219">
        <v>146</v>
      </c>
      <c r="J219" s="2">
        <f ca="1">IFERROR((Tabla3[[#This Row],[Close]]-OFFSET(Tabla3[[#This Row],[Close]],-1,0))/OFFSET(Tabla3[[#This Row],[Close]],-1,0),"")</f>
        <v>6.6501149807478167E-3</v>
      </c>
      <c r="K219" s="2">
        <f ca="1">IFERROR(AVERAGE(OFFSET(Tabla3[[#This Row],[Close]],-6,0,7)),"")</f>
        <v>1153.4000244140584</v>
      </c>
      <c r="L219" s="2">
        <f ca="1">IFERROR(_xlfn.STDEV.S(OFFSET(Tabla3[[#This Row],[Close]],-29,0,30)),"")</f>
        <v>47.92369239696125</v>
      </c>
    </row>
    <row r="220" spans="1:12" x14ac:dyDescent="0.3">
      <c r="A220" s="1">
        <v>42723</v>
      </c>
      <c r="B220" s="3">
        <f>YEAR(Tabla3[[#This Row],[Date]])</f>
        <v>2016</v>
      </c>
      <c r="C220" s="1" t="str">
        <f>+TEXT(Tabla3[[#This Row],[Date]],"mmm")</f>
        <v>dic</v>
      </c>
      <c r="D220" s="2">
        <v>1140.5</v>
      </c>
      <c r="E220" s="2">
        <v>1140.5</v>
      </c>
      <c r="F220" s="2">
        <v>1140.69995117187</v>
      </c>
      <c r="G220" s="2">
        <v>1137.90002441406</v>
      </c>
      <c r="H220" s="2">
        <v>1139.40002441406</v>
      </c>
      <c r="I220">
        <v>249</v>
      </c>
      <c r="J220" s="2">
        <f ca="1">IFERROR((Tabla3[[#This Row],[Close]]-OFFSET(Tabla3[[#This Row],[Close]],-1,0))/OFFSET(Tabla3[[#This Row],[Close]],-1,0),"")</f>
        <v>4.5802439427775048E-3</v>
      </c>
      <c r="K220" s="2">
        <f ca="1">IFERROR(AVERAGE(OFFSET(Tabla3[[#This Row],[Close]],-6,0,7)),"")</f>
        <v>1149.2143031528983</v>
      </c>
      <c r="L220" s="2">
        <f ca="1">IFERROR(_xlfn.STDEV.S(OFFSET(Tabla3[[#This Row],[Close]],-29,0,30)),"")</f>
        <v>45.287682941687052</v>
      </c>
    </row>
    <row r="221" spans="1:12" x14ac:dyDescent="0.3">
      <c r="A221" s="1">
        <v>42724</v>
      </c>
      <c r="B221" s="3">
        <f>YEAR(Tabla3[[#This Row],[Date]])</f>
        <v>2016</v>
      </c>
      <c r="C221" s="1" t="str">
        <f>+TEXT(Tabla3[[#This Row],[Date]],"mmm")</f>
        <v>dic</v>
      </c>
      <c r="D221" s="2">
        <v>1131.5</v>
      </c>
      <c r="E221" s="2">
        <v>1131.5</v>
      </c>
      <c r="F221" s="2">
        <v>1133.5</v>
      </c>
      <c r="G221" s="2">
        <v>1126.5</v>
      </c>
      <c r="H221" s="2">
        <v>1133.5</v>
      </c>
      <c r="I221">
        <v>46</v>
      </c>
      <c r="J221" s="2">
        <f ca="1">IFERROR((Tabla3[[#This Row],[Close]]-OFFSET(Tabla3[[#This Row],[Close]],-1,0))/OFFSET(Tabla3[[#This Row],[Close]],-1,0),"")</f>
        <v>-7.8912757562472607E-3</v>
      </c>
      <c r="K221" s="2">
        <f ca="1">IFERROR(AVERAGE(OFFSET(Tabla3[[#This Row],[Close]],-6,0,7)),"")</f>
        <v>1145.2285853794615</v>
      </c>
      <c r="L221" s="2">
        <f ca="1">IFERROR(_xlfn.STDEV.S(OFFSET(Tabla3[[#This Row],[Close]],-29,0,30)),"")</f>
        <v>42.072916262260733</v>
      </c>
    </row>
    <row r="222" spans="1:12" x14ac:dyDescent="0.3">
      <c r="A222" s="1">
        <v>42725</v>
      </c>
      <c r="B222" s="3">
        <f>YEAR(Tabla3[[#This Row],[Date]])</f>
        <v>2016</v>
      </c>
      <c r="C222" s="1" t="str">
        <f>+TEXT(Tabla3[[#This Row],[Date]],"mmm")</f>
        <v>dic</v>
      </c>
      <c r="D222" s="2">
        <v>1131.09997558593</v>
      </c>
      <c r="E222" s="2">
        <v>1131.09997558593</v>
      </c>
      <c r="F222" s="2">
        <v>1136.09997558593</v>
      </c>
      <c r="G222" s="2">
        <v>1130</v>
      </c>
      <c r="H222" s="2">
        <v>1136.09997558593</v>
      </c>
      <c r="I222">
        <v>50</v>
      </c>
      <c r="J222" s="2">
        <f ca="1">IFERROR((Tabla3[[#This Row],[Close]]-OFFSET(Tabla3[[#This Row],[Close]],-1,0))/OFFSET(Tabla3[[#This Row],[Close]],-1,0),"")</f>
        <v>-3.5353461252320221E-4</v>
      </c>
      <c r="K222" s="2">
        <f ca="1">IFERROR(AVERAGE(OFFSET(Tabla3[[#This Row],[Close]],-6,0,7)),"")</f>
        <v>1140.6000104631657</v>
      </c>
      <c r="L222" s="2">
        <f ca="1">IFERROR(_xlfn.STDEV.S(OFFSET(Tabla3[[#This Row],[Close]],-29,0,30)),"")</f>
        <v>40.055635901051659</v>
      </c>
    </row>
    <row r="223" spans="1:12" x14ac:dyDescent="0.3">
      <c r="A223" s="1">
        <v>42726</v>
      </c>
      <c r="B223" s="3">
        <f>YEAR(Tabla3[[#This Row],[Date]])</f>
        <v>2016</v>
      </c>
      <c r="C223" s="1" t="str">
        <f>+TEXT(Tabla3[[#This Row],[Date]],"mmm")</f>
        <v>dic</v>
      </c>
      <c r="D223" s="2">
        <v>1128.80004882812</v>
      </c>
      <c r="E223" s="2">
        <v>1128.80004882812</v>
      </c>
      <c r="F223" s="2">
        <v>1132.80004882812</v>
      </c>
      <c r="G223" s="2">
        <v>1128.30004882812</v>
      </c>
      <c r="H223" s="2">
        <v>1131.19995117187</v>
      </c>
      <c r="I223">
        <v>104</v>
      </c>
      <c r="J223" s="2">
        <f ca="1">IFERROR((Tabla3[[#This Row],[Close]]-OFFSET(Tabla3[[#This Row],[Close]],-1,0))/OFFSET(Tabla3[[#This Row],[Close]],-1,0),"")</f>
        <v>-2.0333540866876916E-3</v>
      </c>
      <c r="K223" s="2">
        <f ca="1">IFERROR(AVERAGE(OFFSET(Tabla3[[#This Row],[Close]],-6,0,7)),"")</f>
        <v>1136.6143101283444</v>
      </c>
      <c r="L223" s="2">
        <f ca="1">IFERROR(_xlfn.STDEV.S(OFFSET(Tabla3[[#This Row],[Close]],-29,0,30)),"")</f>
        <v>37.803510105139615</v>
      </c>
    </row>
    <row r="224" spans="1:12" x14ac:dyDescent="0.3">
      <c r="A224" s="1">
        <v>42727</v>
      </c>
      <c r="B224" s="3">
        <f>YEAR(Tabla3[[#This Row],[Date]])</f>
        <v>2016</v>
      </c>
      <c r="C224" s="1" t="str">
        <f>+TEXT(Tabla3[[#This Row],[Date]],"mmm")</f>
        <v>dic</v>
      </c>
      <c r="D224" s="2">
        <v>1131.90002441406</v>
      </c>
      <c r="E224" s="2">
        <v>1131.90002441406</v>
      </c>
      <c r="F224" s="2">
        <v>1132.80004882812</v>
      </c>
      <c r="G224" s="2">
        <v>1130.30004882812</v>
      </c>
      <c r="H224" s="2">
        <v>1130.90002441406</v>
      </c>
      <c r="I224">
        <v>70</v>
      </c>
      <c r="J224" s="2">
        <f ca="1">IFERROR((Tabla3[[#This Row],[Close]]-OFFSET(Tabla3[[#This Row],[Close]],-1,0))/OFFSET(Tabla3[[#This Row],[Close]],-1,0),"")</f>
        <v>2.7462574874604988E-3</v>
      </c>
      <c r="K224" s="2">
        <f ca="1">IFERROR(AVERAGE(OFFSET(Tabla3[[#This Row],[Close]],-6,0,7)),"")</f>
        <v>1132.4143066406216</v>
      </c>
      <c r="L224" s="2">
        <f ca="1">IFERROR(_xlfn.STDEV.S(OFFSET(Tabla3[[#This Row],[Close]],-29,0,30)),"")</f>
        <v>34.658154298316205</v>
      </c>
    </row>
    <row r="225" spans="1:12" x14ac:dyDescent="0.3">
      <c r="A225" s="1">
        <v>42731</v>
      </c>
      <c r="B225" s="3">
        <f>YEAR(Tabla3[[#This Row],[Date]])</f>
        <v>2016</v>
      </c>
      <c r="C225" s="1" t="str">
        <f>+TEXT(Tabla3[[#This Row],[Date]],"mmm")</f>
        <v>dic</v>
      </c>
      <c r="D225" s="2">
        <v>1137.30004882812</v>
      </c>
      <c r="E225" s="2">
        <v>1137.30004882812</v>
      </c>
      <c r="F225" s="2">
        <v>1142.19995117187</v>
      </c>
      <c r="G225" s="2">
        <v>1134.30004882812</v>
      </c>
      <c r="H225" s="2">
        <v>1134.30004882812</v>
      </c>
      <c r="I225">
        <v>84</v>
      </c>
      <c r="J225" s="2">
        <f ca="1">IFERROR((Tabla3[[#This Row],[Close]]-OFFSET(Tabla3[[#This Row],[Close]],-1,0))/OFFSET(Tabla3[[#This Row],[Close]],-1,0),"")</f>
        <v>4.7707609308122231E-3</v>
      </c>
      <c r="K225" s="2">
        <f ca="1">IFERROR(AVERAGE(OFFSET(Tabla3[[#This Row],[Close]],-6,0,7)),"")</f>
        <v>1133.7714494977643</v>
      </c>
      <c r="L225" s="2">
        <f ca="1">IFERROR(_xlfn.STDEV.S(OFFSET(Tabla3[[#This Row],[Close]],-29,0,30)),"")</f>
        <v>31.006602056846393</v>
      </c>
    </row>
    <row r="226" spans="1:12" x14ac:dyDescent="0.3">
      <c r="A226" s="1">
        <v>42732</v>
      </c>
      <c r="B226" s="3">
        <f>YEAR(Tabla3[[#This Row],[Date]])</f>
        <v>2016</v>
      </c>
      <c r="C226" s="1" t="str">
        <f>+TEXT(Tabla3[[#This Row],[Date]],"mmm")</f>
        <v>dic</v>
      </c>
      <c r="D226" s="2">
        <v>1139.40002441406</v>
      </c>
      <c r="E226" s="2">
        <v>1139.40002441406</v>
      </c>
      <c r="F226" s="2">
        <v>1141.19995117187</v>
      </c>
      <c r="G226" s="2">
        <v>1138</v>
      </c>
      <c r="H226" s="2">
        <v>1141.19995117187</v>
      </c>
      <c r="I226">
        <v>1570</v>
      </c>
      <c r="J226" s="2">
        <f ca="1">IFERROR((Tabla3[[#This Row],[Close]]-OFFSET(Tabla3[[#This Row],[Close]],-1,0))/OFFSET(Tabla3[[#This Row],[Close]],-1,0),"")</f>
        <v>1.8464569557557192E-3</v>
      </c>
      <c r="K226" s="2">
        <f ca="1">IFERROR(AVERAGE(OFFSET(Tabla3[[#This Row],[Close]],-6,0,7)),"")</f>
        <v>1134.3571602957556</v>
      </c>
      <c r="L226" s="2">
        <f ca="1">IFERROR(_xlfn.STDEV.S(OFFSET(Tabla3[[#This Row],[Close]],-29,0,30)),"")</f>
        <v>30.128119689951539</v>
      </c>
    </row>
    <row r="227" spans="1:12" x14ac:dyDescent="0.3">
      <c r="A227" s="1">
        <v>42733</v>
      </c>
      <c r="B227" s="3">
        <f>YEAR(Tabla3[[#This Row],[Date]])</f>
        <v>2016</v>
      </c>
      <c r="C227" s="1" t="str">
        <f>+TEXT(Tabla3[[#This Row],[Date]],"mmm")</f>
        <v>dic</v>
      </c>
      <c r="D227" s="2">
        <v>1156.40002441406</v>
      </c>
      <c r="E227" s="2">
        <v>1156.40002441406</v>
      </c>
      <c r="F227" s="2">
        <v>1158.80004882812</v>
      </c>
      <c r="G227" s="2">
        <v>1143.59997558593</v>
      </c>
      <c r="H227" s="2">
        <v>1143.80004882812</v>
      </c>
      <c r="I227">
        <v>950</v>
      </c>
      <c r="J227" s="2">
        <f ca="1">IFERROR((Tabla3[[#This Row],[Close]]-OFFSET(Tabla3[[#This Row],[Close]],-1,0))/OFFSET(Tabla3[[#This Row],[Close]],-1,0),"")</f>
        <v>1.492013308385025E-2</v>
      </c>
      <c r="K227" s="2">
        <f ca="1">IFERROR(AVERAGE(OFFSET(Tabla3[[#This Row],[Close]],-6,0,7)),"")</f>
        <v>1136.6285923549071</v>
      </c>
      <c r="L227" s="2">
        <f ca="1">IFERROR(_xlfn.STDEV.S(OFFSET(Tabla3[[#This Row],[Close]],-29,0,30)),"")</f>
        <v>28.382348120531507</v>
      </c>
    </row>
    <row r="228" spans="1:12" x14ac:dyDescent="0.3">
      <c r="A228" s="1">
        <v>42734</v>
      </c>
      <c r="B228" s="3">
        <f>YEAR(Tabla3[[#This Row],[Date]])</f>
        <v>2016</v>
      </c>
      <c r="C228" s="1" t="str">
        <f>+TEXT(Tabla3[[#This Row],[Date]],"mmm")</f>
        <v>dic</v>
      </c>
      <c r="D228" s="2">
        <v>1150</v>
      </c>
      <c r="E228" s="2">
        <v>1150</v>
      </c>
      <c r="F228" s="2">
        <v>1162</v>
      </c>
      <c r="G228" s="2">
        <v>1150</v>
      </c>
      <c r="H228" s="2">
        <v>1162</v>
      </c>
      <c r="I228">
        <v>16</v>
      </c>
      <c r="J228" s="2">
        <f ca="1">IFERROR((Tabla3[[#This Row],[Close]]-OFFSET(Tabla3[[#This Row],[Close]],-1,0))/OFFSET(Tabla3[[#This Row],[Close]],-1,0),"")</f>
        <v>-5.5344381519732734E-3</v>
      </c>
      <c r="K228" s="2">
        <f ca="1">IFERROR(AVERAGE(OFFSET(Tabla3[[#This Row],[Close]],-6,0,7)),"")</f>
        <v>1139.2714494977643</v>
      </c>
      <c r="L228" s="2">
        <f ca="1">IFERROR(_xlfn.STDEV.S(OFFSET(Tabla3[[#This Row],[Close]],-29,0,30)),"")</f>
        <v>26.466376397588569</v>
      </c>
    </row>
    <row r="229" spans="1:12" x14ac:dyDescent="0.3">
      <c r="A229" s="1">
        <v>42738</v>
      </c>
      <c r="B229" s="3">
        <f>YEAR(Tabla3[[#This Row],[Date]])</f>
        <v>2017</v>
      </c>
      <c r="C229" s="1" t="str">
        <f>+TEXT(Tabla3[[#This Row],[Date]],"mmm")</f>
        <v>ene</v>
      </c>
      <c r="D229" s="2">
        <v>1160.40002441406</v>
      </c>
      <c r="E229" s="2">
        <v>1160.40002441406</v>
      </c>
      <c r="F229" s="2">
        <v>1160.80004882812</v>
      </c>
      <c r="G229" s="2">
        <v>1146.5</v>
      </c>
      <c r="H229" s="2">
        <v>1155.19995117187</v>
      </c>
      <c r="I229">
        <v>52</v>
      </c>
      <c r="J229" s="2">
        <f ca="1">IFERROR((Tabla3[[#This Row],[Close]]-OFFSET(Tabla3[[#This Row],[Close]],-1,0))/OFFSET(Tabla3[[#This Row],[Close]],-1,0),"")</f>
        <v>9.0434994904869549E-3</v>
      </c>
      <c r="K229" s="2">
        <f ca="1">IFERROR(AVERAGE(OFFSET(Tabla3[[#This Row],[Close]],-6,0,7)),"")</f>
        <v>1143.4571707589257</v>
      </c>
      <c r="L229" s="2">
        <f ca="1">IFERROR(_xlfn.STDEV.S(OFFSET(Tabla3[[#This Row],[Close]],-29,0,30)),"")</f>
        <v>24.597320503472396</v>
      </c>
    </row>
    <row r="230" spans="1:12" x14ac:dyDescent="0.3">
      <c r="A230" s="1">
        <v>42739</v>
      </c>
      <c r="B230" s="3">
        <f>YEAR(Tabla3[[#This Row],[Date]])</f>
        <v>2017</v>
      </c>
      <c r="C230" s="1" t="str">
        <f>+TEXT(Tabla3[[#This Row],[Date]],"mmm")</f>
        <v>ene</v>
      </c>
      <c r="D230" s="2">
        <v>1163.80004882812</v>
      </c>
      <c r="E230" s="2">
        <v>1163.80004882812</v>
      </c>
      <c r="F230" s="2">
        <v>1165</v>
      </c>
      <c r="G230" s="2">
        <v>1156.30004882812</v>
      </c>
      <c r="H230" s="2">
        <v>1156.30004882812</v>
      </c>
      <c r="I230">
        <v>36</v>
      </c>
      <c r="J230" s="2">
        <f ca="1">IFERROR((Tabla3[[#This Row],[Close]]-OFFSET(Tabla3[[#This Row],[Close]],-1,0))/OFFSET(Tabla3[[#This Row],[Close]],-1,0),"")</f>
        <v>2.9300451073127386E-3</v>
      </c>
      <c r="K230" s="2">
        <f ca="1">IFERROR(AVERAGE(OFFSET(Tabla3[[#This Row],[Close]],-6,0,7)),"")</f>
        <v>1148.4571707589257</v>
      </c>
      <c r="L230" s="2">
        <f ca="1">IFERROR(_xlfn.STDEV.S(OFFSET(Tabla3[[#This Row],[Close]],-29,0,30)),"")</f>
        <v>23.041115530246319</v>
      </c>
    </row>
    <row r="231" spans="1:12" x14ac:dyDescent="0.3">
      <c r="A231" s="1">
        <v>42740</v>
      </c>
      <c r="B231" s="3">
        <f>YEAR(Tabla3[[#This Row],[Date]])</f>
        <v>2017</v>
      </c>
      <c r="C231" s="1" t="str">
        <f>+TEXT(Tabla3[[#This Row],[Date]],"mmm")</f>
        <v>ene</v>
      </c>
      <c r="D231" s="2">
        <v>1179.69995117187</v>
      </c>
      <c r="E231" s="2">
        <v>1179.69995117187</v>
      </c>
      <c r="F231" s="2">
        <v>1183.30004882812</v>
      </c>
      <c r="G231" s="2">
        <v>1171.5</v>
      </c>
      <c r="H231" s="2">
        <v>1172</v>
      </c>
      <c r="I231">
        <v>500</v>
      </c>
      <c r="J231" s="2">
        <f ca="1">IFERROR((Tabla3[[#This Row],[Close]]-OFFSET(Tabla3[[#This Row],[Close]],-1,0))/OFFSET(Tabla3[[#This Row],[Close]],-1,0),"")</f>
        <v>1.3662056776643283E-2</v>
      </c>
      <c r="K231" s="2">
        <f ca="1">IFERROR(AVERAGE(OFFSET(Tabla3[[#This Row],[Close]],-6,0,7)),"")</f>
        <v>1155.285731724327</v>
      </c>
      <c r="L231" s="2">
        <f ca="1">IFERROR(_xlfn.STDEV.S(OFFSET(Tabla3[[#This Row],[Close]],-29,0,30)),"")</f>
        <v>21.475853821152064</v>
      </c>
    </row>
    <row r="232" spans="1:12" x14ac:dyDescent="0.3">
      <c r="A232" s="1">
        <v>42741</v>
      </c>
      <c r="B232" s="3">
        <f>YEAR(Tabla3[[#This Row],[Date]])</f>
        <v>2017</v>
      </c>
      <c r="C232" s="1" t="str">
        <f>+TEXT(Tabla3[[#This Row],[Date]],"mmm")</f>
        <v>ene</v>
      </c>
      <c r="D232" s="2">
        <v>1171.90002441406</v>
      </c>
      <c r="E232" s="2">
        <v>1171.90002441406</v>
      </c>
      <c r="F232" s="2">
        <v>1176.5</v>
      </c>
      <c r="G232" s="2">
        <v>1171.90002441406</v>
      </c>
      <c r="H232" s="2">
        <v>1176.5</v>
      </c>
      <c r="I232">
        <v>16</v>
      </c>
      <c r="J232" s="2">
        <f ca="1">IFERROR((Tabla3[[#This Row],[Close]]-OFFSET(Tabla3[[#This Row],[Close]],-1,0))/OFFSET(Tabla3[[#This Row],[Close]],-1,0),"")</f>
        <v>-6.611788658685492E-3</v>
      </c>
      <c r="K232" s="2">
        <f ca="1">IFERROR(AVERAGE(OFFSET(Tabla3[[#This Row],[Close]],-6,0,7)),"")</f>
        <v>1160.2285853794613</v>
      </c>
      <c r="L232" s="2">
        <f ca="1">IFERROR(_xlfn.STDEV.S(OFFSET(Tabla3[[#This Row],[Close]],-29,0,30)),"")</f>
        <v>19.380900374561296</v>
      </c>
    </row>
    <row r="233" spans="1:12" x14ac:dyDescent="0.3">
      <c r="A233" s="1">
        <v>42744</v>
      </c>
      <c r="B233" s="3">
        <f>YEAR(Tabla3[[#This Row],[Date]])</f>
        <v>2017</v>
      </c>
      <c r="C233" s="1" t="str">
        <f>+TEXT(Tabla3[[#This Row],[Date]],"mmm")</f>
        <v>ene</v>
      </c>
      <c r="D233" s="2">
        <v>1183.5</v>
      </c>
      <c r="E233" s="2">
        <v>1183.5</v>
      </c>
      <c r="F233" s="2">
        <v>1183.59997558593</v>
      </c>
      <c r="G233" s="2">
        <v>1173</v>
      </c>
      <c r="H233" s="2">
        <v>1173.90002441406</v>
      </c>
      <c r="I233">
        <v>62</v>
      </c>
      <c r="J233" s="2">
        <f ca="1">IFERROR((Tabla3[[#This Row],[Close]]-OFFSET(Tabla3[[#This Row],[Close]],-1,0))/OFFSET(Tabla3[[#This Row],[Close]],-1,0),"")</f>
        <v>9.898434460516279E-3</v>
      </c>
      <c r="K233" s="2">
        <f ca="1">IFERROR(AVERAGE(OFFSET(Tabla3[[#This Row],[Close]],-6,0,7)),"")</f>
        <v>1166.5285818917384</v>
      </c>
      <c r="L233" s="2">
        <f ca="1">IFERROR(_xlfn.STDEV.S(OFFSET(Tabla3[[#This Row],[Close]],-29,0,30)),"")</f>
        <v>19.106589049806917</v>
      </c>
    </row>
    <row r="234" spans="1:12" x14ac:dyDescent="0.3">
      <c r="A234" s="1">
        <v>42745</v>
      </c>
      <c r="B234" s="3">
        <f>YEAR(Tabla3[[#This Row],[Date]])</f>
        <v>2017</v>
      </c>
      <c r="C234" s="1" t="str">
        <f>+TEXT(Tabla3[[#This Row],[Date]],"mmm")</f>
        <v>ene</v>
      </c>
      <c r="D234" s="2">
        <v>1184.19995117187</v>
      </c>
      <c r="E234" s="2">
        <v>1184.19995117187</v>
      </c>
      <c r="F234" s="2">
        <v>1188.90002441406</v>
      </c>
      <c r="G234" s="2">
        <v>1182.30004882812</v>
      </c>
      <c r="H234" s="2">
        <v>1184.30004882812</v>
      </c>
      <c r="I234">
        <v>8</v>
      </c>
      <c r="J234" s="2">
        <f ca="1">IFERROR((Tabla3[[#This Row],[Close]]-OFFSET(Tabla3[[#This Row],[Close]],-1,0))/OFFSET(Tabla3[[#This Row],[Close]],-1,0),"")</f>
        <v>5.9142473330798292E-4</v>
      </c>
      <c r="K234" s="2">
        <f ca="1">IFERROR(AVERAGE(OFFSET(Tabla3[[#This Row],[Close]],-6,0,7)),"")</f>
        <v>1170.499999999997</v>
      </c>
      <c r="L234" s="2">
        <f ca="1">IFERROR(_xlfn.STDEV.S(OFFSET(Tabla3[[#This Row],[Close]],-29,0,30)),"")</f>
        <v>19.345809388306176</v>
      </c>
    </row>
    <row r="235" spans="1:12" x14ac:dyDescent="0.3">
      <c r="A235" s="1">
        <v>42746</v>
      </c>
      <c r="B235" s="3">
        <f>YEAR(Tabla3[[#This Row],[Date]])</f>
        <v>2017</v>
      </c>
      <c r="C235" s="1" t="str">
        <f>+TEXT(Tabla3[[#This Row],[Date]],"mmm")</f>
        <v>ene</v>
      </c>
      <c r="D235" s="2">
        <v>1195.59997558593</v>
      </c>
      <c r="E235" s="2">
        <v>1195.59997558593</v>
      </c>
      <c r="F235" s="2">
        <v>1197</v>
      </c>
      <c r="G235" s="2">
        <v>1176.5</v>
      </c>
      <c r="H235" s="2">
        <v>1187.5</v>
      </c>
      <c r="I235">
        <v>20</v>
      </c>
      <c r="J235" s="2">
        <f ca="1">IFERROR((Tabla3[[#This Row],[Close]]-OFFSET(Tabla3[[#This Row],[Close]],-1,0))/OFFSET(Tabla3[[#This Row],[Close]],-1,0),"")</f>
        <v>9.6267732512390937E-3</v>
      </c>
      <c r="K235" s="2">
        <f ca="1">IFERROR(AVERAGE(OFFSET(Tabla3[[#This Row],[Close]],-6,0,7)),"")</f>
        <v>1177.0142822265586</v>
      </c>
      <c r="L235" s="2">
        <f ca="1">IFERROR(_xlfn.STDEV.S(OFFSET(Tabla3[[#This Row],[Close]],-29,0,30)),"")</f>
        <v>19.646019333894813</v>
      </c>
    </row>
    <row r="236" spans="1:12" x14ac:dyDescent="0.3">
      <c r="A236" s="1">
        <v>42747</v>
      </c>
      <c r="B236" s="3">
        <f>YEAR(Tabla3[[#This Row],[Date]])</f>
        <v>2017</v>
      </c>
      <c r="C236" s="1" t="str">
        <f>+TEXT(Tabla3[[#This Row],[Date]],"mmm")</f>
        <v>ene</v>
      </c>
      <c r="D236" s="2">
        <v>1198.90002441406</v>
      </c>
      <c r="E236" s="2">
        <v>1198.90002441406</v>
      </c>
      <c r="F236" s="2">
        <v>1204.30004882812</v>
      </c>
      <c r="G236" s="2">
        <v>1192.30004882812</v>
      </c>
      <c r="H236" s="2">
        <v>1192.69995117187</v>
      </c>
      <c r="I236">
        <v>110</v>
      </c>
      <c r="J236" s="2">
        <f ca="1">IFERROR((Tabla3[[#This Row],[Close]]-OFFSET(Tabla3[[#This Row],[Close]],-1,0))/OFFSET(Tabla3[[#This Row],[Close]],-1,0),"")</f>
        <v>2.760161337836044E-3</v>
      </c>
      <c r="K236" s="2">
        <f ca="1">IFERROR(AVERAGE(OFFSET(Tabla3[[#This Row],[Close]],-6,0,7)),"")</f>
        <v>1182.5142822265586</v>
      </c>
      <c r="L236" s="2">
        <f ca="1">IFERROR(_xlfn.STDEV.S(OFFSET(Tabla3[[#This Row],[Close]],-29,0,30)),"")</f>
        <v>20.291476451459264</v>
      </c>
    </row>
    <row r="237" spans="1:12" x14ac:dyDescent="0.3">
      <c r="A237" s="1">
        <v>42748</v>
      </c>
      <c r="B237" s="3">
        <f>YEAR(Tabla3[[#This Row],[Date]])</f>
        <v>2017</v>
      </c>
      <c r="C237" s="1" t="str">
        <f>+TEXT(Tabla3[[#This Row],[Date]],"mmm")</f>
        <v>ene</v>
      </c>
      <c r="D237" s="2">
        <v>1195.30004882812</v>
      </c>
      <c r="E237" s="2">
        <v>1195.30004882812</v>
      </c>
      <c r="F237" s="2">
        <v>1196</v>
      </c>
      <c r="G237" s="2">
        <v>1187.69995117187</v>
      </c>
      <c r="H237" s="2">
        <v>1195.69995117187</v>
      </c>
      <c r="I237">
        <v>65</v>
      </c>
      <c r="J237" s="2">
        <f ca="1">IFERROR((Tabla3[[#This Row],[Close]]-OFFSET(Tabla3[[#This Row],[Close]],-1,0))/OFFSET(Tabla3[[#This Row],[Close]],-1,0),"")</f>
        <v>-3.002732098282692E-3</v>
      </c>
      <c r="K237" s="2">
        <f ca="1">IFERROR(AVERAGE(OFFSET(Tabla3[[#This Row],[Close]],-6,0,7)),"")</f>
        <v>1187.0142822265586</v>
      </c>
      <c r="L237" s="2">
        <f ca="1">IFERROR(_xlfn.STDEV.S(OFFSET(Tabla3[[#This Row],[Close]],-29,0,30)),"")</f>
        <v>21.22901125612421</v>
      </c>
    </row>
    <row r="238" spans="1:12" x14ac:dyDescent="0.3">
      <c r="A238" s="1">
        <v>42752</v>
      </c>
      <c r="B238" s="3">
        <f>YEAR(Tabla3[[#This Row],[Date]])</f>
        <v>2017</v>
      </c>
      <c r="C238" s="1" t="str">
        <f>+TEXT(Tabla3[[#This Row],[Date]],"mmm")</f>
        <v>ene</v>
      </c>
      <c r="D238" s="2">
        <v>1212</v>
      </c>
      <c r="E238" s="2">
        <v>1212</v>
      </c>
      <c r="F238" s="2">
        <v>1214.59997558593</v>
      </c>
      <c r="G238" s="2">
        <v>1200.80004882812</v>
      </c>
      <c r="H238" s="2">
        <v>1205.5</v>
      </c>
      <c r="I238">
        <v>79</v>
      </c>
      <c r="J238" s="2">
        <f ca="1">IFERROR((Tabla3[[#This Row],[Close]]-OFFSET(Tabla3[[#This Row],[Close]],-1,0))/OFFSET(Tabla3[[#This Row],[Close]],-1,0),"")</f>
        <v>1.3971346515255934E-2</v>
      </c>
      <c r="K238" s="2">
        <f ca="1">IFERROR(AVERAGE(OFFSET(Tabla3[[#This Row],[Close]],-6,0,7)),"")</f>
        <v>1191.6285749162912</v>
      </c>
      <c r="L238" s="2">
        <f ca="1">IFERROR(_xlfn.STDEV.S(OFFSET(Tabla3[[#This Row],[Close]],-29,0,30)),"")</f>
        <v>23.208322707867612</v>
      </c>
    </row>
    <row r="239" spans="1:12" x14ac:dyDescent="0.3">
      <c r="A239" s="1">
        <v>42753</v>
      </c>
      <c r="B239" s="3">
        <f>YEAR(Tabla3[[#This Row],[Date]])</f>
        <v>2017</v>
      </c>
      <c r="C239" s="1" t="str">
        <f>+TEXT(Tabla3[[#This Row],[Date]],"mmm")</f>
        <v>ene</v>
      </c>
      <c r="D239" s="2">
        <v>1211.30004882812</v>
      </c>
      <c r="E239" s="2">
        <v>1211.30004882812</v>
      </c>
      <c r="F239" s="2">
        <v>1214.69995117187</v>
      </c>
      <c r="G239" s="2">
        <v>1203.09997558593</v>
      </c>
      <c r="H239" s="2">
        <v>1213.59997558593</v>
      </c>
      <c r="I239">
        <v>114</v>
      </c>
      <c r="J239" s="2">
        <f ca="1">IFERROR((Tabla3[[#This Row],[Close]]-OFFSET(Tabla3[[#This Row],[Close]],-1,0))/OFFSET(Tabla3[[#This Row],[Close]],-1,0),"")</f>
        <v>-5.7751746854785659E-4</v>
      </c>
      <c r="K239" s="2">
        <f ca="1">IFERROR(AVERAGE(OFFSET(Tabla3[[#This Row],[Close]],-6,0,7)),"")</f>
        <v>1197.2571498325856</v>
      </c>
      <c r="L239" s="2">
        <f ca="1">IFERROR(_xlfn.STDEV.S(OFFSET(Tabla3[[#This Row],[Close]],-29,0,30)),"")</f>
        <v>24.803305466881948</v>
      </c>
    </row>
    <row r="240" spans="1:12" x14ac:dyDescent="0.3">
      <c r="A240" s="1">
        <v>42754</v>
      </c>
      <c r="B240" s="3">
        <f>YEAR(Tabla3[[#This Row],[Date]])</f>
        <v>2017</v>
      </c>
      <c r="C240" s="1" t="str">
        <f>+TEXT(Tabla3[[#This Row],[Date]],"mmm")</f>
        <v>ene</v>
      </c>
      <c r="D240" s="2">
        <v>1200.90002441406</v>
      </c>
      <c r="E240" s="2">
        <v>1200.90002441406</v>
      </c>
      <c r="F240" s="2">
        <v>1204</v>
      </c>
      <c r="G240" s="2">
        <v>1195.80004882812</v>
      </c>
      <c r="H240" s="2">
        <v>1200.5</v>
      </c>
      <c r="I240">
        <v>26</v>
      </c>
      <c r="J240" s="2">
        <f ca="1">IFERROR((Tabla3[[#This Row],[Close]]-OFFSET(Tabla3[[#This Row],[Close]],-1,0))/OFFSET(Tabla3[[#This Row],[Close]],-1,0),"")</f>
        <v>-8.5858367000988482E-3</v>
      </c>
      <c r="K240" s="2">
        <f ca="1">IFERROR(AVERAGE(OFFSET(Tabla3[[#This Row],[Close]],-6,0,7)),"")</f>
        <v>1199.7428676060229</v>
      </c>
      <c r="L240" s="2">
        <f ca="1">IFERROR(_xlfn.STDEV.S(OFFSET(Tabla3[[#This Row],[Close]],-29,0,30)),"")</f>
        <v>25.680538496758736</v>
      </c>
    </row>
    <row r="241" spans="1:12" x14ac:dyDescent="0.3">
      <c r="A241" s="1">
        <v>42755</v>
      </c>
      <c r="B241" s="3">
        <f>YEAR(Tabla3[[#This Row],[Date]])</f>
        <v>2017</v>
      </c>
      <c r="C241" s="1" t="str">
        <f>+TEXT(Tabla3[[#This Row],[Date]],"mmm")</f>
        <v>ene</v>
      </c>
      <c r="D241" s="2">
        <v>1204.30004882812</v>
      </c>
      <c r="E241" s="2">
        <v>1204.30004882812</v>
      </c>
      <c r="F241" s="2">
        <v>1212.09997558593</v>
      </c>
      <c r="G241" s="2">
        <v>1202.80004882812</v>
      </c>
      <c r="H241" s="2">
        <v>1202.80004882812</v>
      </c>
      <c r="I241">
        <v>38</v>
      </c>
      <c r="J241" s="2">
        <f ca="1">IFERROR((Tabla3[[#This Row],[Close]]-OFFSET(Tabla3[[#This Row],[Close]],-1,0))/OFFSET(Tabla3[[#This Row],[Close]],-1,0),"")</f>
        <v>2.8312301981332126E-3</v>
      </c>
      <c r="K241" s="2">
        <f ca="1">IFERROR(AVERAGE(OFFSET(Tabla3[[#This Row],[Close]],-6,0,7)),"")</f>
        <v>1202.6143101283444</v>
      </c>
      <c r="L241" s="2">
        <f ca="1">IFERROR(_xlfn.STDEV.S(OFFSET(Tabla3[[#This Row],[Close]],-29,0,30)),"")</f>
        <v>26.710123944712318</v>
      </c>
    </row>
    <row r="242" spans="1:12" x14ac:dyDescent="0.3">
      <c r="A242" s="1">
        <v>42758</v>
      </c>
      <c r="B242" s="3">
        <f>YEAR(Tabla3[[#This Row],[Date]])</f>
        <v>2017</v>
      </c>
      <c r="C242" s="1" t="str">
        <f>+TEXT(Tabla3[[#This Row],[Date]],"mmm")</f>
        <v>ene</v>
      </c>
      <c r="D242" s="2">
        <v>1215</v>
      </c>
      <c r="E242" s="2">
        <v>1215</v>
      </c>
      <c r="F242" s="2">
        <v>1215</v>
      </c>
      <c r="G242" s="2">
        <v>1210</v>
      </c>
      <c r="H242" s="2">
        <v>1212</v>
      </c>
      <c r="I242">
        <v>16</v>
      </c>
      <c r="J242" s="2">
        <f ca="1">IFERROR((Tabla3[[#This Row],[Close]]-OFFSET(Tabla3[[#This Row],[Close]],-1,0))/OFFSET(Tabla3[[#This Row],[Close]],-1,0),"")</f>
        <v>8.8847884564082751E-3</v>
      </c>
      <c r="K242" s="2">
        <f ca="1">IFERROR(AVERAGE(OFFSET(Tabla3[[#This Row],[Close]],-6,0,7)),"")</f>
        <v>1205.385742187497</v>
      </c>
      <c r="L242" s="2">
        <f ca="1">IFERROR(_xlfn.STDEV.S(OFFSET(Tabla3[[#This Row],[Close]],-29,0,30)),"")</f>
        <v>28.171981848992267</v>
      </c>
    </row>
    <row r="243" spans="1:12" x14ac:dyDescent="0.3">
      <c r="A243" s="1">
        <v>42759</v>
      </c>
      <c r="B243" s="3">
        <f>YEAR(Tabla3[[#This Row],[Date]])</f>
        <v>2017</v>
      </c>
      <c r="C243" s="1" t="str">
        <f>+TEXT(Tabla3[[#This Row],[Date]],"mmm")</f>
        <v>ene</v>
      </c>
      <c r="D243" s="2">
        <v>1210.30004882812</v>
      </c>
      <c r="E243" s="2">
        <v>1210.30004882812</v>
      </c>
      <c r="F243" s="2">
        <v>1219</v>
      </c>
      <c r="G243" s="2">
        <v>1207.69995117187</v>
      </c>
      <c r="H243" s="2">
        <v>1219</v>
      </c>
      <c r="I243">
        <v>24</v>
      </c>
      <c r="J243" s="2">
        <f ca="1">IFERROR((Tabla3[[#This Row],[Close]]-OFFSET(Tabla3[[#This Row],[Close]],-1,0))/OFFSET(Tabla3[[#This Row],[Close]],-1,0),"")</f>
        <v>-3.8682725694485615E-3</v>
      </c>
      <c r="K243" s="2">
        <f ca="1">IFERROR(AVERAGE(OFFSET(Tabla3[[#This Row],[Close]],-6,0,7)),"")</f>
        <v>1207.0143171037912</v>
      </c>
      <c r="L243" s="2">
        <f ca="1">IFERROR(_xlfn.STDEV.S(OFFSET(Tabla3[[#This Row],[Close]],-29,0,30)),"")</f>
        <v>29.280029627374045</v>
      </c>
    </row>
    <row r="244" spans="1:12" x14ac:dyDescent="0.3">
      <c r="A244" s="1">
        <v>42760</v>
      </c>
      <c r="B244" s="3">
        <f>YEAR(Tabla3[[#This Row],[Date]])</f>
        <v>2017</v>
      </c>
      <c r="C244" s="1" t="str">
        <f>+TEXT(Tabla3[[#This Row],[Date]],"mmm")</f>
        <v>ene</v>
      </c>
      <c r="D244" s="2">
        <v>1197.30004882812</v>
      </c>
      <c r="E244" s="2">
        <v>1197.30004882812</v>
      </c>
      <c r="F244" s="2">
        <v>1202.80004882812</v>
      </c>
      <c r="G244" s="2">
        <v>1194.90002441406</v>
      </c>
      <c r="H244" s="2">
        <v>1202</v>
      </c>
      <c r="I244">
        <v>403</v>
      </c>
      <c r="J244" s="2">
        <f ca="1">IFERROR((Tabla3[[#This Row],[Close]]-OFFSET(Tabla3[[#This Row],[Close]],-1,0))/OFFSET(Tabla3[[#This Row],[Close]],-1,0),"")</f>
        <v>-1.0741138127348938E-2</v>
      </c>
      <c r="K244" s="2">
        <f ca="1">IFERROR(AVERAGE(OFFSET(Tabla3[[#This Row],[Close]],-6,0,7)),"")</f>
        <v>1207.3000313895056</v>
      </c>
      <c r="L244" s="2">
        <f ca="1">IFERROR(_xlfn.STDEV.S(OFFSET(Tabla3[[#This Row],[Close]],-29,0,30)),"")</f>
        <v>29.71356877062496</v>
      </c>
    </row>
    <row r="245" spans="1:12" x14ac:dyDescent="0.3">
      <c r="A245" s="1">
        <v>42761</v>
      </c>
      <c r="B245" s="3">
        <f>YEAR(Tabla3[[#This Row],[Date]])</f>
        <v>2017</v>
      </c>
      <c r="C245" s="1" t="str">
        <f>+TEXT(Tabla3[[#This Row],[Date]],"mmm")</f>
        <v>ene</v>
      </c>
      <c r="D245" s="2">
        <v>1189.5</v>
      </c>
      <c r="E245" s="2">
        <v>1189.5</v>
      </c>
      <c r="F245" s="2">
        <v>1199.69995117187</v>
      </c>
      <c r="G245" s="2">
        <v>1185.59997558593</v>
      </c>
      <c r="H245" s="2">
        <v>1199.69995117187</v>
      </c>
      <c r="I245">
        <v>19</v>
      </c>
      <c r="J245" s="2">
        <f ca="1">IFERROR((Tabla3[[#This Row],[Close]]-OFFSET(Tabla3[[#This Row],[Close]],-1,0))/OFFSET(Tabla3[[#This Row],[Close]],-1,0),"")</f>
        <v>-6.514698496633691E-3</v>
      </c>
      <c r="K245" s="2">
        <f ca="1">IFERROR(AVERAGE(OFFSET(Tabla3[[#This Row],[Close]],-6,0,7)),"")</f>
        <v>1204.0857456752199</v>
      </c>
      <c r="L245" s="2">
        <f ca="1">IFERROR(_xlfn.STDEV.S(OFFSET(Tabla3[[#This Row],[Close]],-29,0,30)),"")</f>
        <v>29.920139691058637</v>
      </c>
    </row>
    <row r="246" spans="1:12" x14ac:dyDescent="0.3">
      <c r="A246" s="1">
        <v>42762</v>
      </c>
      <c r="B246" s="3">
        <f>YEAR(Tabla3[[#This Row],[Date]])</f>
        <v>2017</v>
      </c>
      <c r="C246" s="1" t="str">
        <f>+TEXT(Tabla3[[#This Row],[Date]],"mmm")</f>
        <v>ene</v>
      </c>
      <c r="D246" s="2">
        <v>1188.09997558593</v>
      </c>
      <c r="E246" s="2">
        <v>1188.09997558593</v>
      </c>
      <c r="F246" s="2">
        <v>1188.30004882812</v>
      </c>
      <c r="G246" s="2">
        <v>1187.90002441406</v>
      </c>
      <c r="H246" s="2">
        <v>1187.90002441406</v>
      </c>
      <c r="I246">
        <v>234352</v>
      </c>
      <c r="J246" s="2">
        <f ca="1">IFERROR((Tabla3[[#This Row],[Close]]-OFFSET(Tabla3[[#This Row],[Close]],-1,0))/OFFSET(Tabla3[[#This Row],[Close]],-1,0),"")</f>
        <v>-1.176985636040356E-3</v>
      </c>
      <c r="K246" s="2">
        <f ca="1">IFERROR(AVERAGE(OFFSET(Tabla3[[#This Row],[Close]],-6,0,7)),"")</f>
        <v>1200.7714494977643</v>
      </c>
      <c r="L246" s="2">
        <f ca="1">IFERROR(_xlfn.STDEV.S(OFFSET(Tabla3[[#This Row],[Close]],-29,0,30)),"")</f>
        <v>29.985687412332481</v>
      </c>
    </row>
    <row r="247" spans="1:12" x14ac:dyDescent="0.3">
      <c r="A247" s="1">
        <v>42765</v>
      </c>
      <c r="B247" s="3">
        <f>YEAR(Tabla3[[#This Row],[Date]])</f>
        <v>2017</v>
      </c>
      <c r="C247" s="1" t="str">
        <f>+TEXT(Tabla3[[#This Row],[Date]],"mmm")</f>
        <v>ene</v>
      </c>
      <c r="D247" s="2">
        <v>1193.19995117187</v>
      </c>
      <c r="E247" s="2">
        <v>1193.19995117187</v>
      </c>
      <c r="F247" s="2">
        <v>1198.5</v>
      </c>
      <c r="G247" s="2">
        <v>1187.09997558593</v>
      </c>
      <c r="H247" s="2">
        <v>1191.69995117187</v>
      </c>
      <c r="I247">
        <v>50503</v>
      </c>
      <c r="J247" s="2">
        <f ca="1">IFERROR((Tabla3[[#This Row],[Close]]-OFFSET(Tabla3[[#This Row],[Close]],-1,0))/OFFSET(Tabla3[[#This Row],[Close]],-1,0),"")</f>
        <v>4.2925475050404477E-3</v>
      </c>
      <c r="K247" s="2">
        <f ca="1">IFERROR(AVERAGE(OFFSET(Tabla3[[#This Row],[Close]],-6,0,7)),"")</f>
        <v>1199.6714390345944</v>
      </c>
      <c r="L247" s="2">
        <f ca="1">IFERROR(_xlfn.STDEV.S(OFFSET(Tabla3[[#This Row],[Close]],-29,0,30)),"")</f>
        <v>30.190722239532807</v>
      </c>
    </row>
    <row r="248" spans="1:12" x14ac:dyDescent="0.3">
      <c r="A248" s="1">
        <v>42766</v>
      </c>
      <c r="B248" s="3">
        <f>YEAR(Tabla3[[#This Row],[Date]])</f>
        <v>2017</v>
      </c>
      <c r="C248" s="1" t="str">
        <f>+TEXT(Tabla3[[#This Row],[Date]],"mmm")</f>
        <v>ene</v>
      </c>
      <c r="D248" s="2">
        <v>1208.59997558593</v>
      </c>
      <c r="E248" s="2">
        <v>1208.59997558593</v>
      </c>
      <c r="F248" s="2">
        <v>1214.69995117187</v>
      </c>
      <c r="G248" s="2">
        <v>1193.5</v>
      </c>
      <c r="H248" s="2">
        <v>1194.90002441406</v>
      </c>
      <c r="I248">
        <v>3212</v>
      </c>
      <c r="J248" s="2">
        <f ca="1">IFERROR((Tabla3[[#This Row],[Close]]-OFFSET(Tabla3[[#This Row],[Close]],-1,0))/OFFSET(Tabla3[[#This Row],[Close]],-1,0),"")</f>
        <v>1.2906490985802731E-2</v>
      </c>
      <c r="K248" s="2">
        <f ca="1">IFERROR(AVERAGE(OFFSET(Tabla3[[#This Row],[Close]],-6,0,7)),"")</f>
        <v>1200.2857142857101</v>
      </c>
      <c r="L248" s="2">
        <f ca="1">IFERROR(_xlfn.STDEV.S(OFFSET(Tabla3[[#This Row],[Close]],-29,0,30)),"")</f>
        <v>29.695698140224717</v>
      </c>
    </row>
    <row r="249" spans="1:12" x14ac:dyDescent="0.3">
      <c r="A249" s="1">
        <v>42767</v>
      </c>
      <c r="B249" s="3">
        <f>YEAR(Tabla3[[#This Row],[Date]])</f>
        <v>2017</v>
      </c>
      <c r="C249" s="1" t="str">
        <f>+TEXT(Tabla3[[#This Row],[Date]],"mmm")</f>
        <v>feb</v>
      </c>
      <c r="D249" s="2">
        <v>1205.59997558593</v>
      </c>
      <c r="E249" s="2">
        <v>1205.59997558593</v>
      </c>
      <c r="F249" s="2">
        <v>1211.90002441406</v>
      </c>
      <c r="G249" s="2">
        <v>1197.90002441406</v>
      </c>
      <c r="H249" s="2">
        <v>1211.90002441406</v>
      </c>
      <c r="I249">
        <v>1145</v>
      </c>
      <c r="J249" s="2">
        <f ca="1">IFERROR((Tabla3[[#This Row],[Close]]-OFFSET(Tabla3[[#This Row],[Close]],-1,0))/OFFSET(Tabla3[[#This Row],[Close]],-1,0),"")</f>
        <v>-2.4822108725805641E-3</v>
      </c>
      <c r="K249" s="2">
        <f ca="1">IFERROR(AVERAGE(OFFSET(Tabla3[[#This Row],[Close]],-6,0,7)),"")</f>
        <v>1198.9428536551288</v>
      </c>
      <c r="L249" s="2">
        <f ca="1">IFERROR(_xlfn.STDEV.S(OFFSET(Tabla3[[#This Row],[Close]],-29,0,30)),"")</f>
        <v>29.235949455629878</v>
      </c>
    </row>
    <row r="250" spans="1:12" x14ac:dyDescent="0.3">
      <c r="A250" s="1">
        <v>42768</v>
      </c>
      <c r="B250" s="3">
        <f>YEAR(Tabla3[[#This Row],[Date]])</f>
        <v>2017</v>
      </c>
      <c r="C250" s="1" t="str">
        <f>+TEXT(Tabla3[[#This Row],[Date]],"mmm")</f>
        <v>feb</v>
      </c>
      <c r="D250" s="2">
        <v>1216.69995117187</v>
      </c>
      <c r="E250" s="2">
        <v>1216.69995117187</v>
      </c>
      <c r="F250" s="2">
        <v>1224.19995117187</v>
      </c>
      <c r="G250" s="2">
        <v>1208.90002441406</v>
      </c>
      <c r="H250" s="2">
        <v>1209.69995117187</v>
      </c>
      <c r="I250">
        <v>1512</v>
      </c>
      <c r="J250" s="2">
        <f ca="1">IFERROR((Tabla3[[#This Row],[Close]]-OFFSET(Tabla3[[#This Row],[Close]],-1,0))/OFFSET(Tabla3[[#This Row],[Close]],-1,0),"")</f>
        <v>9.2070137779700391E-3</v>
      </c>
      <c r="K250" s="2">
        <f ca="1">IFERROR(AVERAGE(OFFSET(Tabla3[[#This Row],[Close]],-6,0,7)),"")</f>
        <v>1199.8571254185213</v>
      </c>
      <c r="L250" s="2">
        <f ca="1">IFERROR(_xlfn.STDEV.S(OFFSET(Tabla3[[#This Row],[Close]],-29,0,30)),"")</f>
        <v>29.246729484069562</v>
      </c>
    </row>
    <row r="251" spans="1:12" x14ac:dyDescent="0.3">
      <c r="A251" s="1">
        <v>42769</v>
      </c>
      <c r="B251" s="3">
        <f>YEAR(Tabla3[[#This Row],[Date]])</f>
        <v>2017</v>
      </c>
      <c r="C251" s="1" t="str">
        <f>+TEXT(Tabla3[[#This Row],[Date]],"mmm")</f>
        <v>feb</v>
      </c>
      <c r="D251" s="2">
        <v>1218.5</v>
      </c>
      <c r="E251" s="2">
        <v>1218.5</v>
      </c>
      <c r="F251" s="2">
        <v>1220.59997558593</v>
      </c>
      <c r="G251" s="2">
        <v>1206.19995117187</v>
      </c>
      <c r="H251" s="2">
        <v>1214.90002441406</v>
      </c>
      <c r="I251">
        <v>865</v>
      </c>
      <c r="J251" s="2">
        <f ca="1">IFERROR((Tabla3[[#This Row],[Close]]-OFFSET(Tabla3[[#This Row],[Close]],-1,0))/OFFSET(Tabla3[[#This Row],[Close]],-1,0),"")</f>
        <v>1.4794517139548474E-3</v>
      </c>
      <c r="K251" s="2">
        <f ca="1">IFERROR(AVERAGE(OFFSET(Tabla3[[#This Row],[Close]],-6,0,7)),"")</f>
        <v>1202.8856898716472</v>
      </c>
      <c r="L251" s="2">
        <f ca="1">IFERROR(_xlfn.STDEV.S(OFFSET(Tabla3[[#This Row],[Close]],-29,0,30)),"")</f>
        <v>28.603690962640499</v>
      </c>
    </row>
    <row r="252" spans="1:12" x14ac:dyDescent="0.3">
      <c r="A252" s="1">
        <v>42772</v>
      </c>
      <c r="B252" s="3">
        <f>YEAR(Tabla3[[#This Row],[Date]])</f>
        <v>2017</v>
      </c>
      <c r="C252" s="1" t="str">
        <f>+TEXT(Tabla3[[#This Row],[Date]],"mmm")</f>
        <v>feb</v>
      </c>
      <c r="D252" s="2">
        <v>1230</v>
      </c>
      <c r="E252" s="2">
        <v>1230</v>
      </c>
      <c r="F252" s="2">
        <v>1235.40002441406</v>
      </c>
      <c r="G252" s="2">
        <v>1218.5</v>
      </c>
      <c r="H252" s="2">
        <v>1221.90002441406</v>
      </c>
      <c r="I252">
        <v>908</v>
      </c>
      <c r="J252" s="2">
        <f ca="1">IFERROR((Tabla3[[#This Row],[Close]]-OFFSET(Tabla3[[#This Row],[Close]],-1,0))/OFFSET(Tabla3[[#This Row],[Close]],-1,0),"")</f>
        <v>9.4378334017234302E-3</v>
      </c>
      <c r="K252" s="2">
        <f ca="1">IFERROR(AVERAGE(OFFSET(Tabla3[[#This Row],[Close]],-6,0,7)),"")</f>
        <v>1208.6714041573614</v>
      </c>
      <c r="L252" s="2">
        <f ca="1">IFERROR(_xlfn.STDEV.S(OFFSET(Tabla3[[#This Row],[Close]],-29,0,30)),"")</f>
        <v>28.153237299493508</v>
      </c>
    </row>
    <row r="253" spans="1:12" x14ac:dyDescent="0.3">
      <c r="A253" s="1">
        <v>42773</v>
      </c>
      <c r="B253" s="3">
        <f>YEAR(Tabla3[[#This Row],[Date]])</f>
        <v>2017</v>
      </c>
      <c r="C253" s="1" t="str">
        <f>+TEXT(Tabla3[[#This Row],[Date]],"mmm")</f>
        <v>feb</v>
      </c>
      <c r="D253" s="2">
        <v>1234.19995117187</v>
      </c>
      <c r="E253" s="2">
        <v>1234.19995117187</v>
      </c>
      <c r="F253" s="2">
        <v>1236.19995117187</v>
      </c>
      <c r="G253" s="2">
        <v>1228.5</v>
      </c>
      <c r="H253" s="2">
        <v>1234.19995117187</v>
      </c>
      <c r="I253">
        <v>1177</v>
      </c>
      <c r="J253" s="2">
        <f ca="1">IFERROR((Tabla3[[#This Row],[Close]]-OFFSET(Tabla3[[#This Row],[Close]],-1,0))/OFFSET(Tabla3[[#This Row],[Close]],-1,0),"")</f>
        <v>3.4145944486747948E-3</v>
      </c>
      <c r="K253" s="2">
        <f ca="1">IFERROR(AVERAGE(OFFSET(Tabla3[[#This Row],[Close]],-6,0,7)),"")</f>
        <v>1215.2571149553528</v>
      </c>
      <c r="L253" s="2">
        <f ca="1">IFERROR(_xlfn.STDEV.S(OFFSET(Tabla3[[#This Row],[Close]],-29,0,30)),"")</f>
        <v>27.340682926530921</v>
      </c>
    </row>
    <row r="254" spans="1:12" x14ac:dyDescent="0.3">
      <c r="A254" s="1">
        <v>42774</v>
      </c>
      <c r="B254" s="3">
        <f>YEAR(Tabla3[[#This Row],[Date]])</f>
        <v>2017</v>
      </c>
      <c r="C254" s="1" t="str">
        <f>+TEXT(Tabla3[[#This Row],[Date]],"mmm")</f>
        <v>feb</v>
      </c>
      <c r="D254" s="2">
        <v>1237.59997558593</v>
      </c>
      <c r="E254" s="2">
        <v>1237.59997558593</v>
      </c>
      <c r="F254" s="2">
        <v>1243.90002441406</v>
      </c>
      <c r="G254" s="2">
        <v>1231</v>
      </c>
      <c r="H254" s="2">
        <v>1232.09997558593</v>
      </c>
      <c r="I254">
        <v>288</v>
      </c>
      <c r="J254" s="2">
        <f ca="1">IFERROR((Tabla3[[#This Row],[Close]]-OFFSET(Tabla3[[#This Row],[Close]],-1,0))/OFFSET(Tabla3[[#This Row],[Close]],-1,0),"")</f>
        <v>2.7548408269111365E-3</v>
      </c>
      <c r="K254" s="2">
        <f ca="1">IFERROR(AVERAGE(OFFSET(Tabla3[[#This Row],[Close]],-6,0,7)),"")</f>
        <v>1221.5999755859327</v>
      </c>
      <c r="L254" s="2">
        <f ca="1">IFERROR(_xlfn.STDEV.S(OFFSET(Tabla3[[#This Row],[Close]],-29,0,30)),"")</f>
        <v>26.463875579690569</v>
      </c>
    </row>
    <row r="255" spans="1:12" x14ac:dyDescent="0.3">
      <c r="A255" s="1">
        <v>42775</v>
      </c>
      <c r="B255" s="3">
        <f>YEAR(Tabla3[[#This Row],[Date]])</f>
        <v>2017</v>
      </c>
      <c r="C255" s="1" t="str">
        <f>+TEXT(Tabla3[[#This Row],[Date]],"mmm")</f>
        <v>feb</v>
      </c>
      <c r="D255" s="2">
        <v>1235.09997558593</v>
      </c>
      <c r="E255" s="2">
        <v>1235.09997558593</v>
      </c>
      <c r="F255" s="2">
        <v>1243.5</v>
      </c>
      <c r="G255" s="2">
        <v>1226.90002441406</v>
      </c>
      <c r="H255" s="2">
        <v>1239.40002441406</v>
      </c>
      <c r="I255">
        <v>885</v>
      </c>
      <c r="J255" s="2">
        <f ca="1">IFERROR((Tabla3[[#This Row],[Close]]-OFFSET(Tabla3[[#This Row],[Close]],-1,0))/OFFSET(Tabla3[[#This Row],[Close]],-1,0),"")</f>
        <v>-2.0200388245938668E-3</v>
      </c>
      <c r="K255" s="2">
        <f ca="1">IFERROR(AVERAGE(OFFSET(Tabla3[[#This Row],[Close]],-6,0,7)),"")</f>
        <v>1225.3856898716472</v>
      </c>
      <c r="L255" s="2">
        <f ca="1">IFERROR(_xlfn.STDEV.S(OFFSET(Tabla3[[#This Row],[Close]],-29,0,30)),"")</f>
        <v>25.369082237222248</v>
      </c>
    </row>
    <row r="256" spans="1:12" x14ac:dyDescent="0.3">
      <c r="A256" s="1">
        <v>42776</v>
      </c>
      <c r="B256" s="3">
        <f>YEAR(Tabla3[[#This Row],[Date]])</f>
        <v>2017</v>
      </c>
      <c r="C256" s="1" t="str">
        <f>+TEXT(Tabla3[[#This Row],[Date]],"mmm")</f>
        <v>feb</v>
      </c>
      <c r="D256" s="2">
        <v>1234.40002441406</v>
      </c>
      <c r="E256" s="2">
        <v>1234.40002441406</v>
      </c>
      <c r="F256" s="2">
        <v>1234.40002441406</v>
      </c>
      <c r="G256" s="2">
        <v>1221.5</v>
      </c>
      <c r="H256" s="2">
        <v>1227.59997558593</v>
      </c>
      <c r="I256">
        <v>391</v>
      </c>
      <c r="J256" s="2">
        <f ca="1">IFERROR((Tabla3[[#This Row],[Close]]-OFFSET(Tabla3[[#This Row],[Close]],-1,0))/OFFSET(Tabla3[[#This Row],[Close]],-1,0),"")</f>
        <v>-5.6671620573706333E-4</v>
      </c>
      <c r="K256" s="2">
        <f ca="1">IFERROR(AVERAGE(OFFSET(Tabla3[[#This Row],[Close]],-6,0,7)),"")</f>
        <v>1229.49998256138</v>
      </c>
      <c r="L256" s="2">
        <f ca="1">IFERROR(_xlfn.STDEV.S(OFFSET(Tabla3[[#This Row],[Close]],-29,0,30)),"")</f>
        <v>23.916562819569549</v>
      </c>
    </row>
    <row r="257" spans="1:12" x14ac:dyDescent="0.3">
      <c r="A257" s="1">
        <v>42779</v>
      </c>
      <c r="B257" s="3">
        <f>YEAR(Tabla3[[#This Row],[Date]])</f>
        <v>2017</v>
      </c>
      <c r="C257" s="1" t="str">
        <f>+TEXT(Tabla3[[#This Row],[Date]],"mmm")</f>
        <v>feb</v>
      </c>
      <c r="D257" s="2">
        <v>1224.40002441406</v>
      </c>
      <c r="E257" s="2">
        <v>1224.40002441406</v>
      </c>
      <c r="F257" s="2">
        <v>1231.09997558593</v>
      </c>
      <c r="G257" s="2">
        <v>1219</v>
      </c>
      <c r="H257" s="2">
        <v>1230.5</v>
      </c>
      <c r="I257">
        <v>398</v>
      </c>
      <c r="J257" s="2">
        <f ca="1">IFERROR((Tabla3[[#This Row],[Close]]-OFFSET(Tabla3[[#This Row],[Close]],-1,0))/OFFSET(Tabla3[[#This Row],[Close]],-1,0),"")</f>
        <v>-8.1011015896137548E-3</v>
      </c>
      <c r="K257" s="2">
        <f ca="1">IFERROR(AVERAGE(OFFSET(Tabla3[[#This Row],[Close]],-6,0,7)),"")</f>
        <v>1230.59999302455</v>
      </c>
      <c r="L257" s="2">
        <f ca="1">IFERROR(_xlfn.STDEV.S(OFFSET(Tabla3[[#This Row],[Close]],-29,0,30)),"")</f>
        <v>22.900509783209444</v>
      </c>
    </row>
    <row r="258" spans="1:12" x14ac:dyDescent="0.3">
      <c r="A258" s="1">
        <v>42780</v>
      </c>
      <c r="B258" s="3">
        <f>YEAR(Tabla3[[#This Row],[Date]])</f>
        <v>2017</v>
      </c>
      <c r="C258" s="1" t="str">
        <f>+TEXT(Tabla3[[#This Row],[Date]],"mmm")</f>
        <v>feb</v>
      </c>
      <c r="D258" s="2">
        <v>1223.90002441406</v>
      </c>
      <c r="E258" s="2">
        <v>1223.90002441406</v>
      </c>
      <c r="F258" s="2">
        <v>1233.5</v>
      </c>
      <c r="G258" s="2">
        <v>1222.09997558593</v>
      </c>
      <c r="H258" s="2">
        <v>1225.90002441406</v>
      </c>
      <c r="I258">
        <v>159</v>
      </c>
      <c r="J258" s="2">
        <f ca="1">IFERROR((Tabla3[[#This Row],[Close]]-OFFSET(Tabla3[[#This Row],[Close]],-1,0))/OFFSET(Tabla3[[#This Row],[Close]],-1,0),"")</f>
        <v>-4.0836327183125989E-4</v>
      </c>
      <c r="K258" s="2">
        <f ca="1">IFERROR(AVERAGE(OFFSET(Tabla3[[#This Row],[Close]],-6,0,7)),"")</f>
        <v>1231.3714250837015</v>
      </c>
      <c r="L258" s="2">
        <f ca="1">IFERROR(_xlfn.STDEV.S(OFFSET(Tabla3[[#This Row],[Close]],-29,0,30)),"")</f>
        <v>21.049962043714995</v>
      </c>
    </row>
    <row r="259" spans="1:12" x14ac:dyDescent="0.3">
      <c r="A259" s="1">
        <v>42781</v>
      </c>
      <c r="B259" s="3">
        <f>YEAR(Tabla3[[#This Row],[Date]])</f>
        <v>2017</v>
      </c>
      <c r="C259" s="1" t="str">
        <f>+TEXT(Tabla3[[#This Row],[Date]],"mmm")</f>
        <v>feb</v>
      </c>
      <c r="D259" s="2">
        <v>1231.69995117187</v>
      </c>
      <c r="E259" s="2">
        <v>1231.69995117187</v>
      </c>
      <c r="F259" s="2">
        <v>1231.69995117187</v>
      </c>
      <c r="G259" s="2">
        <v>1217.30004882812</v>
      </c>
      <c r="H259" s="2">
        <v>1225.5</v>
      </c>
      <c r="I259">
        <v>175</v>
      </c>
      <c r="J259" s="2">
        <f ca="1">IFERROR((Tabla3[[#This Row],[Close]]-OFFSET(Tabla3[[#This Row],[Close]],-1,0))/OFFSET(Tabla3[[#This Row],[Close]],-1,0),"")</f>
        <v>6.3730097248296076E-3</v>
      </c>
      <c r="K259" s="2">
        <f ca="1">IFERROR(AVERAGE(OFFSET(Tabla3[[#This Row],[Close]],-6,0,7)),"")</f>
        <v>1231.6142752511114</v>
      </c>
      <c r="L259" s="2">
        <f ca="1">IFERROR(_xlfn.STDEV.S(OFFSET(Tabla3[[#This Row],[Close]],-29,0,30)),"")</f>
        <v>19.936827186976906</v>
      </c>
    </row>
    <row r="260" spans="1:12" x14ac:dyDescent="0.3">
      <c r="A260" s="1">
        <v>42782</v>
      </c>
      <c r="B260" s="3">
        <f>YEAR(Tabla3[[#This Row],[Date]])</f>
        <v>2017</v>
      </c>
      <c r="C260" s="1" t="str">
        <f>+TEXT(Tabla3[[#This Row],[Date]],"mmm")</f>
        <v>feb</v>
      </c>
      <c r="D260" s="2">
        <v>1240</v>
      </c>
      <c r="E260" s="2">
        <v>1240</v>
      </c>
      <c r="F260" s="2">
        <v>1240.69995117187</v>
      </c>
      <c r="G260" s="2">
        <v>1233.19995117187</v>
      </c>
      <c r="H260" s="2">
        <v>1234.5</v>
      </c>
      <c r="I260">
        <v>87</v>
      </c>
      <c r="J260" s="2">
        <f ca="1">IFERROR((Tabla3[[#This Row],[Close]]-OFFSET(Tabla3[[#This Row],[Close]],-1,0))/OFFSET(Tabla3[[#This Row],[Close]],-1,0),"")</f>
        <v>6.7386938030103262E-3</v>
      </c>
      <c r="K260" s="2">
        <f ca="1">IFERROR(AVERAGE(OFFSET(Tabla3[[#This Row],[Close]],-6,0,7)),"")</f>
        <v>1232.44285365513</v>
      </c>
      <c r="L260" s="2">
        <f ca="1">IFERROR(_xlfn.STDEV.S(OFFSET(Tabla3[[#This Row],[Close]],-29,0,30)),"")</f>
        <v>19.145280943546226</v>
      </c>
    </row>
    <row r="261" spans="1:12" x14ac:dyDescent="0.3">
      <c r="A261" s="1">
        <v>42783</v>
      </c>
      <c r="B261" s="3">
        <f>YEAR(Tabla3[[#This Row],[Date]])</f>
        <v>2017</v>
      </c>
      <c r="C261" s="1" t="str">
        <f>+TEXT(Tabla3[[#This Row],[Date]],"mmm")</f>
        <v>feb</v>
      </c>
      <c r="D261" s="2">
        <v>1237.59997558593</v>
      </c>
      <c r="E261" s="2">
        <v>1237.59997558593</v>
      </c>
      <c r="F261" s="2">
        <v>1241.19995117187</v>
      </c>
      <c r="G261" s="2">
        <v>1234.80004882812</v>
      </c>
      <c r="H261" s="2">
        <v>1240.69995117187</v>
      </c>
      <c r="I261">
        <v>301</v>
      </c>
      <c r="J261" s="2">
        <f ca="1">IFERROR((Tabla3[[#This Row],[Close]]-OFFSET(Tabla3[[#This Row],[Close]],-1,0))/OFFSET(Tabla3[[#This Row],[Close]],-1,0),"")</f>
        <v>-1.9355035597338737E-3</v>
      </c>
      <c r="K261" s="2">
        <f ca="1">IFERROR(AVERAGE(OFFSET(Tabla3[[#This Row],[Close]],-6,0,7)),"")</f>
        <v>1232.44285365513</v>
      </c>
      <c r="L261" s="2">
        <f ca="1">IFERROR(_xlfn.STDEV.S(OFFSET(Tabla3[[#This Row],[Close]],-29,0,30)),"")</f>
        <v>19.001695499185267</v>
      </c>
    </row>
    <row r="262" spans="1:12" x14ac:dyDescent="0.3">
      <c r="A262" s="1">
        <v>42787</v>
      </c>
      <c r="B262" s="3">
        <f>YEAR(Tabla3[[#This Row],[Date]])</f>
        <v>2017</v>
      </c>
      <c r="C262" s="1" t="str">
        <f>+TEXT(Tabla3[[#This Row],[Date]],"mmm")</f>
        <v>feb</v>
      </c>
      <c r="D262" s="2">
        <v>1237.5</v>
      </c>
      <c r="E262" s="2">
        <v>1237.5</v>
      </c>
      <c r="F262" s="2">
        <v>1237.5</v>
      </c>
      <c r="G262" s="2">
        <v>1228.09997558593</v>
      </c>
      <c r="H262" s="2">
        <v>1237.30004882812</v>
      </c>
      <c r="I262">
        <v>119</v>
      </c>
      <c r="J262" s="2">
        <f ca="1">IFERROR((Tabla3[[#This Row],[Close]]-OFFSET(Tabla3[[#This Row],[Close]],-1,0))/OFFSET(Tabla3[[#This Row],[Close]],-1,0),"")</f>
        <v>-8.078182603604543E-5</v>
      </c>
      <c r="K262" s="2">
        <f ca="1">IFERROR(AVERAGE(OFFSET(Tabla3[[#This Row],[Close]],-6,0,7)),"")</f>
        <v>1232.7857142857115</v>
      </c>
      <c r="L262" s="2">
        <f ca="1">IFERROR(_xlfn.STDEV.S(OFFSET(Tabla3[[#This Row],[Close]],-29,0,30)),"")</f>
        <v>18.101833252119786</v>
      </c>
    </row>
    <row r="263" spans="1:12" x14ac:dyDescent="0.3">
      <c r="A263" s="1">
        <v>42788</v>
      </c>
      <c r="B263" s="3">
        <f>YEAR(Tabla3[[#This Row],[Date]])</f>
        <v>2017</v>
      </c>
      <c r="C263" s="1" t="str">
        <f>+TEXT(Tabla3[[#This Row],[Date]],"mmm")</f>
        <v>feb</v>
      </c>
      <c r="D263" s="2">
        <v>1232</v>
      </c>
      <c r="E263" s="2">
        <v>1232</v>
      </c>
      <c r="F263" s="2">
        <v>1238.59997558593</v>
      </c>
      <c r="G263" s="2">
        <v>1231.80004882812</v>
      </c>
      <c r="H263" s="2">
        <v>1236.09997558593</v>
      </c>
      <c r="I263">
        <v>36</v>
      </c>
      <c r="J263" s="2">
        <f ca="1">IFERROR((Tabla3[[#This Row],[Close]]-OFFSET(Tabla3[[#This Row],[Close]],-1,0))/OFFSET(Tabla3[[#This Row],[Close]],-1,0),"")</f>
        <v>-4.4444444444444444E-3</v>
      </c>
      <c r="K263" s="2">
        <f ca="1">IFERROR(AVERAGE(OFFSET(Tabla3[[#This Row],[Close]],-6,0,7)),"")</f>
        <v>1232.4428536551313</v>
      </c>
      <c r="L263" s="2">
        <f ca="1">IFERROR(_xlfn.STDEV.S(OFFSET(Tabla3[[#This Row],[Close]],-29,0,30)),"")</f>
        <v>17.516635577556126</v>
      </c>
    </row>
    <row r="264" spans="1:12" x14ac:dyDescent="0.3">
      <c r="A264" s="1">
        <v>42789</v>
      </c>
      <c r="B264" s="3">
        <f>YEAR(Tabla3[[#This Row],[Date]])</f>
        <v>2017</v>
      </c>
      <c r="C264" s="1" t="str">
        <f>+TEXT(Tabla3[[#This Row],[Date]],"mmm")</f>
        <v>feb</v>
      </c>
      <c r="D264" s="2">
        <v>1250.19995117187</v>
      </c>
      <c r="E264" s="2">
        <v>1250.19995117187</v>
      </c>
      <c r="F264" s="2">
        <v>1250.30004882812</v>
      </c>
      <c r="G264" s="2">
        <v>1236.09997558593</v>
      </c>
      <c r="H264" s="2">
        <v>1236.09997558593</v>
      </c>
      <c r="I264">
        <v>112</v>
      </c>
      <c r="J264" s="2">
        <f ca="1">IFERROR((Tabla3[[#This Row],[Close]]-OFFSET(Tabla3[[#This Row],[Close]],-1,0))/OFFSET(Tabla3[[#This Row],[Close]],-1,0),"")</f>
        <v>1.4772687639504869E-2</v>
      </c>
      <c r="K264" s="2">
        <f ca="1">IFERROR(AVERAGE(OFFSET(Tabla3[[#This Row],[Close]],-6,0,7)),"")</f>
        <v>1236.1285574776757</v>
      </c>
      <c r="L264" s="2">
        <f ca="1">IFERROR(_xlfn.STDEV.S(OFFSET(Tabla3[[#This Row],[Close]],-29,0,30)),"")</f>
        <v>17.686013279816326</v>
      </c>
    </row>
    <row r="265" spans="1:12" x14ac:dyDescent="0.3">
      <c r="A265" s="1">
        <v>42790</v>
      </c>
      <c r="B265" s="3">
        <f>YEAR(Tabla3[[#This Row],[Date]])</f>
        <v>2017</v>
      </c>
      <c r="C265" s="1" t="str">
        <f>+TEXT(Tabla3[[#This Row],[Date]],"mmm")</f>
        <v>feb</v>
      </c>
      <c r="D265" s="2">
        <v>1256.90002441406</v>
      </c>
      <c r="E265" s="2">
        <v>1256.90002441406</v>
      </c>
      <c r="F265" s="2">
        <v>1258.80004882812</v>
      </c>
      <c r="G265" s="2">
        <v>1250</v>
      </c>
      <c r="H265" s="2">
        <v>1250</v>
      </c>
      <c r="I265">
        <v>1264</v>
      </c>
      <c r="J265" s="2">
        <f ca="1">IFERROR((Tabla3[[#This Row],[Close]]-OFFSET(Tabla3[[#This Row],[Close]],-1,0))/OFFSET(Tabla3[[#This Row],[Close]],-1,0),"")</f>
        <v>5.3592013308828828E-3</v>
      </c>
      <c r="K265" s="2">
        <f ca="1">IFERROR(AVERAGE(OFFSET(Tabla3[[#This Row],[Close]],-6,0,7)),"")</f>
        <v>1240.8428431919615</v>
      </c>
      <c r="L265" s="2">
        <f ca="1">IFERROR(_xlfn.STDEV.S(OFFSET(Tabla3[[#This Row],[Close]],-29,0,30)),"")</f>
        <v>18.644660396057276</v>
      </c>
    </row>
    <row r="266" spans="1:12" x14ac:dyDescent="0.3">
      <c r="A266" s="1">
        <v>42793</v>
      </c>
      <c r="B266" s="3">
        <f>YEAR(Tabla3[[#This Row],[Date]])</f>
        <v>2017</v>
      </c>
      <c r="C266" s="1" t="str">
        <f>+TEXT(Tabla3[[#This Row],[Date]],"mmm")</f>
        <v>feb</v>
      </c>
      <c r="D266" s="2">
        <v>1257.40002441406</v>
      </c>
      <c r="E266" s="2">
        <v>1257.40002441406</v>
      </c>
      <c r="F266" s="2">
        <v>1263.09997558593</v>
      </c>
      <c r="G266" s="2">
        <v>1250.40002441406</v>
      </c>
      <c r="H266" s="2">
        <v>1254.69995117187</v>
      </c>
      <c r="I266">
        <v>544</v>
      </c>
      <c r="J266" s="2">
        <f ca="1">IFERROR((Tabla3[[#This Row],[Close]]-OFFSET(Tabla3[[#This Row],[Close]],-1,0))/OFFSET(Tabla3[[#This Row],[Close]],-1,0),"")</f>
        <v>3.9780411352373818E-4</v>
      </c>
      <c r="K266" s="2">
        <f ca="1">IFERROR(AVERAGE(OFFSET(Tabla3[[#This Row],[Close]],-6,0,7)),"")</f>
        <v>1244.51428222656</v>
      </c>
      <c r="L266" s="2">
        <f ca="1">IFERROR(_xlfn.STDEV.S(OFFSET(Tabla3[[#This Row],[Close]],-29,0,30)),"")</f>
        <v>19.50566260283226</v>
      </c>
    </row>
    <row r="267" spans="1:12" x14ac:dyDescent="0.3">
      <c r="A267" s="1">
        <v>42794</v>
      </c>
      <c r="B267" s="3">
        <f>YEAR(Tabla3[[#This Row],[Date]])</f>
        <v>2017</v>
      </c>
      <c r="C267" s="1" t="str">
        <f>+TEXT(Tabla3[[#This Row],[Date]],"mmm")</f>
        <v>feb</v>
      </c>
      <c r="D267" s="2">
        <v>1252.59997558593</v>
      </c>
      <c r="E267" s="2">
        <v>1252.59997558593</v>
      </c>
      <c r="F267" s="2">
        <v>1257.30004882812</v>
      </c>
      <c r="G267" s="2">
        <v>1247.19995117187</v>
      </c>
      <c r="H267" s="2">
        <v>1253.59997558593</v>
      </c>
      <c r="I267">
        <v>721</v>
      </c>
      <c r="J267" s="2">
        <f ca="1">IFERROR((Tabla3[[#This Row],[Close]]-OFFSET(Tabla3[[#This Row],[Close]],-1,0))/OFFSET(Tabla3[[#This Row],[Close]],-1,0),"")</f>
        <v>-3.8174397446562743E-3</v>
      </c>
      <c r="K267" s="2">
        <f ca="1">IFERROR(AVERAGE(OFFSET(Tabla3[[#This Row],[Close]],-6,0,7)),"")</f>
        <v>1246.3142787388356</v>
      </c>
      <c r="L267" s="2">
        <f ca="1">IFERROR(_xlfn.STDEV.S(OFFSET(Tabla3[[#This Row],[Close]],-29,0,30)),"")</f>
        <v>19.708385733006892</v>
      </c>
    </row>
    <row r="268" spans="1:12" x14ac:dyDescent="0.3">
      <c r="A268" s="1">
        <v>42795</v>
      </c>
      <c r="B268" s="3">
        <f>YEAR(Tabla3[[#This Row],[Date]])</f>
        <v>2017</v>
      </c>
      <c r="C268" s="1" t="str">
        <f>+TEXT(Tabla3[[#This Row],[Date]],"mmm")</f>
        <v>mar</v>
      </c>
      <c r="D268" s="2">
        <v>1248.90002441406</v>
      </c>
      <c r="E268" s="2">
        <v>1248.90002441406</v>
      </c>
      <c r="F268" s="2">
        <v>1248.90002441406</v>
      </c>
      <c r="G268" s="2">
        <v>1236.90002441406</v>
      </c>
      <c r="H268" s="2">
        <v>1247.80004882812</v>
      </c>
      <c r="I268">
        <v>138</v>
      </c>
      <c r="J268" s="2">
        <f ca="1">IFERROR((Tabla3[[#This Row],[Close]]-OFFSET(Tabla3[[#This Row],[Close]],-1,0))/OFFSET(Tabla3[[#This Row],[Close]],-1,0),"")</f>
        <v>-2.9538170557118744E-3</v>
      </c>
      <c r="K268" s="2">
        <f ca="1">IFERROR(AVERAGE(OFFSET(Tabla3[[#This Row],[Close]],-6,0,7)),"")</f>
        <v>1247.9285714285686</v>
      </c>
      <c r="L268" s="2">
        <f ca="1">IFERROR(_xlfn.STDEV.S(OFFSET(Tabla3[[#This Row],[Close]],-29,0,30)),"")</f>
        <v>20.151572170893804</v>
      </c>
    </row>
    <row r="269" spans="1:12" x14ac:dyDescent="0.3">
      <c r="A269" s="1">
        <v>42796</v>
      </c>
      <c r="B269" s="3">
        <f>YEAR(Tabla3[[#This Row],[Date]])</f>
        <v>2017</v>
      </c>
      <c r="C269" s="1" t="str">
        <f>+TEXT(Tabla3[[#This Row],[Date]],"mmm")</f>
        <v>mar</v>
      </c>
      <c r="D269" s="2">
        <v>1231.90002441406</v>
      </c>
      <c r="E269" s="2">
        <v>1231.90002441406</v>
      </c>
      <c r="F269" s="2">
        <v>1247.59997558593</v>
      </c>
      <c r="G269" s="2">
        <v>1230.69995117187</v>
      </c>
      <c r="H269" s="2">
        <v>1247.19995117187</v>
      </c>
      <c r="I269">
        <v>79</v>
      </c>
      <c r="J269" s="2">
        <f ca="1">IFERROR((Tabla3[[#This Row],[Close]]-OFFSET(Tabla3[[#This Row],[Close]],-1,0))/OFFSET(Tabla3[[#This Row],[Close]],-1,0),"")</f>
        <v>-1.3611978275023097E-2</v>
      </c>
      <c r="K269" s="2">
        <f ca="1">IFERROR(AVERAGE(OFFSET(Tabla3[[#This Row],[Close]],-6,0,7)),"")</f>
        <v>1247.1285749162914</v>
      </c>
      <c r="L269" s="2">
        <f ca="1">IFERROR(_xlfn.STDEV.S(OFFSET(Tabla3[[#This Row],[Close]],-29,0,30)),"")</f>
        <v>20.050268751934798</v>
      </c>
    </row>
    <row r="270" spans="1:12" x14ac:dyDescent="0.3">
      <c r="A270" s="1">
        <v>42797</v>
      </c>
      <c r="B270" s="3">
        <f>YEAR(Tabla3[[#This Row],[Date]])</f>
        <v>2017</v>
      </c>
      <c r="C270" s="1" t="str">
        <f>+TEXT(Tabla3[[#This Row],[Date]],"mmm")</f>
        <v>mar</v>
      </c>
      <c r="D270" s="2">
        <v>1225.5</v>
      </c>
      <c r="E270" s="2">
        <v>1225.5</v>
      </c>
      <c r="F270" s="2">
        <v>1235.19995117187</v>
      </c>
      <c r="G270" s="2">
        <v>1222.90002441406</v>
      </c>
      <c r="H270" s="2">
        <v>1231.69995117187</v>
      </c>
      <c r="I270">
        <v>121</v>
      </c>
      <c r="J270" s="2">
        <f ca="1">IFERROR((Tabla3[[#This Row],[Close]]-OFFSET(Tabla3[[#This Row],[Close]],-1,0))/OFFSET(Tabla3[[#This Row],[Close]],-1,0),"")</f>
        <v>-5.1952466005543768E-3</v>
      </c>
      <c r="K270" s="2">
        <f ca="1">IFERROR(AVERAGE(OFFSET(Tabla3[[#This Row],[Close]],-6,0,7)),"")</f>
        <v>1246.2000034877201</v>
      </c>
      <c r="L270" s="2">
        <f ca="1">IFERROR(_xlfn.STDEV.S(OFFSET(Tabla3[[#This Row],[Close]],-29,0,30)),"")</f>
        <v>19.535116356992301</v>
      </c>
    </row>
    <row r="271" spans="1:12" x14ac:dyDescent="0.3">
      <c r="A271" s="1">
        <v>42800</v>
      </c>
      <c r="B271" s="3">
        <f>YEAR(Tabla3[[#This Row],[Date]])</f>
        <v>2017</v>
      </c>
      <c r="C271" s="1" t="str">
        <f>+TEXT(Tabla3[[#This Row],[Date]],"mmm")</f>
        <v>mar</v>
      </c>
      <c r="D271" s="2">
        <v>1224.5</v>
      </c>
      <c r="E271" s="2">
        <v>1224.5</v>
      </c>
      <c r="F271" s="2">
        <v>1235.19995117187</v>
      </c>
      <c r="G271" s="2">
        <v>1224.5</v>
      </c>
      <c r="H271" s="2">
        <v>1235.19995117187</v>
      </c>
      <c r="I271">
        <v>29</v>
      </c>
      <c r="J271" s="2">
        <f ca="1">IFERROR((Tabla3[[#This Row],[Close]]-OFFSET(Tabla3[[#This Row],[Close]],-1,0))/OFFSET(Tabla3[[#This Row],[Close]],-1,0),"")</f>
        <v>-8.1599347205222358E-4</v>
      </c>
      <c r="K271" s="2">
        <f ca="1">IFERROR(AVERAGE(OFFSET(Tabla3[[#This Row],[Close]],-6,0,7)),"")</f>
        <v>1242.5285818917384</v>
      </c>
      <c r="L271" s="2">
        <f ca="1">IFERROR(_xlfn.STDEV.S(OFFSET(Tabla3[[#This Row],[Close]],-29,0,30)),"")</f>
        <v>19.118244859109257</v>
      </c>
    </row>
    <row r="272" spans="1:12" x14ac:dyDescent="0.3">
      <c r="A272" s="1">
        <v>42801</v>
      </c>
      <c r="B272" s="3">
        <f>YEAR(Tabla3[[#This Row],[Date]])</f>
        <v>2017</v>
      </c>
      <c r="C272" s="1" t="str">
        <f>+TEXT(Tabla3[[#This Row],[Date]],"mmm")</f>
        <v>mar</v>
      </c>
      <c r="D272" s="2">
        <v>1215.09997558593</v>
      </c>
      <c r="E272" s="2">
        <v>1215.09997558593</v>
      </c>
      <c r="F272" s="2">
        <v>1225.40002441406</v>
      </c>
      <c r="G272" s="2">
        <v>1213.69995117187</v>
      </c>
      <c r="H272" s="2">
        <v>1224.30004882812</v>
      </c>
      <c r="I272">
        <v>53</v>
      </c>
      <c r="J272" s="2">
        <f ca="1">IFERROR((Tabla3[[#This Row],[Close]]-OFFSET(Tabla3[[#This Row],[Close]],-1,0))/OFFSET(Tabla3[[#This Row],[Close]],-1,0),"")</f>
        <v>-7.6766226329685614E-3</v>
      </c>
      <c r="K272" s="2">
        <f ca="1">IFERROR(AVERAGE(OFFSET(Tabla3[[#This Row],[Close]],-6,0,7)),"")</f>
        <v>1236.5571463448628</v>
      </c>
      <c r="L272" s="2">
        <f ca="1">IFERROR(_xlfn.STDEV.S(OFFSET(Tabla3[[#This Row],[Close]],-29,0,30)),"")</f>
        <v>19.11621522963889</v>
      </c>
    </row>
    <row r="273" spans="1:12" x14ac:dyDescent="0.3">
      <c r="A273" s="1">
        <v>42802</v>
      </c>
      <c r="B273" s="3">
        <f>YEAR(Tabla3[[#This Row],[Date]])</f>
        <v>2017</v>
      </c>
      <c r="C273" s="1" t="str">
        <f>+TEXT(Tabla3[[#This Row],[Date]],"mmm")</f>
        <v>mar</v>
      </c>
      <c r="D273" s="2">
        <v>1208.5</v>
      </c>
      <c r="E273" s="2">
        <v>1208.5</v>
      </c>
      <c r="F273" s="2">
        <v>1212.19995117187</v>
      </c>
      <c r="G273" s="2">
        <v>1206.69995117187</v>
      </c>
      <c r="H273" s="2">
        <v>1212.19995117187</v>
      </c>
      <c r="I273">
        <v>24</v>
      </c>
      <c r="J273" s="2">
        <f ca="1">IFERROR((Tabla3[[#This Row],[Close]]-OFFSET(Tabla3[[#This Row],[Close]],-1,0))/OFFSET(Tabla3[[#This Row],[Close]],-1,0),"")</f>
        <v>-5.4316317328106612E-3</v>
      </c>
      <c r="K273" s="2">
        <f ca="1">IFERROR(AVERAGE(OFFSET(Tabla3[[#This Row],[Close]],-6,0,7)),"")</f>
        <v>1229.5714285714257</v>
      </c>
      <c r="L273" s="2">
        <f ca="1">IFERROR(_xlfn.STDEV.S(OFFSET(Tabla3[[#This Row],[Close]],-29,0,30)),"")</f>
        <v>19.170935610477464</v>
      </c>
    </row>
    <row r="274" spans="1:12" x14ac:dyDescent="0.3">
      <c r="A274" s="1">
        <v>42803</v>
      </c>
      <c r="B274" s="3">
        <f>YEAR(Tabla3[[#This Row],[Date]])</f>
        <v>2017</v>
      </c>
      <c r="C274" s="1" t="str">
        <f>+TEXT(Tabla3[[#This Row],[Date]],"mmm")</f>
        <v>mar</v>
      </c>
      <c r="D274" s="2">
        <v>1202.40002441406</v>
      </c>
      <c r="E274" s="2">
        <v>1202.40002441406</v>
      </c>
      <c r="F274" s="2">
        <v>1205.59997558593</v>
      </c>
      <c r="G274" s="2">
        <v>1202.30004882812</v>
      </c>
      <c r="H274" s="2">
        <v>1204.5</v>
      </c>
      <c r="I274">
        <v>37</v>
      </c>
      <c r="J274" s="2">
        <f ca="1">IFERROR((Tabla3[[#This Row],[Close]]-OFFSET(Tabla3[[#This Row],[Close]],-1,0))/OFFSET(Tabla3[[#This Row],[Close]],-1,0),"")</f>
        <v>-5.0475594422341756E-3</v>
      </c>
      <c r="K274" s="2">
        <f ca="1">IFERROR(AVERAGE(OFFSET(Tabla3[[#This Row],[Close]],-6,0,7)),"")</f>
        <v>1222.4000069754443</v>
      </c>
      <c r="L274" s="2">
        <f ca="1">IFERROR(_xlfn.STDEV.S(OFFSET(Tabla3[[#This Row],[Close]],-29,0,30)),"")</f>
        <v>18.926452150082515</v>
      </c>
    </row>
    <row r="275" spans="1:12" x14ac:dyDescent="0.3">
      <c r="A275" s="1">
        <v>42804</v>
      </c>
      <c r="B275" s="3">
        <f>YEAR(Tabla3[[#This Row],[Date]])</f>
        <v>2017</v>
      </c>
      <c r="C275" s="1" t="str">
        <f>+TEXT(Tabla3[[#This Row],[Date]],"mmm")</f>
        <v>mar</v>
      </c>
      <c r="D275" s="2">
        <v>1200.69995117187</v>
      </c>
      <c r="E275" s="2">
        <v>1200.69995117187</v>
      </c>
      <c r="F275" s="2">
        <v>1203.30004882812</v>
      </c>
      <c r="G275" s="2">
        <v>1196.19995117187</v>
      </c>
      <c r="H275" s="2">
        <v>1196.19995117187</v>
      </c>
      <c r="I275">
        <v>3</v>
      </c>
      <c r="J275" s="2">
        <f ca="1">IFERROR((Tabla3[[#This Row],[Close]]-OFFSET(Tabla3[[#This Row],[Close]],-1,0))/OFFSET(Tabla3[[#This Row],[Close]],-1,0),"")</f>
        <v>-1.4138998733125123E-3</v>
      </c>
      <c r="K275" s="2">
        <f ca="1">IFERROR(AVERAGE(OFFSET(Tabla3[[#This Row],[Close]],-6,0,7)),"")</f>
        <v>1215.51428222656</v>
      </c>
      <c r="L275" s="2">
        <f ca="1">IFERROR(_xlfn.STDEV.S(OFFSET(Tabla3[[#This Row],[Close]],-29,0,30)),"")</f>
        <v>18.272303520270629</v>
      </c>
    </row>
    <row r="276" spans="1:12" x14ac:dyDescent="0.3">
      <c r="A276" s="1">
        <v>42807</v>
      </c>
      <c r="B276" s="3">
        <f>YEAR(Tabla3[[#This Row],[Date]])</f>
        <v>2017</v>
      </c>
      <c r="C276" s="1" t="str">
        <f>+TEXT(Tabla3[[#This Row],[Date]],"mmm")</f>
        <v>mar</v>
      </c>
      <c r="D276" s="2">
        <v>1202.40002441406</v>
      </c>
      <c r="E276" s="2">
        <v>1202.40002441406</v>
      </c>
      <c r="F276" s="2">
        <v>1210</v>
      </c>
      <c r="G276" s="2">
        <v>1202.30004882812</v>
      </c>
      <c r="H276" s="2">
        <v>1206.19995117187</v>
      </c>
      <c r="I276">
        <v>35</v>
      </c>
      <c r="J276" s="2">
        <f ca="1">IFERROR((Tabla3[[#This Row],[Close]]-OFFSET(Tabla3[[#This Row],[Close]],-1,0))/OFFSET(Tabla3[[#This Row],[Close]],-1,0),"")</f>
        <v>1.4159018167117839E-3</v>
      </c>
      <c r="K276" s="2">
        <f ca="1">IFERROR(AVERAGE(OFFSET(Tabla3[[#This Row],[Close]],-6,0,7)),"")</f>
        <v>1211.2999965122744</v>
      </c>
      <c r="L276" s="2">
        <f ca="1">IFERROR(_xlfn.STDEV.S(OFFSET(Tabla3[[#This Row],[Close]],-29,0,30)),"")</f>
        <v>17.393589803684605</v>
      </c>
    </row>
    <row r="277" spans="1:12" x14ac:dyDescent="0.3">
      <c r="A277" s="1">
        <v>42808</v>
      </c>
      <c r="B277" s="3">
        <f>YEAR(Tabla3[[#This Row],[Date]])</f>
        <v>2017</v>
      </c>
      <c r="C277" s="1" t="str">
        <f>+TEXT(Tabla3[[#This Row],[Date]],"mmm")</f>
        <v>mar</v>
      </c>
      <c r="D277" s="2">
        <v>1201.90002441406</v>
      </c>
      <c r="E277" s="2">
        <v>1201.90002441406</v>
      </c>
      <c r="F277" s="2">
        <v>1205.90002441406</v>
      </c>
      <c r="G277" s="2">
        <v>1196.80004882812</v>
      </c>
      <c r="H277" s="2">
        <v>1203.09997558593</v>
      </c>
      <c r="I277">
        <v>22</v>
      </c>
      <c r="J277" s="2">
        <f ca="1">IFERROR((Tabla3[[#This Row],[Close]]-OFFSET(Tabla3[[#This Row],[Close]],-1,0))/OFFSET(Tabla3[[#This Row],[Close]],-1,0),"")</f>
        <v>-4.15834988230023E-4</v>
      </c>
      <c r="K277" s="2">
        <f ca="1">IFERROR(AVERAGE(OFFSET(Tabla3[[#This Row],[Close]],-6,0,7)),"")</f>
        <v>1207.9285714285686</v>
      </c>
      <c r="L277" s="2">
        <f ca="1">IFERROR(_xlfn.STDEV.S(OFFSET(Tabla3[[#This Row],[Close]],-29,0,30)),"")</f>
        <v>16.870679068969569</v>
      </c>
    </row>
    <row r="278" spans="1:12" x14ac:dyDescent="0.3">
      <c r="A278" s="1">
        <v>42809</v>
      </c>
      <c r="B278" s="3">
        <f>YEAR(Tabla3[[#This Row],[Date]])</f>
        <v>2017</v>
      </c>
      <c r="C278" s="1" t="str">
        <f>+TEXT(Tabla3[[#This Row],[Date]],"mmm")</f>
        <v>mar</v>
      </c>
      <c r="D278" s="2">
        <v>1200.09997558593</v>
      </c>
      <c r="E278" s="2">
        <v>1200.09997558593</v>
      </c>
      <c r="F278" s="2">
        <v>1221.19995117187</v>
      </c>
      <c r="G278" s="2">
        <v>1197.69995117187</v>
      </c>
      <c r="H278" s="2">
        <v>1198.19995117187</v>
      </c>
      <c r="I278">
        <v>36</v>
      </c>
      <c r="J278" s="2">
        <f ca="1">IFERROR((Tabla3[[#This Row],[Close]]-OFFSET(Tabla3[[#This Row],[Close]],-1,0))/OFFSET(Tabla3[[#This Row],[Close]],-1,0),"")</f>
        <v>-1.4976693498342732E-3</v>
      </c>
      <c r="K278" s="2">
        <f ca="1">IFERROR(AVERAGE(OFFSET(Tabla3[[#This Row],[Close]],-6,0,7)),"")</f>
        <v>1204.44285365513</v>
      </c>
      <c r="L278" s="2">
        <f ca="1">IFERROR(_xlfn.STDEV.S(OFFSET(Tabla3[[#This Row],[Close]],-29,0,30)),"")</f>
        <v>17.266750860814344</v>
      </c>
    </row>
    <row r="279" spans="1:12" x14ac:dyDescent="0.3">
      <c r="A279" s="1">
        <v>42810</v>
      </c>
      <c r="B279" s="3">
        <f>YEAR(Tabla3[[#This Row],[Date]])</f>
        <v>2017</v>
      </c>
      <c r="C279" s="1" t="str">
        <f>+TEXT(Tabla3[[#This Row],[Date]],"mmm")</f>
        <v>mar</v>
      </c>
      <c r="D279" s="2">
        <v>1226.5</v>
      </c>
      <c r="E279" s="2">
        <v>1226.5</v>
      </c>
      <c r="F279" s="2">
        <v>1231.40002441406</v>
      </c>
      <c r="G279" s="2">
        <v>1222.19995117187</v>
      </c>
      <c r="H279" s="2">
        <v>1222.19995117187</v>
      </c>
      <c r="I279">
        <v>47</v>
      </c>
      <c r="J279" s="2">
        <f ca="1">IFERROR((Tabla3[[#This Row],[Close]]-OFFSET(Tabla3[[#This Row],[Close]],-1,0))/OFFSET(Tabla3[[#This Row],[Close]],-1,0),"")</f>
        <v>2.1998187610311887E-2</v>
      </c>
      <c r="K279" s="2">
        <f ca="1">IFERROR(AVERAGE(OFFSET(Tabla3[[#This Row],[Close]],-6,0,7)),"")</f>
        <v>1206.0714285714257</v>
      </c>
      <c r="L279" s="2">
        <f ca="1">IFERROR(_xlfn.STDEV.S(OFFSET(Tabla3[[#This Row],[Close]],-29,0,30)),"")</f>
        <v>16.776814206393638</v>
      </c>
    </row>
    <row r="280" spans="1:12" x14ac:dyDescent="0.3">
      <c r="A280" s="1">
        <v>42811</v>
      </c>
      <c r="B280" s="3">
        <f>YEAR(Tabla3[[#This Row],[Date]])</f>
        <v>2017</v>
      </c>
      <c r="C280" s="1" t="str">
        <f>+TEXT(Tabla3[[#This Row],[Date]],"mmm")</f>
        <v>mar</v>
      </c>
      <c r="D280" s="2">
        <v>1229.80004882812</v>
      </c>
      <c r="E280" s="2">
        <v>1229.80004882812</v>
      </c>
      <c r="F280" s="2">
        <v>1230.90002441406</v>
      </c>
      <c r="G280" s="2">
        <v>1227.09997558593</v>
      </c>
      <c r="H280" s="2">
        <v>1227.09997558593</v>
      </c>
      <c r="I280">
        <v>26</v>
      </c>
      <c r="J280" s="2">
        <f ca="1">IFERROR((Tabla3[[#This Row],[Close]]-OFFSET(Tabla3[[#This Row],[Close]],-1,0))/OFFSET(Tabla3[[#This Row],[Close]],-1,0),"")</f>
        <v>2.6906227705829578E-3</v>
      </c>
      <c r="K280" s="2">
        <f ca="1">IFERROR(AVERAGE(OFFSET(Tabla3[[#This Row],[Close]],-6,0,7)),"")</f>
        <v>1209.1142926897285</v>
      </c>
      <c r="L280" s="2">
        <f ca="1">IFERROR(_xlfn.STDEV.S(OFFSET(Tabla3[[#This Row],[Close]],-29,0,30)),"")</f>
        <v>16.643315050250731</v>
      </c>
    </row>
    <row r="281" spans="1:12" x14ac:dyDescent="0.3">
      <c r="A281" s="1">
        <v>42814</v>
      </c>
      <c r="B281" s="3">
        <f>YEAR(Tabla3[[#This Row],[Date]])</f>
        <v>2017</v>
      </c>
      <c r="C281" s="1" t="str">
        <f>+TEXT(Tabla3[[#This Row],[Date]],"mmm")</f>
        <v>mar</v>
      </c>
      <c r="D281" s="2">
        <v>1233.59997558593</v>
      </c>
      <c r="E281" s="2">
        <v>1233.59997558593</v>
      </c>
      <c r="F281" s="2">
        <v>1234.40002441406</v>
      </c>
      <c r="G281" s="2">
        <v>1229.30004882812</v>
      </c>
      <c r="H281" s="2">
        <v>1229.30004882812</v>
      </c>
      <c r="I281">
        <v>23</v>
      </c>
      <c r="J281" s="2">
        <f ca="1">IFERROR((Tabla3[[#This Row],[Close]]-OFFSET(Tabla3[[#This Row],[Close]],-1,0))/OFFSET(Tabla3[[#This Row],[Close]],-1,0),"")</f>
        <v>3.0898736436308976E-3</v>
      </c>
      <c r="K281" s="2">
        <f ca="1">IFERROR(AVERAGE(OFFSET(Tabla3[[#This Row],[Close]],-6,0,7)),"")</f>
        <v>1213.5714285714243</v>
      </c>
      <c r="L281" s="2">
        <f ca="1">IFERROR(_xlfn.STDEV.S(OFFSET(Tabla3[[#This Row],[Close]],-29,0,30)),"")</f>
        <v>16.561511564237467</v>
      </c>
    </row>
    <row r="282" spans="1:12" x14ac:dyDescent="0.3">
      <c r="A282" s="1">
        <v>42815</v>
      </c>
      <c r="B282" s="3">
        <f>YEAR(Tabla3[[#This Row],[Date]])</f>
        <v>2017</v>
      </c>
      <c r="C282" s="1" t="str">
        <f>+TEXT(Tabla3[[#This Row],[Date]],"mmm")</f>
        <v>mar</v>
      </c>
      <c r="D282" s="2">
        <v>1246.09997558593</v>
      </c>
      <c r="E282" s="2">
        <v>1246.09997558593</v>
      </c>
      <c r="F282" s="2">
        <v>1246.09997558593</v>
      </c>
      <c r="G282" s="2">
        <v>1226.40002441406</v>
      </c>
      <c r="H282" s="2">
        <v>1226.40002441406</v>
      </c>
      <c r="I282">
        <v>11</v>
      </c>
      <c r="J282" s="2">
        <f ca="1">IFERROR((Tabla3[[#This Row],[Close]]-OFFSET(Tabla3[[#This Row],[Close]],-1,0))/OFFSET(Tabla3[[#This Row],[Close]],-1,0),"")</f>
        <v>1.0132944428815186E-2</v>
      </c>
      <c r="K282" s="2">
        <f ca="1">IFERROR(AVERAGE(OFFSET(Tabla3[[#This Row],[Close]],-6,0,7)),"")</f>
        <v>1220.0571463448614</v>
      </c>
      <c r="L282" s="2">
        <f ca="1">IFERROR(_xlfn.STDEV.S(OFFSET(Tabla3[[#This Row],[Close]],-29,0,30)),"")</f>
        <v>16.856282186736678</v>
      </c>
    </row>
    <row r="283" spans="1:12" x14ac:dyDescent="0.3">
      <c r="A283" s="1">
        <v>42816</v>
      </c>
      <c r="B283" s="3">
        <f>YEAR(Tabla3[[#This Row],[Date]])</f>
        <v>2017</v>
      </c>
      <c r="C283" s="1" t="str">
        <f>+TEXT(Tabla3[[#This Row],[Date]],"mmm")</f>
        <v>mar</v>
      </c>
      <c r="D283" s="2">
        <v>1249.30004882812</v>
      </c>
      <c r="E283" s="2">
        <v>1249.30004882812</v>
      </c>
      <c r="F283" s="2">
        <v>1249.5</v>
      </c>
      <c r="G283" s="2">
        <v>1247.69995117187</v>
      </c>
      <c r="H283" s="2">
        <v>1247.90002441406</v>
      </c>
      <c r="I283">
        <v>3</v>
      </c>
      <c r="J283" s="2">
        <f ca="1">IFERROR((Tabla3[[#This Row],[Close]]-OFFSET(Tabla3[[#This Row],[Close]],-1,0))/OFFSET(Tabla3[[#This Row],[Close]],-1,0),"")</f>
        <v>2.5680710255092422E-3</v>
      </c>
      <c r="K283" s="2">
        <f ca="1">IFERROR(AVERAGE(OFFSET(Tabla3[[#This Row],[Close]],-6,0,7)),"")</f>
        <v>1226.7571498325844</v>
      </c>
      <c r="L283" s="2">
        <f ca="1">IFERROR(_xlfn.STDEV.S(OFFSET(Tabla3[[#This Row],[Close]],-29,0,30)),"")</f>
        <v>17.224537391251886</v>
      </c>
    </row>
    <row r="284" spans="1:12" x14ac:dyDescent="0.3">
      <c r="A284" s="1">
        <v>42817</v>
      </c>
      <c r="B284" s="3">
        <f>YEAR(Tabla3[[#This Row],[Date]])</f>
        <v>2017</v>
      </c>
      <c r="C284" s="1" t="str">
        <f>+TEXT(Tabla3[[#This Row],[Date]],"mmm")</f>
        <v>mar</v>
      </c>
      <c r="D284" s="2">
        <v>1246.90002441406</v>
      </c>
      <c r="E284" s="2">
        <v>1246.90002441406</v>
      </c>
      <c r="F284" s="2">
        <v>1247.5</v>
      </c>
      <c r="G284" s="2">
        <v>1244.80004882812</v>
      </c>
      <c r="H284" s="2">
        <v>1246.40002441406</v>
      </c>
      <c r="I284">
        <v>16</v>
      </c>
      <c r="J284" s="2">
        <f ca="1">IFERROR((Tabla3[[#This Row],[Close]]-OFFSET(Tabla3[[#This Row],[Close]],-1,0))/OFFSET(Tabla3[[#This Row],[Close]],-1,0),"")</f>
        <v>-1.9210952695561743E-3</v>
      </c>
      <c r="K284" s="2">
        <f ca="1">IFERROR(AVERAGE(OFFSET(Tabla3[[#This Row],[Close]],-6,0,7)),"")</f>
        <v>1233.1857212611558</v>
      </c>
      <c r="L284" s="2">
        <f ca="1">IFERROR(_xlfn.STDEV.S(OFFSET(Tabla3[[#This Row],[Close]],-29,0,30)),"")</f>
        <v>17.449191397958273</v>
      </c>
    </row>
    <row r="285" spans="1:12" x14ac:dyDescent="0.3">
      <c r="A285" s="1">
        <v>42818</v>
      </c>
      <c r="B285" s="3">
        <f>YEAR(Tabla3[[#This Row],[Date]])</f>
        <v>2017</v>
      </c>
      <c r="C285" s="1" t="str">
        <f>+TEXT(Tabla3[[#This Row],[Date]],"mmm")</f>
        <v>mar</v>
      </c>
      <c r="D285" s="2">
        <v>1248.19995117187</v>
      </c>
      <c r="E285" s="2">
        <v>1248.19995117187</v>
      </c>
      <c r="F285" s="2">
        <v>1248.30004882812</v>
      </c>
      <c r="G285" s="2">
        <v>1247.59997558593</v>
      </c>
      <c r="H285" s="2">
        <v>1248</v>
      </c>
      <c r="I285">
        <v>3</v>
      </c>
      <c r="J285" s="2">
        <f ca="1">IFERROR((Tabla3[[#This Row],[Close]]-OFFSET(Tabla3[[#This Row],[Close]],-1,0))/OFFSET(Tabla3[[#This Row],[Close]],-1,0),"")</f>
        <v>1.0425268524802997E-3</v>
      </c>
      <c r="K285" s="2">
        <f ca="1">IFERROR(AVERAGE(OFFSET(Tabla3[[#This Row],[Close]],-6,0,7)),"")</f>
        <v>1240.0571463448614</v>
      </c>
      <c r="L285" s="2">
        <f ca="1">IFERROR(_xlfn.STDEV.S(OFFSET(Tabla3[[#This Row],[Close]],-29,0,30)),"")</f>
        <v>17.736043821354034</v>
      </c>
    </row>
    <row r="286" spans="1:12" x14ac:dyDescent="0.3">
      <c r="A286" s="1">
        <v>42821</v>
      </c>
      <c r="B286" s="3">
        <f>YEAR(Tabla3[[#This Row],[Date]])</f>
        <v>2017</v>
      </c>
      <c r="C286" s="1" t="str">
        <f>+TEXT(Tabla3[[#This Row],[Date]],"mmm")</f>
        <v>mar</v>
      </c>
      <c r="D286" s="2">
        <v>1255.40002441406</v>
      </c>
      <c r="E286" s="2">
        <v>1255.40002441406</v>
      </c>
      <c r="F286" s="2">
        <v>1257.69995117187</v>
      </c>
      <c r="G286" s="2">
        <v>1253.80004882812</v>
      </c>
      <c r="H286" s="2">
        <v>1255.80004882812</v>
      </c>
      <c r="I286">
        <v>72</v>
      </c>
      <c r="J286" s="2">
        <f ca="1">IFERROR((Tabla3[[#This Row],[Close]]-OFFSET(Tabla3[[#This Row],[Close]],-1,0))/OFFSET(Tabla3[[#This Row],[Close]],-1,0),"")</f>
        <v>5.7683652650604789E-3</v>
      </c>
      <c r="K286" s="2">
        <f ca="1">IFERROR(AVERAGE(OFFSET(Tabla3[[#This Row],[Close]],-6,0,7)),"")</f>
        <v>1244.1857212611558</v>
      </c>
      <c r="L286" s="2">
        <f ca="1">IFERROR(_xlfn.STDEV.S(OFFSET(Tabla3[[#This Row],[Close]],-29,0,30)),"")</f>
        <v>18.292914827564839</v>
      </c>
    </row>
    <row r="287" spans="1:12" x14ac:dyDescent="0.3">
      <c r="A287" s="1">
        <v>42822</v>
      </c>
      <c r="B287" s="3">
        <f>YEAR(Tabla3[[#This Row],[Date]])</f>
        <v>2017</v>
      </c>
      <c r="C287" s="1" t="str">
        <f>+TEXT(Tabla3[[#This Row],[Date]],"mmm")</f>
        <v>mar</v>
      </c>
      <c r="D287" s="2">
        <v>1255.30004882812</v>
      </c>
      <c r="E287" s="2">
        <v>1255.30004882812</v>
      </c>
      <c r="F287" s="2">
        <v>1255.90002441406</v>
      </c>
      <c r="G287" s="2">
        <v>1255.30004882812</v>
      </c>
      <c r="H287" s="2">
        <v>1255.90002441406</v>
      </c>
      <c r="I287">
        <v>19</v>
      </c>
      <c r="J287" s="2">
        <f ca="1">IFERROR((Tabla3[[#This Row],[Close]]-OFFSET(Tabla3[[#This Row],[Close]],-1,0))/OFFSET(Tabla3[[#This Row],[Close]],-1,0),"")</f>
        <v>-7.9636437785369081E-5</v>
      </c>
      <c r="K287" s="2">
        <f ca="1">IFERROR(AVERAGE(OFFSET(Tabla3[[#This Row],[Close]],-6,0,7)),"")</f>
        <v>1247.8285784040129</v>
      </c>
      <c r="L287" s="2">
        <f ca="1">IFERROR(_xlfn.STDEV.S(OFFSET(Tabla3[[#This Row],[Close]],-29,0,30)),"")</f>
        <v>18.749604896184227</v>
      </c>
    </row>
    <row r="288" spans="1:12" x14ac:dyDescent="0.3">
      <c r="A288" s="1">
        <v>42823</v>
      </c>
      <c r="B288" s="3">
        <f>YEAR(Tabla3[[#This Row],[Date]])</f>
        <v>2017</v>
      </c>
      <c r="C288" s="1" t="str">
        <f>+TEXT(Tabla3[[#This Row],[Date]],"mmm")</f>
        <v>mar</v>
      </c>
      <c r="D288" s="2">
        <v>1253.40002441406</v>
      </c>
      <c r="E288" s="2">
        <v>1253.40002441406</v>
      </c>
      <c r="F288" s="2">
        <v>1253.40002441406</v>
      </c>
      <c r="G288" s="2">
        <v>1252.09997558593</v>
      </c>
      <c r="H288" s="2">
        <v>1252.19995117187</v>
      </c>
      <c r="I288">
        <v>190678</v>
      </c>
      <c r="J288" s="2">
        <f ca="1">IFERROR((Tabla3[[#This Row],[Close]]-OFFSET(Tabla3[[#This Row],[Close]],-1,0))/OFFSET(Tabla3[[#This Row],[Close]],-1,0),"")</f>
        <v>-1.5136018004888621E-3</v>
      </c>
      <c r="K288" s="2">
        <f ca="1">IFERROR(AVERAGE(OFFSET(Tabla3[[#This Row],[Close]],-6,0,7)),"")</f>
        <v>1250.6571568080315</v>
      </c>
      <c r="L288" s="2">
        <f ca="1">IFERROR(_xlfn.STDEV.S(OFFSET(Tabla3[[#This Row],[Close]],-29,0,30)),"")</f>
        <v>19.058035238008362</v>
      </c>
    </row>
    <row r="289" spans="1:12" x14ac:dyDescent="0.3">
      <c r="A289" s="1">
        <v>42824</v>
      </c>
      <c r="B289" s="3">
        <f>YEAR(Tabla3[[#This Row],[Date]])</f>
        <v>2017</v>
      </c>
      <c r="C289" s="1" t="str">
        <f>+TEXT(Tabla3[[#This Row],[Date]],"mmm")</f>
        <v>mar</v>
      </c>
      <c r="D289" s="2">
        <v>1245</v>
      </c>
      <c r="E289" s="2">
        <v>1245</v>
      </c>
      <c r="F289" s="2">
        <v>1253.59997558593</v>
      </c>
      <c r="G289" s="2">
        <v>1241.09997558593</v>
      </c>
      <c r="H289" s="2">
        <v>1253.09997558593</v>
      </c>
      <c r="I289">
        <v>51328</v>
      </c>
      <c r="J289" s="2">
        <f ca="1">IFERROR((Tabla3[[#This Row],[Close]]-OFFSET(Tabla3[[#This Row],[Close]],-1,0))/OFFSET(Tabla3[[#This Row],[Close]],-1,0),"")</f>
        <v>-6.7017905301117627E-3</v>
      </c>
      <c r="K289" s="2">
        <f ca="1">IFERROR(AVERAGE(OFFSET(Tabla3[[#This Row],[Close]],-6,0,7)),"")</f>
        <v>1250.500017438613</v>
      </c>
      <c r="L289" s="2">
        <f ca="1">IFERROR(_xlfn.STDEV.S(OFFSET(Tabla3[[#This Row],[Close]],-29,0,30)),"")</f>
        <v>19.171242760020281</v>
      </c>
    </row>
    <row r="290" spans="1:12" x14ac:dyDescent="0.3">
      <c r="A290" s="1">
        <v>42825</v>
      </c>
      <c r="B290" s="3">
        <f>YEAR(Tabla3[[#This Row],[Date]])</f>
        <v>2017</v>
      </c>
      <c r="C290" s="1" t="str">
        <f>+TEXT(Tabla3[[#This Row],[Date]],"mmm")</f>
        <v>mar</v>
      </c>
      <c r="D290" s="2">
        <v>1247.30004882812</v>
      </c>
      <c r="E290" s="2">
        <v>1247.30004882812</v>
      </c>
      <c r="F290" s="2">
        <v>1248.80004882812</v>
      </c>
      <c r="G290" s="2">
        <v>1238.69995117187</v>
      </c>
      <c r="H290" s="2">
        <v>1242.09997558593</v>
      </c>
      <c r="I290">
        <v>8223</v>
      </c>
      <c r="J290" s="2">
        <f ca="1">IFERROR((Tabla3[[#This Row],[Close]]-OFFSET(Tabla3[[#This Row],[Close]],-1,0))/OFFSET(Tabla3[[#This Row],[Close]],-1,0),"")</f>
        <v>1.8474287776064238E-3</v>
      </c>
      <c r="K290" s="2">
        <f ca="1">IFERROR(AVERAGE(OFFSET(Tabla3[[#This Row],[Close]],-6,0,7)),"")</f>
        <v>1250.2143031528988</v>
      </c>
      <c r="L290" s="2">
        <f ca="1">IFERROR(_xlfn.STDEV.S(OFFSET(Tabla3[[#This Row],[Close]],-29,0,30)),"")</f>
        <v>19.297861380357361</v>
      </c>
    </row>
    <row r="291" spans="1:12" x14ac:dyDescent="0.3">
      <c r="A291" s="1">
        <v>42828</v>
      </c>
      <c r="B291" s="3">
        <f>YEAR(Tabla3[[#This Row],[Date]])</f>
        <v>2017</v>
      </c>
      <c r="C291" s="1" t="str">
        <f>+TEXT(Tabla3[[#This Row],[Date]],"mmm")</f>
        <v>abr</v>
      </c>
      <c r="D291" s="2">
        <v>1250.80004882812</v>
      </c>
      <c r="E291" s="2">
        <v>1250.80004882812</v>
      </c>
      <c r="F291" s="2">
        <v>1252.40002441406</v>
      </c>
      <c r="G291" s="2">
        <v>1243.59997558593</v>
      </c>
      <c r="H291" s="2">
        <v>1247.5</v>
      </c>
      <c r="I291">
        <v>1160</v>
      </c>
      <c r="J291" s="2">
        <f ca="1">IFERROR((Tabla3[[#This Row],[Close]]-OFFSET(Tabla3[[#This Row],[Close]],-1,0))/OFFSET(Tabla3[[#This Row],[Close]],-1,0),"")</f>
        <v>2.8060609821096111E-3</v>
      </c>
      <c r="K291" s="2">
        <f ca="1">IFERROR(AVERAGE(OFFSET(Tabla3[[#This Row],[Close]],-6,0,7)),"")</f>
        <v>1250.7714494977643</v>
      </c>
      <c r="L291" s="2">
        <f ca="1">IFERROR(_xlfn.STDEV.S(OFFSET(Tabla3[[#This Row],[Close]],-29,0,30)),"")</f>
        <v>19.529586547433119</v>
      </c>
    </row>
    <row r="292" spans="1:12" x14ac:dyDescent="0.3">
      <c r="A292" s="1">
        <v>42829</v>
      </c>
      <c r="B292" s="3">
        <f>YEAR(Tabla3[[#This Row],[Date]])</f>
        <v>2017</v>
      </c>
      <c r="C292" s="1" t="str">
        <f>+TEXT(Tabla3[[#This Row],[Date]],"mmm")</f>
        <v>abr</v>
      </c>
      <c r="D292" s="2">
        <v>1255</v>
      </c>
      <c r="E292" s="2">
        <v>1255</v>
      </c>
      <c r="F292" s="2">
        <v>1260.30004882812</v>
      </c>
      <c r="G292" s="2">
        <v>1253</v>
      </c>
      <c r="H292" s="2">
        <v>1253.09997558593</v>
      </c>
      <c r="I292">
        <v>724</v>
      </c>
      <c r="J292" s="2">
        <f ca="1">IFERROR((Tabla3[[#This Row],[Close]]-OFFSET(Tabla3[[#This Row],[Close]],-1,0))/OFFSET(Tabla3[[#This Row],[Close]],-1,0),"")</f>
        <v>3.3578118067831503E-3</v>
      </c>
      <c r="K292" s="2">
        <f ca="1">IFERROR(AVERAGE(OFFSET(Tabla3[[#This Row],[Close]],-6,0,7)),"")</f>
        <v>1251.7428850446399</v>
      </c>
      <c r="L292" s="2">
        <f ca="1">IFERROR(_xlfn.STDEV.S(OFFSET(Tabla3[[#This Row],[Close]],-29,0,30)),"")</f>
        <v>19.879374034135306</v>
      </c>
    </row>
    <row r="293" spans="1:12" x14ac:dyDescent="0.3">
      <c r="A293" s="1">
        <v>42830</v>
      </c>
      <c r="B293" s="3">
        <f>YEAR(Tabla3[[#This Row],[Date]])</f>
        <v>2017</v>
      </c>
      <c r="C293" s="1" t="str">
        <f>+TEXT(Tabla3[[#This Row],[Date]],"mmm")</f>
        <v>abr</v>
      </c>
      <c r="D293" s="2">
        <v>1245.40002441406</v>
      </c>
      <c r="E293" s="2">
        <v>1245.40002441406</v>
      </c>
      <c r="F293" s="2">
        <v>1255.40002441406</v>
      </c>
      <c r="G293" s="2">
        <v>1243</v>
      </c>
      <c r="H293" s="2">
        <v>1255.40002441406</v>
      </c>
      <c r="I293">
        <v>907</v>
      </c>
      <c r="J293" s="2">
        <f ca="1">IFERROR((Tabla3[[#This Row],[Close]]-OFFSET(Tabla3[[#This Row],[Close]],-1,0))/OFFSET(Tabla3[[#This Row],[Close]],-1,0),"")</f>
        <v>-7.6493829370039845E-3</v>
      </c>
      <c r="K293" s="2">
        <f ca="1">IFERROR(AVERAGE(OFFSET(Tabla3[[#This Row],[Close]],-6,0,7)),"")</f>
        <v>1250.3143136160686</v>
      </c>
      <c r="L293" s="2">
        <f ca="1">IFERROR(_xlfn.STDEV.S(OFFSET(Tabla3[[#This Row],[Close]],-29,0,30)),"")</f>
        <v>19.957242914932976</v>
      </c>
    </row>
    <row r="294" spans="1:12" x14ac:dyDescent="0.3">
      <c r="A294" s="1">
        <v>42831</v>
      </c>
      <c r="B294" s="3">
        <f>YEAR(Tabla3[[#This Row],[Date]])</f>
        <v>2017</v>
      </c>
      <c r="C294" s="1" t="str">
        <f>+TEXT(Tabla3[[#This Row],[Date]],"mmm")</f>
        <v>abr</v>
      </c>
      <c r="D294" s="2">
        <v>1250.30004882812</v>
      </c>
      <c r="E294" s="2">
        <v>1250.30004882812</v>
      </c>
      <c r="F294" s="2">
        <v>1257.5</v>
      </c>
      <c r="G294" s="2">
        <v>1249</v>
      </c>
      <c r="H294" s="2">
        <v>1256.09997558593</v>
      </c>
      <c r="I294">
        <v>169</v>
      </c>
      <c r="J294" s="2">
        <f ca="1">IFERROR((Tabla3[[#This Row],[Close]]-OFFSET(Tabla3[[#This Row],[Close]],-1,0))/OFFSET(Tabla3[[#This Row],[Close]],-1,0),"")</f>
        <v>3.9344984085457838E-3</v>
      </c>
      <c r="K294" s="2">
        <f ca="1">IFERROR(AVERAGE(OFFSET(Tabla3[[#This Row],[Close]],-6,0,7)),"")</f>
        <v>1249.6000279017828</v>
      </c>
      <c r="L294" s="2">
        <f ca="1">IFERROR(_xlfn.STDEV.S(OFFSET(Tabla3[[#This Row],[Close]],-29,0,30)),"")</f>
        <v>19.959781974048465</v>
      </c>
    </row>
    <row r="295" spans="1:12" x14ac:dyDescent="0.3">
      <c r="A295" s="1">
        <v>42832</v>
      </c>
      <c r="B295" s="3">
        <f>YEAR(Tabla3[[#This Row],[Date]])</f>
        <v>2017</v>
      </c>
      <c r="C295" s="1" t="str">
        <f>+TEXT(Tabla3[[#This Row],[Date]],"mmm")</f>
        <v>abr</v>
      </c>
      <c r="D295" s="2">
        <v>1254.30004882812</v>
      </c>
      <c r="E295" s="2">
        <v>1254.30004882812</v>
      </c>
      <c r="F295" s="2">
        <v>1269.09997558593</v>
      </c>
      <c r="G295" s="2">
        <v>1249.5</v>
      </c>
      <c r="H295" s="2">
        <v>1249.5</v>
      </c>
      <c r="I295">
        <v>445</v>
      </c>
      <c r="J295" s="2">
        <f ca="1">IFERROR((Tabla3[[#This Row],[Close]]-OFFSET(Tabla3[[#This Row],[Close]],-1,0))/OFFSET(Tabla3[[#This Row],[Close]],-1,0),"")</f>
        <v>3.19923205933577E-3</v>
      </c>
      <c r="K295" s="2">
        <f ca="1">IFERROR(AVERAGE(OFFSET(Tabla3[[#This Row],[Close]],-6,0,7)),"")</f>
        <v>1249.728602818077</v>
      </c>
      <c r="L295" s="2">
        <f ca="1">IFERROR(_xlfn.STDEV.S(OFFSET(Tabla3[[#This Row],[Close]],-29,0,30)),"")</f>
        <v>19.86941291224117</v>
      </c>
    </row>
    <row r="296" spans="1:12" x14ac:dyDescent="0.3">
      <c r="A296" s="1">
        <v>42835</v>
      </c>
      <c r="B296" s="3">
        <f>YEAR(Tabla3[[#This Row],[Date]])</f>
        <v>2017</v>
      </c>
      <c r="C296" s="1" t="str">
        <f>+TEXT(Tabla3[[#This Row],[Date]],"mmm")</f>
        <v>abr</v>
      </c>
      <c r="D296" s="2">
        <v>1251.09997558593</v>
      </c>
      <c r="E296" s="2">
        <v>1251.09997558593</v>
      </c>
      <c r="F296" s="2">
        <v>1255.19995117187</v>
      </c>
      <c r="G296" s="2">
        <v>1246.80004882812</v>
      </c>
      <c r="H296" s="2">
        <v>1252.69995117187</v>
      </c>
      <c r="I296">
        <v>182</v>
      </c>
      <c r="J296" s="2">
        <f ca="1">IFERROR((Tabla3[[#This Row],[Close]]-OFFSET(Tabla3[[#This Row],[Close]],-1,0))/OFFSET(Tabla3[[#This Row],[Close]],-1,0),"")</f>
        <v>-2.5512820837245423E-3</v>
      </c>
      <c r="K296" s="2">
        <f ca="1">IFERROR(AVERAGE(OFFSET(Tabla3[[#This Row],[Close]],-6,0,7)),"")</f>
        <v>1250.6000279017812</v>
      </c>
      <c r="L296" s="2">
        <f ca="1">IFERROR(_xlfn.STDEV.S(OFFSET(Tabla3[[#This Row],[Close]],-29,0,30)),"")</f>
        <v>19.661996263978459</v>
      </c>
    </row>
    <row r="297" spans="1:12" x14ac:dyDescent="0.3">
      <c r="A297" s="1">
        <v>42836</v>
      </c>
      <c r="B297" s="3">
        <f>YEAR(Tabla3[[#This Row],[Date]])</f>
        <v>2017</v>
      </c>
      <c r="C297" s="1" t="str">
        <f>+TEXT(Tabla3[[#This Row],[Date]],"mmm")</f>
        <v>abr</v>
      </c>
      <c r="D297" s="2">
        <v>1271.19995117187</v>
      </c>
      <c r="E297" s="2">
        <v>1271.19995117187</v>
      </c>
      <c r="F297" s="2">
        <v>1273.5</v>
      </c>
      <c r="G297" s="2">
        <v>1254.5</v>
      </c>
      <c r="H297" s="2">
        <v>1254.5</v>
      </c>
      <c r="I297">
        <v>401</v>
      </c>
      <c r="J297" s="2">
        <f ca="1">IFERROR((Tabla3[[#This Row],[Close]]-OFFSET(Tabla3[[#This Row],[Close]],-1,0))/OFFSET(Tabla3[[#This Row],[Close]],-1,0),"")</f>
        <v>1.6065842840838153E-2</v>
      </c>
      <c r="K297" s="2">
        <f ca="1">IFERROR(AVERAGE(OFFSET(Tabla3[[#This Row],[Close]],-6,0,7)),"")</f>
        <v>1254.0142996651741</v>
      </c>
      <c r="L297" s="2">
        <f ca="1">IFERROR(_xlfn.STDEV.S(OFFSET(Tabla3[[#This Row],[Close]],-29,0,30)),"")</f>
        <v>20.502485795245072</v>
      </c>
    </row>
    <row r="298" spans="1:12" x14ac:dyDescent="0.3">
      <c r="A298" s="1">
        <v>42837</v>
      </c>
      <c r="B298" s="3">
        <f>YEAR(Tabla3[[#This Row],[Date]])</f>
        <v>2017</v>
      </c>
      <c r="C298" s="1" t="str">
        <f>+TEXT(Tabla3[[#This Row],[Date]],"mmm")</f>
        <v>abr</v>
      </c>
      <c r="D298" s="2">
        <v>1275.30004882812</v>
      </c>
      <c r="E298" s="2">
        <v>1275.30004882812</v>
      </c>
      <c r="F298" s="2">
        <v>1285.09997558593</v>
      </c>
      <c r="G298" s="2">
        <v>1272</v>
      </c>
      <c r="H298" s="2">
        <v>1275</v>
      </c>
      <c r="I298">
        <v>492</v>
      </c>
      <c r="J298" s="2">
        <f ca="1">IFERROR((Tabla3[[#This Row],[Close]]-OFFSET(Tabla3[[#This Row],[Close]],-1,0))/OFFSET(Tabla3[[#This Row],[Close]],-1,0),"")</f>
        <v>3.2253758761320583E-3</v>
      </c>
      <c r="K298" s="2">
        <f ca="1">IFERROR(AVERAGE(OFFSET(Tabla3[[#This Row],[Close]],-6,0,7)),"")</f>
        <v>1257.5142996651741</v>
      </c>
      <c r="L298" s="2">
        <f ca="1">IFERROR(_xlfn.STDEV.S(OFFSET(Tabla3[[#This Row],[Close]],-29,0,30)),"")</f>
        <v>21.616316031443596</v>
      </c>
    </row>
    <row r="299" spans="1:12" x14ac:dyDescent="0.3">
      <c r="A299" s="1">
        <v>42838</v>
      </c>
      <c r="B299" s="3">
        <f>YEAR(Tabla3[[#This Row],[Date]])</f>
        <v>2017</v>
      </c>
      <c r="C299" s="1" t="str">
        <f>+TEXT(Tabla3[[#This Row],[Date]],"mmm")</f>
        <v>abr</v>
      </c>
      <c r="D299" s="2">
        <v>1285.90002441406</v>
      </c>
      <c r="E299" s="2">
        <v>1285.90002441406</v>
      </c>
      <c r="F299" s="2">
        <v>1287.59997558593</v>
      </c>
      <c r="G299" s="2">
        <v>1282</v>
      </c>
      <c r="H299" s="2">
        <v>1285.30004882812</v>
      </c>
      <c r="I299">
        <v>915</v>
      </c>
      <c r="J299" s="2">
        <f ca="1">IFERROR((Tabla3[[#This Row],[Close]]-OFFSET(Tabla3[[#This Row],[Close]],-1,0))/OFFSET(Tabla3[[#This Row],[Close]],-1,0),"")</f>
        <v>8.3117503176451495E-3</v>
      </c>
      <c r="K299" s="2">
        <f ca="1">IFERROR(AVERAGE(OFFSET(Tabla3[[#This Row],[Close]],-6,0,7)),"")</f>
        <v>1261.9285888671827</v>
      </c>
      <c r="L299" s="2">
        <f ca="1">IFERROR(_xlfn.STDEV.S(OFFSET(Tabla3[[#This Row],[Close]],-29,0,30)),"")</f>
        <v>23.373408069344507</v>
      </c>
    </row>
    <row r="300" spans="1:12" x14ac:dyDescent="0.3">
      <c r="A300" s="1">
        <v>42842</v>
      </c>
      <c r="B300" s="3">
        <f>YEAR(Tabla3[[#This Row],[Date]])</f>
        <v>2017</v>
      </c>
      <c r="C300" s="1" t="str">
        <f>+TEXT(Tabla3[[#This Row],[Date]],"mmm")</f>
        <v>abr</v>
      </c>
      <c r="D300" s="2">
        <v>1289.40002441406</v>
      </c>
      <c r="E300" s="2">
        <v>1289.40002441406</v>
      </c>
      <c r="F300" s="2">
        <v>1294.80004882812</v>
      </c>
      <c r="G300" s="2">
        <v>1284.30004882812</v>
      </c>
      <c r="H300" s="2">
        <v>1291.80004882812</v>
      </c>
      <c r="I300">
        <v>73</v>
      </c>
      <c r="J300" s="2">
        <f ca="1">IFERROR((Tabla3[[#This Row],[Close]]-OFFSET(Tabla3[[#This Row],[Close]],-1,0))/OFFSET(Tabla3[[#This Row],[Close]],-1,0),"")</f>
        <v>2.7218290174578917E-3</v>
      </c>
      <c r="K300" s="2">
        <f ca="1">IFERROR(AVERAGE(OFFSET(Tabla3[[#This Row],[Close]],-6,0,7)),"")</f>
        <v>1268.2143031528972</v>
      </c>
      <c r="L300" s="2">
        <f ca="1">IFERROR(_xlfn.STDEV.S(OFFSET(Tabla3[[#This Row],[Close]],-29,0,30)),"")</f>
        <v>24.996207963597691</v>
      </c>
    </row>
    <row r="301" spans="1:12" x14ac:dyDescent="0.3">
      <c r="A301" s="1">
        <v>42843</v>
      </c>
      <c r="B301" s="3">
        <f>YEAR(Tabla3[[#This Row],[Date]])</f>
        <v>2017</v>
      </c>
      <c r="C301" s="1" t="str">
        <f>+TEXT(Tabla3[[#This Row],[Date]],"mmm")</f>
        <v>abr</v>
      </c>
      <c r="D301" s="2">
        <v>1291.69995117187</v>
      </c>
      <c r="E301" s="2">
        <v>1291.69995117187</v>
      </c>
      <c r="F301" s="2">
        <v>1291.69995117187</v>
      </c>
      <c r="G301" s="2">
        <v>1278.59997558593</v>
      </c>
      <c r="H301" s="2">
        <v>1283.90002441406</v>
      </c>
      <c r="I301">
        <v>394</v>
      </c>
      <c r="J301" s="2">
        <f ca="1">IFERROR((Tabla3[[#This Row],[Close]]-OFFSET(Tabla3[[#This Row],[Close]],-1,0))/OFFSET(Tabla3[[#This Row],[Close]],-1,0),"")</f>
        <v>1.7837185623252574E-3</v>
      </c>
      <c r="K301" s="2">
        <f ca="1">IFERROR(AVERAGE(OFFSET(Tabla3[[#This Row],[Close]],-6,0,7)),"")</f>
        <v>1274.1285749162901</v>
      </c>
      <c r="L301" s="2">
        <f ca="1">IFERROR(_xlfn.STDEV.S(OFFSET(Tabla3[[#This Row],[Close]],-29,0,30)),"")</f>
        <v>26.462126267674119</v>
      </c>
    </row>
    <row r="302" spans="1:12" x14ac:dyDescent="0.3">
      <c r="A302" s="1">
        <v>42844</v>
      </c>
      <c r="B302" s="3">
        <f>YEAR(Tabla3[[#This Row],[Date]])</f>
        <v>2017</v>
      </c>
      <c r="C302" s="1" t="str">
        <f>+TEXT(Tabla3[[#This Row],[Date]],"mmm")</f>
        <v>abr</v>
      </c>
      <c r="D302" s="2">
        <v>1281.40002441406</v>
      </c>
      <c r="E302" s="2">
        <v>1281.40002441406</v>
      </c>
      <c r="F302" s="2">
        <v>1288</v>
      </c>
      <c r="G302" s="2">
        <v>1274</v>
      </c>
      <c r="H302" s="2">
        <v>1288</v>
      </c>
      <c r="I302">
        <v>194</v>
      </c>
      <c r="J302" s="2">
        <f ca="1">IFERROR((Tabla3[[#This Row],[Close]]-OFFSET(Tabla3[[#This Row],[Close]],-1,0))/OFFSET(Tabla3[[#This Row],[Close]],-1,0),"")</f>
        <v>-7.9739313673160613E-3</v>
      </c>
      <c r="K302" s="2">
        <f ca="1">IFERROR(AVERAGE(OFFSET(Tabla3[[#This Row],[Close]],-6,0,7)),"")</f>
        <v>1277.9999999999959</v>
      </c>
      <c r="L302" s="2">
        <f ca="1">IFERROR(_xlfn.STDEV.S(OFFSET(Tabla3[[#This Row],[Close]],-29,0,30)),"")</f>
        <v>26.822674195582966</v>
      </c>
    </row>
    <row r="303" spans="1:12" x14ac:dyDescent="0.3">
      <c r="A303" s="1">
        <v>42845</v>
      </c>
      <c r="B303" s="3">
        <f>YEAR(Tabla3[[#This Row],[Date]])</f>
        <v>2017</v>
      </c>
      <c r="C303" s="1" t="str">
        <f>+TEXT(Tabla3[[#This Row],[Date]],"mmm")</f>
        <v>abr</v>
      </c>
      <c r="D303" s="2">
        <v>1281.90002441406</v>
      </c>
      <c r="E303" s="2">
        <v>1281.90002441406</v>
      </c>
      <c r="F303" s="2">
        <v>1281.90002441406</v>
      </c>
      <c r="G303" s="2">
        <v>1276.19995117187</v>
      </c>
      <c r="H303" s="2">
        <v>1279.69995117187</v>
      </c>
      <c r="I303">
        <v>127</v>
      </c>
      <c r="J303" s="2">
        <f ca="1">IFERROR((Tabla3[[#This Row],[Close]]-OFFSET(Tabla3[[#This Row],[Close]],-1,0))/OFFSET(Tabla3[[#This Row],[Close]],-1,0),"")</f>
        <v>3.9019821326180537E-4</v>
      </c>
      <c r="K303" s="2">
        <f ca="1">IFERROR(AVERAGE(OFFSET(Tabla3[[#This Row],[Close]],-6,0,7)),"")</f>
        <v>1282.4000069754427</v>
      </c>
      <c r="L303" s="2">
        <f ca="1">IFERROR(_xlfn.STDEV.S(OFFSET(Tabla3[[#This Row],[Close]],-29,0,30)),"")</f>
        <v>26.711411105834308</v>
      </c>
    </row>
    <row r="304" spans="1:12" x14ac:dyDescent="0.3">
      <c r="A304" s="1">
        <v>42846</v>
      </c>
      <c r="B304" s="3">
        <f>YEAR(Tabla3[[#This Row],[Date]])</f>
        <v>2017</v>
      </c>
      <c r="C304" s="1" t="str">
        <f>+TEXT(Tabla3[[#This Row],[Date]],"mmm")</f>
        <v>abr</v>
      </c>
      <c r="D304" s="2">
        <v>1287.40002441406</v>
      </c>
      <c r="E304" s="2">
        <v>1287.40002441406</v>
      </c>
      <c r="F304" s="2">
        <v>1287.40002441406</v>
      </c>
      <c r="G304" s="2">
        <v>1279.19995117187</v>
      </c>
      <c r="H304" s="2">
        <v>1279.80004882812</v>
      </c>
      <c r="I304">
        <v>474</v>
      </c>
      <c r="J304" s="2">
        <f ca="1">IFERROR((Tabla3[[#This Row],[Close]]-OFFSET(Tabla3[[#This Row],[Close]],-1,0))/OFFSET(Tabla3[[#This Row],[Close]],-1,0),"")</f>
        <v>4.2905061980274004E-3</v>
      </c>
      <c r="K304" s="2">
        <f ca="1">IFERROR(AVERAGE(OFFSET(Tabla3[[#This Row],[Close]],-6,0,7)),"")</f>
        <v>1284.7143031528988</v>
      </c>
      <c r="L304" s="2">
        <f ca="1">IFERROR(_xlfn.STDEV.S(OFFSET(Tabla3[[#This Row],[Close]],-29,0,30)),"")</f>
        <v>26.255806422871679</v>
      </c>
    </row>
    <row r="305" spans="1:12" x14ac:dyDescent="0.3">
      <c r="A305" s="1">
        <v>42849</v>
      </c>
      <c r="B305" s="3">
        <f>YEAR(Tabla3[[#This Row],[Date]])</f>
        <v>2017</v>
      </c>
      <c r="C305" s="1" t="str">
        <f>+TEXT(Tabla3[[#This Row],[Date]],"mmm")</f>
        <v>abr</v>
      </c>
      <c r="D305" s="2">
        <v>1275.80004882812</v>
      </c>
      <c r="E305" s="2">
        <v>1275.80004882812</v>
      </c>
      <c r="F305" s="2">
        <v>1276.40002441406</v>
      </c>
      <c r="G305" s="2">
        <v>1265</v>
      </c>
      <c r="H305" s="2">
        <v>1275</v>
      </c>
      <c r="I305">
        <v>605</v>
      </c>
      <c r="J305" s="2">
        <f ca="1">IFERROR((Tabla3[[#This Row],[Close]]-OFFSET(Tabla3[[#This Row],[Close]],-1,0))/OFFSET(Tabla3[[#This Row],[Close]],-1,0),"")</f>
        <v>-9.0103894407020449E-3</v>
      </c>
      <c r="K305" s="2">
        <f ca="1">IFERROR(AVERAGE(OFFSET(Tabla3[[#This Row],[Close]],-6,0,7)),"")</f>
        <v>1284.785731724327</v>
      </c>
      <c r="L305" s="2">
        <f ca="1">IFERROR(_xlfn.STDEV.S(OFFSET(Tabla3[[#This Row],[Close]],-29,0,30)),"")</f>
        <v>24.895444850313787</v>
      </c>
    </row>
    <row r="306" spans="1:12" x14ac:dyDescent="0.3">
      <c r="A306" s="1">
        <v>42850</v>
      </c>
      <c r="B306" s="3">
        <f>YEAR(Tabla3[[#This Row],[Date]])</f>
        <v>2017</v>
      </c>
      <c r="C306" s="1" t="str">
        <f>+TEXT(Tabla3[[#This Row],[Date]],"mmm")</f>
        <v>abr</v>
      </c>
      <c r="D306" s="2">
        <v>1265.59997558593</v>
      </c>
      <c r="E306" s="2">
        <v>1265.59997558593</v>
      </c>
      <c r="F306" s="2">
        <v>1276.90002441406</v>
      </c>
      <c r="G306" s="2">
        <v>1262.09997558593</v>
      </c>
      <c r="H306" s="2">
        <v>1275.59997558593</v>
      </c>
      <c r="I306">
        <v>356</v>
      </c>
      <c r="J306" s="2">
        <f ca="1">IFERROR((Tabla3[[#This Row],[Close]]-OFFSET(Tabla3[[#This Row],[Close]],-1,0))/OFFSET(Tabla3[[#This Row],[Close]],-1,0),"")</f>
        <v>-7.9950406425828482E-3</v>
      </c>
      <c r="K306" s="2">
        <f ca="1">IFERROR(AVERAGE(OFFSET(Tabla3[[#This Row],[Close]],-6,0,7)),"")</f>
        <v>1281.88572474888</v>
      </c>
      <c r="L306" s="2">
        <f ca="1">IFERROR(_xlfn.STDEV.S(OFFSET(Tabla3[[#This Row],[Close]],-29,0,30)),"")</f>
        <v>23.07930566930775</v>
      </c>
    </row>
    <row r="307" spans="1:12" x14ac:dyDescent="0.3">
      <c r="A307" s="1">
        <v>42851</v>
      </c>
      <c r="B307" s="3">
        <f>YEAR(Tabla3[[#This Row],[Date]])</f>
        <v>2017</v>
      </c>
      <c r="C307" s="1" t="str">
        <f>+TEXT(Tabla3[[#This Row],[Date]],"mmm")</f>
        <v>abr</v>
      </c>
      <c r="D307" s="2">
        <v>1262.09997558593</v>
      </c>
      <c r="E307" s="2">
        <v>1262.09997558593</v>
      </c>
      <c r="F307" s="2">
        <v>1266</v>
      </c>
      <c r="G307" s="2">
        <v>1262.09997558593</v>
      </c>
      <c r="H307" s="2">
        <v>1266</v>
      </c>
      <c r="I307">
        <v>1156</v>
      </c>
      <c r="J307" s="2">
        <f ca="1">IFERROR((Tabla3[[#This Row],[Close]]-OFFSET(Tabla3[[#This Row],[Close]],-1,0))/OFFSET(Tabla3[[#This Row],[Close]],-1,0),"")</f>
        <v>-2.7654867790113682E-3</v>
      </c>
      <c r="K307" s="2">
        <f ca="1">IFERROR(AVERAGE(OFFSET(Tabla3[[#This Row],[Close]],-6,0,7)),"")</f>
        <v>1277.9857177734327</v>
      </c>
      <c r="L307" s="2">
        <f ca="1">IFERROR(_xlfn.STDEV.S(OFFSET(Tabla3[[#This Row],[Close]],-29,0,30)),"")</f>
        <v>20.804308463820981</v>
      </c>
    </row>
    <row r="308" spans="1:12" x14ac:dyDescent="0.3">
      <c r="A308" s="1">
        <v>42852</v>
      </c>
      <c r="B308" s="3">
        <f>YEAR(Tabla3[[#This Row],[Date]])</f>
        <v>2017</v>
      </c>
      <c r="C308" s="1" t="str">
        <f>+TEXT(Tabla3[[#This Row],[Date]],"mmm")</f>
        <v>abr</v>
      </c>
      <c r="D308" s="2">
        <v>1263.69995117187</v>
      </c>
      <c r="E308" s="2">
        <v>1263.69995117187</v>
      </c>
      <c r="F308" s="2">
        <v>1267.19995117187</v>
      </c>
      <c r="G308" s="2">
        <v>1262.19995117187</v>
      </c>
      <c r="H308" s="2">
        <v>1266.69995117187</v>
      </c>
      <c r="I308">
        <v>206</v>
      </c>
      <c r="J308" s="2">
        <f ca="1">IFERROR((Tabla3[[#This Row],[Close]]-OFFSET(Tabla3[[#This Row],[Close]],-1,0))/OFFSET(Tabla3[[#This Row],[Close]],-1,0),"")</f>
        <v>1.2677090697170899E-3</v>
      </c>
      <c r="K308" s="2">
        <f ca="1">IFERROR(AVERAGE(OFFSET(Tabla3[[#This Row],[Close]],-6,0,7)),"")</f>
        <v>1273.9857177734327</v>
      </c>
      <c r="L308" s="2">
        <f ca="1">IFERROR(_xlfn.STDEV.S(OFFSET(Tabla3[[#This Row],[Close]],-29,0,30)),"")</f>
        <v>17.828533300422585</v>
      </c>
    </row>
    <row r="309" spans="1:12" x14ac:dyDescent="0.3">
      <c r="A309" s="1">
        <v>42853</v>
      </c>
      <c r="B309" s="3">
        <f>YEAR(Tabla3[[#This Row],[Date]])</f>
        <v>2017</v>
      </c>
      <c r="C309" s="1" t="str">
        <f>+TEXT(Tabla3[[#This Row],[Date]],"mmm")</f>
        <v>abr</v>
      </c>
      <c r="D309" s="2">
        <v>1266.09997558593</v>
      </c>
      <c r="E309" s="2">
        <v>1266.09997558593</v>
      </c>
      <c r="F309" s="2">
        <v>1267.19995117187</v>
      </c>
      <c r="G309" s="2">
        <v>1264.69995117187</v>
      </c>
      <c r="H309" s="2">
        <v>1265.90002441406</v>
      </c>
      <c r="I309">
        <v>85</v>
      </c>
      <c r="J309" s="2">
        <f ca="1">IFERROR((Tabla3[[#This Row],[Close]]-OFFSET(Tabla3[[#This Row],[Close]],-1,0))/OFFSET(Tabla3[[#This Row],[Close]],-1,0),"")</f>
        <v>1.8992043260224695E-3</v>
      </c>
      <c r="K309" s="2">
        <f ca="1">IFERROR(AVERAGE(OFFSET(Tabla3[[#This Row],[Close]],-6,0,7)),"")</f>
        <v>1271.7999965122715</v>
      </c>
      <c r="L309" s="2">
        <f ca="1">IFERROR(_xlfn.STDEV.S(OFFSET(Tabla3[[#This Row],[Close]],-29,0,30)),"")</f>
        <v>16.76024052725921</v>
      </c>
    </row>
    <row r="310" spans="1:12" x14ac:dyDescent="0.3">
      <c r="A310" s="1">
        <v>42856</v>
      </c>
      <c r="B310" s="3">
        <f>YEAR(Tabla3[[#This Row],[Date]])</f>
        <v>2017</v>
      </c>
      <c r="C310" s="1" t="str">
        <f>+TEXT(Tabla3[[#This Row],[Date]],"mmm")</f>
        <v>may</v>
      </c>
      <c r="D310" s="2">
        <v>1253.30004882812</v>
      </c>
      <c r="E310" s="2">
        <v>1253.30004882812</v>
      </c>
      <c r="F310" s="2">
        <v>1269.30004882812</v>
      </c>
      <c r="G310" s="2">
        <v>1253.30004882812</v>
      </c>
      <c r="H310" s="2">
        <v>1268.69995117187</v>
      </c>
      <c r="I310">
        <v>34</v>
      </c>
      <c r="J310" s="2">
        <f ca="1">IFERROR((Tabla3[[#This Row],[Close]]-OFFSET(Tabla3[[#This Row],[Close]],-1,0))/OFFSET(Tabla3[[#This Row],[Close]],-1,0),"")</f>
        <v>-1.0109728303159003E-2</v>
      </c>
      <c r="K310" s="2">
        <f ca="1">IFERROR(AVERAGE(OFFSET(Tabla3[[#This Row],[Close]],-6,0,7)),"")</f>
        <v>1267.7142857142801</v>
      </c>
      <c r="L310" s="2">
        <f ca="1">IFERROR(_xlfn.STDEV.S(OFFSET(Tabla3[[#This Row],[Close]],-29,0,30)),"")</f>
        <v>15.797945826497259</v>
      </c>
    </row>
    <row r="311" spans="1:12" x14ac:dyDescent="0.3">
      <c r="A311" s="1">
        <v>42857</v>
      </c>
      <c r="B311" s="3">
        <f>YEAR(Tabla3[[#This Row],[Date]])</f>
        <v>2017</v>
      </c>
      <c r="C311" s="1" t="str">
        <f>+TEXT(Tabla3[[#This Row],[Date]],"mmm")</f>
        <v>may</v>
      </c>
      <c r="D311" s="2">
        <v>1255.09997558593</v>
      </c>
      <c r="E311" s="2">
        <v>1255.09997558593</v>
      </c>
      <c r="F311" s="2">
        <v>1256.19995117187</v>
      </c>
      <c r="G311" s="2">
        <v>1251.19995117187</v>
      </c>
      <c r="H311" s="2">
        <v>1256.19995117187</v>
      </c>
      <c r="I311">
        <v>90</v>
      </c>
      <c r="J311" s="2">
        <f ca="1">IFERROR((Tabla3[[#This Row],[Close]]-OFFSET(Tabla3[[#This Row],[Close]],-1,0))/OFFSET(Tabla3[[#This Row],[Close]],-1,0),"")</f>
        <v>1.4361499143744504E-3</v>
      </c>
      <c r="K311" s="2">
        <f ca="1">IFERROR(AVERAGE(OFFSET(Tabla3[[#This Row],[Close]],-6,0,7)),"")</f>
        <v>1263.0999930245471</v>
      </c>
      <c r="L311" s="2">
        <f ca="1">IFERROR(_xlfn.STDEV.S(OFFSET(Tabla3[[#This Row],[Close]],-29,0,30)),"")</f>
        <v>14.964975784148601</v>
      </c>
    </row>
    <row r="312" spans="1:12" x14ac:dyDescent="0.3">
      <c r="A312" s="1">
        <v>42858</v>
      </c>
      <c r="B312" s="3">
        <f>YEAR(Tabla3[[#This Row],[Date]])</f>
        <v>2017</v>
      </c>
      <c r="C312" s="1" t="str">
        <f>+TEXT(Tabla3[[#This Row],[Date]],"mmm")</f>
        <v>may</v>
      </c>
      <c r="D312" s="2">
        <v>1246.40002441406</v>
      </c>
      <c r="E312" s="2">
        <v>1246.40002441406</v>
      </c>
      <c r="F312" s="2">
        <v>1255.80004882812</v>
      </c>
      <c r="G312" s="2">
        <v>1238.69995117187</v>
      </c>
      <c r="H312" s="2">
        <v>1255.09997558593</v>
      </c>
      <c r="I312">
        <v>195</v>
      </c>
      <c r="J312" s="2">
        <f ca="1">IFERROR((Tabla3[[#This Row],[Close]]-OFFSET(Tabla3[[#This Row],[Close]],-1,0))/OFFSET(Tabla3[[#This Row],[Close]],-1,0),"")</f>
        <v>-6.9316798192180021E-3</v>
      </c>
      <c r="K312" s="2">
        <f ca="1">IFERROR(AVERAGE(OFFSET(Tabla3[[#This Row],[Close]],-6,0,7)),"")</f>
        <v>1258.8999895368245</v>
      </c>
      <c r="L312" s="2">
        <f ca="1">IFERROR(_xlfn.STDEV.S(OFFSET(Tabla3[[#This Row],[Close]],-29,0,30)),"")</f>
        <v>14.954086008281811</v>
      </c>
    </row>
    <row r="313" spans="1:12" x14ac:dyDescent="0.3">
      <c r="A313" s="1">
        <v>42859</v>
      </c>
      <c r="B313" s="3">
        <f>YEAR(Tabla3[[#This Row],[Date]])</f>
        <v>2017</v>
      </c>
      <c r="C313" s="1" t="str">
        <f>+TEXT(Tabla3[[#This Row],[Date]],"mmm")</f>
        <v>may</v>
      </c>
      <c r="D313" s="2">
        <v>1226.5</v>
      </c>
      <c r="E313" s="2">
        <v>1226.5</v>
      </c>
      <c r="F313" s="2">
        <v>1239.80004882812</v>
      </c>
      <c r="G313" s="2">
        <v>1224.19995117187</v>
      </c>
      <c r="H313" s="2">
        <v>1239.80004882812</v>
      </c>
      <c r="I313">
        <v>72</v>
      </c>
      <c r="J313" s="2">
        <f ca="1">IFERROR((Tabla3[[#This Row],[Close]]-OFFSET(Tabla3[[#This Row],[Close]],-1,0))/OFFSET(Tabla3[[#This Row],[Close]],-1,0),"")</f>
        <v>-1.5966001303165184E-2</v>
      </c>
      <c r="K313" s="2">
        <f ca="1">IFERROR(AVERAGE(OFFSET(Tabla3[[#This Row],[Close]],-6,0,7)),"")</f>
        <v>1253.314278738834</v>
      </c>
      <c r="L313" s="2">
        <f ca="1">IFERROR(_xlfn.STDEV.S(OFFSET(Tabla3[[#This Row],[Close]],-29,0,30)),"")</f>
        <v>16.153092673460044</v>
      </c>
    </row>
    <row r="314" spans="1:12" x14ac:dyDescent="0.3">
      <c r="A314" s="1">
        <v>42860</v>
      </c>
      <c r="B314" s="3">
        <f>YEAR(Tabla3[[#This Row],[Date]])</f>
        <v>2017</v>
      </c>
      <c r="C314" s="1" t="str">
        <f>+TEXT(Tabla3[[#This Row],[Date]],"mmm")</f>
        <v>may</v>
      </c>
      <c r="D314" s="2">
        <v>1224.80004882812</v>
      </c>
      <c r="E314" s="2">
        <v>1224.80004882812</v>
      </c>
      <c r="F314" s="2">
        <v>1233.69995117187</v>
      </c>
      <c r="G314" s="2">
        <v>1224.80004882812</v>
      </c>
      <c r="H314" s="2">
        <v>1227</v>
      </c>
      <c r="I314">
        <v>16</v>
      </c>
      <c r="J314" s="2">
        <f ca="1">IFERROR((Tabla3[[#This Row],[Close]]-OFFSET(Tabla3[[#This Row],[Close]],-1,0))/OFFSET(Tabla3[[#This Row],[Close]],-1,0),"")</f>
        <v>-1.3860180773583386E-3</v>
      </c>
      <c r="K314" s="2">
        <f ca="1">IFERROR(AVERAGE(OFFSET(Tabla3[[#This Row],[Close]],-6,0,7)),"")</f>
        <v>1247.9857177734327</v>
      </c>
      <c r="L314" s="2">
        <f ca="1">IFERROR(_xlfn.STDEV.S(OFFSET(Tabla3[[#This Row],[Close]],-29,0,30)),"")</f>
        <v>17.293316425173991</v>
      </c>
    </row>
    <row r="315" spans="1:12" x14ac:dyDescent="0.3">
      <c r="A315" s="1">
        <v>42863</v>
      </c>
      <c r="B315" s="3">
        <f>YEAR(Tabla3[[#This Row],[Date]])</f>
        <v>2017</v>
      </c>
      <c r="C315" s="1" t="str">
        <f>+TEXT(Tabla3[[#This Row],[Date]],"mmm")</f>
        <v>may</v>
      </c>
      <c r="D315" s="2">
        <v>1225.30004882812</v>
      </c>
      <c r="E315" s="2">
        <v>1225.30004882812</v>
      </c>
      <c r="F315" s="2">
        <v>1234</v>
      </c>
      <c r="G315" s="2">
        <v>1224</v>
      </c>
      <c r="H315" s="2">
        <v>1224</v>
      </c>
      <c r="I315">
        <v>43</v>
      </c>
      <c r="J315" s="2">
        <f ca="1">IFERROR((Tabla3[[#This Row],[Close]]-OFFSET(Tabla3[[#This Row],[Close]],-1,0))/OFFSET(Tabla3[[#This Row],[Close]],-1,0),"")</f>
        <v>4.0822989881360343E-4</v>
      </c>
      <c r="K315" s="2">
        <f ca="1">IFERROR(AVERAGE(OFFSET(Tabla3[[#This Row],[Close]],-6,0,7)),"")</f>
        <v>1242.5000174386114</v>
      </c>
      <c r="L315" s="2">
        <f ca="1">IFERROR(_xlfn.STDEV.S(OFFSET(Tabla3[[#This Row],[Close]],-29,0,30)),"")</f>
        <v>18.329478199921887</v>
      </c>
    </row>
    <row r="316" spans="1:12" x14ac:dyDescent="0.3">
      <c r="A316" s="1">
        <v>42864</v>
      </c>
      <c r="B316" s="3">
        <f>YEAR(Tabla3[[#This Row],[Date]])</f>
        <v>2017</v>
      </c>
      <c r="C316" s="1" t="str">
        <f>+TEXT(Tabla3[[#This Row],[Date]],"mmm")</f>
        <v>may</v>
      </c>
      <c r="D316" s="2">
        <v>1214.30004882812</v>
      </c>
      <c r="E316" s="2">
        <v>1214.30004882812</v>
      </c>
      <c r="F316" s="2">
        <v>1226.19995117187</v>
      </c>
      <c r="G316" s="2">
        <v>1214</v>
      </c>
      <c r="H316" s="2">
        <v>1226.09997558593</v>
      </c>
      <c r="I316">
        <v>55</v>
      </c>
      <c r="J316" s="2">
        <f ca="1">IFERROR((Tabla3[[#This Row],[Close]]-OFFSET(Tabla3[[#This Row],[Close]],-1,0))/OFFSET(Tabla3[[#This Row],[Close]],-1,0),"")</f>
        <v>-8.9773929336903462E-3</v>
      </c>
      <c r="K316" s="2">
        <f ca="1">IFERROR(AVERAGE(OFFSET(Tabla3[[#This Row],[Close]],-6,0,7)),"")</f>
        <v>1235.1000279017812</v>
      </c>
      <c r="L316" s="2">
        <f ca="1">IFERROR(_xlfn.STDEV.S(OFFSET(Tabla3[[#This Row],[Close]],-29,0,30)),"")</f>
        <v>20.114132453860801</v>
      </c>
    </row>
    <row r="317" spans="1:12" x14ac:dyDescent="0.3">
      <c r="A317" s="1">
        <v>42865</v>
      </c>
      <c r="B317" s="3">
        <f>YEAR(Tabla3[[#This Row],[Date]])</f>
        <v>2017</v>
      </c>
      <c r="C317" s="1" t="str">
        <f>+TEXT(Tabla3[[#This Row],[Date]],"mmm")</f>
        <v>may</v>
      </c>
      <c r="D317" s="2">
        <v>1217.30004882812</v>
      </c>
      <c r="E317" s="2">
        <v>1217.30004882812</v>
      </c>
      <c r="F317" s="2">
        <v>1220.19995117187</v>
      </c>
      <c r="G317" s="2">
        <v>1217.30004882812</v>
      </c>
      <c r="H317" s="2">
        <v>1219.80004882812</v>
      </c>
      <c r="I317">
        <v>23</v>
      </c>
      <c r="J317" s="2">
        <f ca="1">IFERROR((Tabla3[[#This Row],[Close]]-OFFSET(Tabla3[[#This Row],[Close]],-1,0))/OFFSET(Tabla3[[#This Row],[Close]],-1,0),"")</f>
        <v>2.4705590705486661E-3</v>
      </c>
      <c r="K317" s="2">
        <f ca="1">IFERROR(AVERAGE(OFFSET(Tabla3[[#This Row],[Close]],-6,0,7)),"")</f>
        <v>1229.9571707589241</v>
      </c>
      <c r="L317" s="2">
        <f ca="1">IFERROR(_xlfn.STDEV.S(OFFSET(Tabla3[[#This Row],[Close]],-29,0,30)),"")</f>
        <v>21.46525302679985</v>
      </c>
    </row>
    <row r="318" spans="1:12" x14ac:dyDescent="0.3">
      <c r="A318" s="1">
        <v>42866</v>
      </c>
      <c r="B318" s="3">
        <f>YEAR(Tabla3[[#This Row],[Date]])</f>
        <v>2017</v>
      </c>
      <c r="C318" s="1" t="str">
        <f>+TEXT(Tabla3[[#This Row],[Date]],"mmm")</f>
        <v>may</v>
      </c>
      <c r="D318" s="2">
        <v>1222.69995117187</v>
      </c>
      <c r="E318" s="2">
        <v>1222.69995117187</v>
      </c>
      <c r="F318" s="2">
        <v>1222.69995117187</v>
      </c>
      <c r="G318" s="2">
        <v>1218.30004882812</v>
      </c>
      <c r="H318" s="2">
        <v>1218.5</v>
      </c>
      <c r="I318">
        <v>13</v>
      </c>
      <c r="J318" s="2">
        <f ca="1">IFERROR((Tabla3[[#This Row],[Close]]-OFFSET(Tabla3[[#This Row],[Close]],-1,0))/OFFSET(Tabla3[[#This Row],[Close]],-1,0),"")</f>
        <v>4.4359665876530776E-3</v>
      </c>
      <c r="K318" s="2">
        <f ca="1">IFERROR(AVERAGE(OFFSET(Tabla3[[#This Row],[Close]],-6,0,7)),"")</f>
        <v>1225.3285958426297</v>
      </c>
      <c r="L318" s="2">
        <f ca="1">IFERROR(_xlfn.STDEV.S(OFFSET(Tabla3[[#This Row],[Close]],-29,0,30)),"")</f>
        <v>22.361002237558999</v>
      </c>
    </row>
    <row r="319" spans="1:12" x14ac:dyDescent="0.3">
      <c r="A319" s="1">
        <v>42867</v>
      </c>
      <c r="B319" s="3">
        <f>YEAR(Tabla3[[#This Row],[Date]])</f>
        <v>2017</v>
      </c>
      <c r="C319" s="1" t="str">
        <f>+TEXT(Tabla3[[#This Row],[Date]],"mmm")</f>
        <v>may</v>
      </c>
      <c r="D319" s="2">
        <v>1226.19995117187</v>
      </c>
      <c r="E319" s="2">
        <v>1226.19995117187</v>
      </c>
      <c r="F319" s="2">
        <v>1229.5</v>
      </c>
      <c r="G319" s="2">
        <v>1226.09997558593</v>
      </c>
      <c r="H319" s="2">
        <v>1228</v>
      </c>
      <c r="I319">
        <v>29</v>
      </c>
      <c r="J319" s="2">
        <f ca="1">IFERROR((Tabla3[[#This Row],[Close]]-OFFSET(Tabla3[[#This Row],[Close]],-1,0))/OFFSET(Tabla3[[#This Row],[Close]],-1,0),"")</f>
        <v>2.8625174938835172E-3</v>
      </c>
      <c r="K319" s="2">
        <f ca="1">IFERROR(AVERAGE(OFFSET(Tabla3[[#This Row],[Close]],-6,0,7)),"")</f>
        <v>1222.4428710937457</v>
      </c>
      <c r="L319" s="2">
        <f ca="1">IFERROR(_xlfn.STDEV.S(OFFSET(Tabla3[[#This Row],[Close]],-29,0,30)),"")</f>
        <v>22.93821403022805</v>
      </c>
    </row>
    <row r="320" spans="1:12" x14ac:dyDescent="0.3">
      <c r="A320" s="1">
        <v>42870</v>
      </c>
      <c r="B320" s="3">
        <f>YEAR(Tabla3[[#This Row],[Date]])</f>
        <v>2017</v>
      </c>
      <c r="C320" s="1" t="str">
        <f>+TEXT(Tabla3[[#This Row],[Date]],"mmm")</f>
        <v>may</v>
      </c>
      <c r="D320" s="2">
        <v>1228.59997558593</v>
      </c>
      <c r="E320" s="2">
        <v>1228.59997558593</v>
      </c>
      <c r="F320" s="2">
        <v>1232.69995117187</v>
      </c>
      <c r="G320" s="2">
        <v>1227.5</v>
      </c>
      <c r="H320" s="2">
        <v>1227.5</v>
      </c>
      <c r="I320">
        <v>13</v>
      </c>
      <c r="J320" s="2">
        <f ca="1">IFERROR((Tabla3[[#This Row],[Close]]-OFFSET(Tabla3[[#This Row],[Close]],-1,0))/OFFSET(Tabla3[[#This Row],[Close]],-1,0),"")</f>
        <v>1.9572863396106924E-3</v>
      </c>
      <c r="K320" s="2">
        <f ca="1">IFERROR(AVERAGE(OFFSET(Tabla3[[#This Row],[Close]],-6,0,7)),"")</f>
        <v>1222.7428676060213</v>
      </c>
      <c r="L320" s="2">
        <f ca="1">IFERROR(_xlfn.STDEV.S(OFFSET(Tabla3[[#This Row],[Close]],-29,0,30)),"")</f>
        <v>23.416512741014852</v>
      </c>
    </row>
    <row r="321" spans="1:12" x14ac:dyDescent="0.3">
      <c r="A321" s="1">
        <v>42871</v>
      </c>
      <c r="B321" s="3">
        <f>YEAR(Tabla3[[#This Row],[Date]])</f>
        <v>2017</v>
      </c>
      <c r="C321" s="1" t="str">
        <f>+TEXT(Tabla3[[#This Row],[Date]],"mmm")</f>
        <v>may</v>
      </c>
      <c r="D321" s="2">
        <v>1235</v>
      </c>
      <c r="E321" s="2">
        <v>1235</v>
      </c>
      <c r="F321" s="2">
        <v>1237.30004882812</v>
      </c>
      <c r="G321" s="2">
        <v>1230.40002441406</v>
      </c>
      <c r="H321" s="2">
        <v>1230.40002441406</v>
      </c>
      <c r="I321">
        <v>20</v>
      </c>
      <c r="J321" s="2">
        <f ca="1">IFERROR((Tabla3[[#This Row],[Close]]-OFFSET(Tabla3[[#This Row],[Close]],-1,0))/OFFSET(Tabla3[[#This Row],[Close]],-1,0),"")</f>
        <v>5.2092011568027063E-3</v>
      </c>
      <c r="K321" s="2">
        <f ca="1">IFERROR(AVERAGE(OFFSET(Tabla3[[#This Row],[Close]],-6,0,7)),"")</f>
        <v>1224.2000034877185</v>
      </c>
      <c r="L321" s="2">
        <f ca="1">IFERROR(_xlfn.STDEV.S(OFFSET(Tabla3[[#This Row],[Close]],-29,0,30)),"")</f>
        <v>23.686403994273487</v>
      </c>
    </row>
    <row r="322" spans="1:12" x14ac:dyDescent="0.3">
      <c r="A322" s="1">
        <v>42872</v>
      </c>
      <c r="B322" s="3">
        <f>YEAR(Tabla3[[#This Row],[Date]])</f>
        <v>2017</v>
      </c>
      <c r="C322" s="1" t="str">
        <f>+TEXT(Tabla3[[#This Row],[Date]],"mmm")</f>
        <v>may</v>
      </c>
      <c r="D322" s="2">
        <v>1257.5</v>
      </c>
      <c r="E322" s="2">
        <v>1257.5</v>
      </c>
      <c r="F322" s="2">
        <v>1259.19995117187</v>
      </c>
      <c r="G322" s="2">
        <v>1240.69995117187</v>
      </c>
      <c r="H322" s="2">
        <v>1241</v>
      </c>
      <c r="I322">
        <v>26</v>
      </c>
      <c r="J322" s="2">
        <f ca="1">IFERROR((Tabla3[[#This Row],[Close]]-OFFSET(Tabla3[[#This Row],[Close]],-1,0))/OFFSET(Tabla3[[#This Row],[Close]],-1,0),"")</f>
        <v>1.8218623481781375E-2</v>
      </c>
      <c r="K322" s="2">
        <f ca="1">IFERROR(AVERAGE(OFFSET(Tabla3[[#This Row],[Close]],-6,0,7)),"")</f>
        <v>1228.7999965122729</v>
      </c>
      <c r="L322" s="2">
        <f ca="1">IFERROR(_xlfn.STDEV.S(OFFSET(Tabla3[[#This Row],[Close]],-29,0,30)),"")</f>
        <v>23.693336219135571</v>
      </c>
    </row>
    <row r="323" spans="1:12" x14ac:dyDescent="0.3">
      <c r="A323" s="1">
        <v>42873</v>
      </c>
      <c r="B323" s="3">
        <f>YEAR(Tabla3[[#This Row],[Date]])</f>
        <v>2017</v>
      </c>
      <c r="C323" s="1" t="str">
        <f>+TEXT(Tabla3[[#This Row],[Date]],"mmm")</f>
        <v>may</v>
      </c>
      <c r="D323" s="2">
        <v>1251.69995117187</v>
      </c>
      <c r="E323" s="2">
        <v>1251.69995117187</v>
      </c>
      <c r="F323" s="2">
        <v>1260</v>
      </c>
      <c r="G323" s="2">
        <v>1245.80004882812</v>
      </c>
      <c r="H323" s="2">
        <v>1254.80004882812</v>
      </c>
      <c r="I323">
        <v>43</v>
      </c>
      <c r="J323" s="2">
        <f ca="1">IFERROR((Tabla3[[#This Row],[Close]]-OFFSET(Tabla3[[#This Row],[Close]],-1,0))/OFFSET(Tabla3[[#This Row],[Close]],-1,0),"")</f>
        <v>-4.6123648732644155E-3</v>
      </c>
      <c r="K323" s="2">
        <f ca="1">IFERROR(AVERAGE(OFFSET(Tabla3[[#This Row],[Close]],-6,0,7)),"")</f>
        <v>1234.1428397042371</v>
      </c>
      <c r="L323" s="2">
        <f ca="1">IFERROR(_xlfn.STDEV.S(OFFSET(Tabla3[[#This Row],[Close]],-29,0,30)),"")</f>
        <v>23.638795475357878</v>
      </c>
    </row>
    <row r="324" spans="1:12" x14ac:dyDescent="0.3">
      <c r="A324" s="1">
        <v>42874</v>
      </c>
      <c r="B324" s="3">
        <f>YEAR(Tabla3[[#This Row],[Date]])</f>
        <v>2017</v>
      </c>
      <c r="C324" s="1" t="str">
        <f>+TEXT(Tabla3[[#This Row],[Date]],"mmm")</f>
        <v>may</v>
      </c>
      <c r="D324" s="2">
        <v>1252.69995117187</v>
      </c>
      <c r="E324" s="2">
        <v>1252.69995117187</v>
      </c>
      <c r="F324" s="2">
        <v>1252.69995117187</v>
      </c>
      <c r="G324" s="2">
        <v>1252.69995117187</v>
      </c>
      <c r="H324" s="2">
        <v>1252.69995117187</v>
      </c>
      <c r="I324">
        <v>14</v>
      </c>
      <c r="J324" s="2">
        <f ca="1">IFERROR((Tabla3[[#This Row],[Close]]-OFFSET(Tabla3[[#This Row],[Close]],-1,0))/OFFSET(Tabla3[[#This Row],[Close]],-1,0),"")</f>
        <v>7.989135088355458E-4</v>
      </c>
      <c r="K324" s="2">
        <f ca="1">IFERROR(AVERAGE(OFFSET(Tabla3[[#This Row],[Close]],-6,0,7)),"")</f>
        <v>1239.1999686104871</v>
      </c>
      <c r="L324" s="2">
        <f ca="1">IFERROR(_xlfn.STDEV.S(OFFSET(Tabla3[[#This Row],[Close]],-29,0,30)),"")</f>
        <v>23.627811995578753</v>
      </c>
    </row>
    <row r="325" spans="1:12" x14ac:dyDescent="0.3">
      <c r="A325" s="1">
        <v>42877</v>
      </c>
      <c r="B325" s="3">
        <f>YEAR(Tabla3[[#This Row],[Date]])</f>
        <v>2017</v>
      </c>
      <c r="C325" s="1" t="str">
        <f>+TEXT(Tabla3[[#This Row],[Date]],"mmm")</f>
        <v>may</v>
      </c>
      <c r="D325" s="2">
        <v>1260.69995117187</v>
      </c>
      <c r="E325" s="2">
        <v>1260.69995117187</v>
      </c>
      <c r="F325" s="2">
        <v>1260.69995117187</v>
      </c>
      <c r="G325" s="2">
        <v>1251.69995117187</v>
      </c>
      <c r="H325" s="2">
        <v>1251.69995117187</v>
      </c>
      <c r="I325">
        <v>14</v>
      </c>
      <c r="J325" s="2">
        <f ca="1">IFERROR((Tabla3[[#This Row],[Close]]-OFFSET(Tabla3[[#This Row],[Close]],-1,0))/OFFSET(Tabla3[[#This Row],[Close]],-1,0),"")</f>
        <v>6.3862060444052834E-3</v>
      </c>
      <c r="K325" s="2">
        <f ca="1">IFERROR(AVERAGE(OFFSET(Tabla3[[#This Row],[Close]],-6,0,7)),"")</f>
        <v>1244.6285400390584</v>
      </c>
      <c r="L325" s="2">
        <f ca="1">IFERROR(_xlfn.STDEV.S(OFFSET(Tabla3[[#This Row],[Close]],-29,0,30)),"")</f>
        <v>23.653172342450585</v>
      </c>
    </row>
    <row r="326" spans="1:12" x14ac:dyDescent="0.3">
      <c r="A326" s="1">
        <v>42878</v>
      </c>
      <c r="B326" s="3">
        <f>YEAR(Tabla3[[#This Row],[Date]])</f>
        <v>2017</v>
      </c>
      <c r="C326" s="1" t="str">
        <f>+TEXT(Tabla3[[#This Row],[Date]],"mmm")</f>
        <v>may</v>
      </c>
      <c r="D326" s="2">
        <v>1254.80004882812</v>
      </c>
      <c r="E326" s="2">
        <v>1254.80004882812</v>
      </c>
      <c r="F326" s="2">
        <v>1261.59997558593</v>
      </c>
      <c r="G326" s="2">
        <v>1250.59997558593</v>
      </c>
      <c r="H326" s="2">
        <v>1261.5</v>
      </c>
      <c r="I326">
        <v>20</v>
      </c>
      <c r="J326" s="2">
        <f ca="1">IFERROR((Tabla3[[#This Row],[Close]]-OFFSET(Tabla3[[#This Row],[Close]],-1,0))/OFFSET(Tabla3[[#This Row],[Close]],-1,0),"")</f>
        <v>-4.6798624353604594E-3</v>
      </c>
      <c r="K326" s="2">
        <f ca="1">IFERROR(AVERAGE(OFFSET(Tabla3[[#This Row],[Close]],-6,0,7)),"")</f>
        <v>1248.7142682756655</v>
      </c>
      <c r="L326" s="2">
        <f ca="1">IFERROR(_xlfn.STDEV.S(OFFSET(Tabla3[[#This Row],[Close]],-29,0,30)),"")</f>
        <v>23.64237265704794</v>
      </c>
    </row>
    <row r="327" spans="1:12" x14ac:dyDescent="0.3">
      <c r="A327" s="1">
        <v>42879</v>
      </c>
      <c r="B327" s="3">
        <f>YEAR(Tabla3[[#This Row],[Date]])</f>
        <v>2017</v>
      </c>
      <c r="C327" s="1" t="str">
        <f>+TEXT(Tabla3[[#This Row],[Date]],"mmm")</f>
        <v>may</v>
      </c>
      <c r="D327" s="2">
        <v>1252.40002441406</v>
      </c>
      <c r="E327" s="2">
        <v>1252.40002441406</v>
      </c>
      <c r="F327" s="2">
        <v>1257.80004882812</v>
      </c>
      <c r="G327" s="2">
        <v>1249.69995117187</v>
      </c>
      <c r="H327" s="2">
        <v>1251.90002441406</v>
      </c>
      <c r="I327">
        <v>14</v>
      </c>
      <c r="J327" s="2">
        <f ca="1">IFERROR((Tabla3[[#This Row],[Close]]-OFFSET(Tabla3[[#This Row],[Close]],-1,0))/OFFSET(Tabla3[[#This Row],[Close]],-1,0),"")</f>
        <v>-1.9126747853583717E-3</v>
      </c>
      <c r="K327" s="2">
        <f ca="1">IFERROR(AVERAGE(OFFSET(Tabla3[[#This Row],[Close]],-6,0,7)),"")</f>
        <v>1252.114275251113</v>
      </c>
      <c r="L327" s="2">
        <f ca="1">IFERROR(_xlfn.STDEV.S(OFFSET(Tabla3[[#This Row],[Close]],-29,0,30)),"")</f>
        <v>23.446882989889758</v>
      </c>
    </row>
    <row r="328" spans="1:12" x14ac:dyDescent="0.3">
      <c r="A328" s="1">
        <v>42880</v>
      </c>
      <c r="B328" s="3">
        <f>YEAR(Tabla3[[#This Row],[Date]])</f>
        <v>2017</v>
      </c>
      <c r="C328" s="1" t="str">
        <f>+TEXT(Tabla3[[#This Row],[Date]],"mmm")</f>
        <v>may</v>
      </c>
      <c r="D328" s="2">
        <v>1255.80004882812</v>
      </c>
      <c r="E328" s="2">
        <v>1255.80004882812</v>
      </c>
      <c r="F328" s="2">
        <v>1258.30004882812</v>
      </c>
      <c r="G328" s="2">
        <v>1255.80004882812</v>
      </c>
      <c r="H328" s="2">
        <v>1257.09997558593</v>
      </c>
      <c r="I328">
        <v>11</v>
      </c>
      <c r="J328" s="2">
        <f ca="1">IFERROR((Tabla3[[#This Row],[Close]]-OFFSET(Tabla3[[#This Row],[Close]],-1,0))/OFFSET(Tabla3[[#This Row],[Close]],-1,0),"")</f>
        <v>2.7148070486909428E-3</v>
      </c>
      <c r="K328" s="2">
        <f ca="1">IFERROR(AVERAGE(OFFSET(Tabla3[[#This Row],[Close]],-6,0,7)),"")</f>
        <v>1255.0857107979871</v>
      </c>
      <c r="L328" s="2">
        <f ca="1">IFERROR(_xlfn.STDEV.S(OFFSET(Tabla3[[#This Row],[Close]],-29,0,30)),"")</f>
        <v>23.115069393528977</v>
      </c>
    </row>
    <row r="329" spans="1:12" x14ac:dyDescent="0.3">
      <c r="A329" s="1">
        <v>42881</v>
      </c>
      <c r="B329" s="3">
        <f>YEAR(Tabla3[[#This Row],[Date]])</f>
        <v>2017</v>
      </c>
      <c r="C329" s="1" t="str">
        <f>+TEXT(Tabla3[[#This Row],[Date]],"mmm")</f>
        <v>may</v>
      </c>
      <c r="D329" s="2">
        <v>1267.59997558593</v>
      </c>
      <c r="E329" s="2">
        <v>1267.59997558593</v>
      </c>
      <c r="F329" s="2">
        <v>1267.59997558593</v>
      </c>
      <c r="G329" s="2">
        <v>1267.59997558593</v>
      </c>
      <c r="H329" s="2">
        <v>1267.59997558593</v>
      </c>
      <c r="I329">
        <v>271457</v>
      </c>
      <c r="J329" s="2">
        <f ca="1">IFERROR((Tabla3[[#This Row],[Close]]-OFFSET(Tabla3[[#This Row],[Close]],-1,0))/OFFSET(Tabla3[[#This Row],[Close]],-1,0),"")</f>
        <v>9.396342012266511E-3</v>
      </c>
      <c r="K329" s="2">
        <f ca="1">IFERROR(AVERAGE(OFFSET(Tabla3[[#This Row],[Close]],-6,0,7)),"")</f>
        <v>1256.52856445312</v>
      </c>
      <c r="L329" s="2">
        <f ca="1">IFERROR(_xlfn.STDEV.S(OFFSET(Tabla3[[#This Row],[Close]],-29,0,30)),"")</f>
        <v>22.469468458283913</v>
      </c>
    </row>
    <row r="330" spans="1:12" x14ac:dyDescent="0.3">
      <c r="A330" s="1">
        <v>42885</v>
      </c>
      <c r="B330" s="3">
        <f>YEAR(Tabla3[[#This Row],[Date]])</f>
        <v>2017</v>
      </c>
      <c r="C330" s="1" t="str">
        <f>+TEXT(Tabla3[[#This Row],[Date]],"mmm")</f>
        <v>may</v>
      </c>
      <c r="D330" s="2">
        <v>1262.09997558593</v>
      </c>
      <c r="E330" s="2">
        <v>1262.09997558593</v>
      </c>
      <c r="F330" s="2">
        <v>1270</v>
      </c>
      <c r="G330" s="2">
        <v>1258.40002441406</v>
      </c>
      <c r="H330" s="2">
        <v>1267.40002441406</v>
      </c>
      <c r="I330">
        <v>129819</v>
      </c>
      <c r="J330" s="2">
        <f ca="1">IFERROR((Tabla3[[#This Row],[Close]]-OFFSET(Tabla3[[#This Row],[Close]],-1,0))/OFFSET(Tabla3[[#This Row],[Close]],-1,0),"")</f>
        <v>-4.3389082564929075E-3</v>
      </c>
      <c r="K330" s="2">
        <f ca="1">IFERROR(AVERAGE(OFFSET(Tabla3[[#This Row],[Close]],-6,0,7)),"")</f>
        <v>1258.0142822265573</v>
      </c>
      <c r="L330" s="2">
        <f ca="1">IFERROR(_xlfn.STDEV.S(OFFSET(Tabla3[[#This Row],[Close]],-29,0,30)),"")</f>
        <v>21.480828791744244</v>
      </c>
    </row>
    <row r="331" spans="1:12" x14ac:dyDescent="0.3">
      <c r="A331" s="1">
        <v>42886</v>
      </c>
      <c r="B331" s="3">
        <f>YEAR(Tabla3[[#This Row],[Date]])</f>
        <v>2017</v>
      </c>
      <c r="C331" s="1" t="str">
        <f>+TEXT(Tabla3[[#This Row],[Date]],"mmm")</f>
        <v>may</v>
      </c>
      <c r="D331" s="2">
        <v>1272</v>
      </c>
      <c r="E331" s="2">
        <v>1272</v>
      </c>
      <c r="F331" s="2">
        <v>1273.19995117187</v>
      </c>
      <c r="G331" s="2">
        <v>1258.5</v>
      </c>
      <c r="H331" s="2">
        <v>1262.40002441406</v>
      </c>
      <c r="I331">
        <v>2712</v>
      </c>
      <c r="J331" s="2">
        <f ca="1">IFERROR((Tabla3[[#This Row],[Close]]-OFFSET(Tabla3[[#This Row],[Close]],-1,0))/OFFSET(Tabla3[[#This Row],[Close]],-1,0),"")</f>
        <v>7.8440889038714351E-3</v>
      </c>
      <c r="K331" s="2">
        <f ca="1">IFERROR(AVERAGE(OFFSET(Tabla3[[#This Row],[Close]],-6,0,7)),"")</f>
        <v>1260.7714320591472</v>
      </c>
      <c r="L331" s="2">
        <f ca="1">IFERROR(_xlfn.STDEV.S(OFFSET(Tabla3[[#This Row],[Close]],-29,0,30)),"")</f>
        <v>20.511450473332836</v>
      </c>
    </row>
    <row r="332" spans="1:12" x14ac:dyDescent="0.3">
      <c r="A332" s="1">
        <v>42887</v>
      </c>
      <c r="B332" s="3">
        <f>YEAR(Tabla3[[#This Row],[Date]])</f>
        <v>2017</v>
      </c>
      <c r="C332" s="1" t="str">
        <f>+TEXT(Tabla3[[#This Row],[Date]],"mmm")</f>
        <v>jun</v>
      </c>
      <c r="D332" s="2">
        <v>1267</v>
      </c>
      <c r="E332" s="2">
        <v>1267</v>
      </c>
      <c r="F332" s="2">
        <v>1269.19995117187</v>
      </c>
      <c r="G332" s="2">
        <v>1260.80004882812</v>
      </c>
      <c r="H332" s="2">
        <v>1268</v>
      </c>
      <c r="I332">
        <v>825</v>
      </c>
      <c r="J332" s="2">
        <f ca="1">IFERROR((Tabla3[[#This Row],[Close]]-OFFSET(Tabla3[[#This Row],[Close]],-1,0))/OFFSET(Tabla3[[#This Row],[Close]],-1,0),"")</f>
        <v>-3.9308176100628931E-3</v>
      </c>
      <c r="K332" s="2">
        <f ca="1">IFERROR(AVERAGE(OFFSET(Tabla3[[#This Row],[Close]],-6,0,7)),"")</f>
        <v>1261.6714390345944</v>
      </c>
      <c r="L332" s="2">
        <f ca="1">IFERROR(_xlfn.STDEV.S(OFFSET(Tabla3[[#This Row],[Close]],-29,0,30)),"")</f>
        <v>19.949870781264458</v>
      </c>
    </row>
    <row r="333" spans="1:12" x14ac:dyDescent="0.3">
      <c r="A333" s="1">
        <v>42888</v>
      </c>
      <c r="B333" s="3">
        <f>YEAR(Tabla3[[#This Row],[Date]])</f>
        <v>2017</v>
      </c>
      <c r="C333" s="1" t="str">
        <f>+TEXT(Tabla3[[#This Row],[Date]],"mmm")</f>
        <v>jun</v>
      </c>
      <c r="D333" s="2">
        <v>1276.80004882812</v>
      </c>
      <c r="E333" s="2">
        <v>1276.80004882812</v>
      </c>
      <c r="F333" s="2">
        <v>1279</v>
      </c>
      <c r="G333" s="2">
        <v>1259</v>
      </c>
      <c r="H333" s="2">
        <v>1265.19995117187</v>
      </c>
      <c r="I333">
        <v>1732</v>
      </c>
      <c r="J333" s="2">
        <f ca="1">IFERROR((Tabla3[[#This Row],[Close]]-OFFSET(Tabla3[[#This Row],[Close]],-1,0))/OFFSET(Tabla3[[#This Row],[Close]],-1,0),"")</f>
        <v>7.7348451682083645E-3</v>
      </c>
      <c r="K333" s="2">
        <f ca="1">IFERROR(AVERAGE(OFFSET(Tabla3[[#This Row],[Close]],-6,0,7)),"")</f>
        <v>1264.8142961774515</v>
      </c>
      <c r="L333" s="2">
        <f ca="1">IFERROR(_xlfn.STDEV.S(OFFSET(Tabla3[[#This Row],[Close]],-29,0,30)),"")</f>
        <v>19.698330933079518</v>
      </c>
    </row>
    <row r="334" spans="1:12" x14ac:dyDescent="0.3">
      <c r="A334" s="1">
        <v>42891</v>
      </c>
      <c r="B334" s="3">
        <f>YEAR(Tabla3[[#This Row],[Date]])</f>
        <v>2017</v>
      </c>
      <c r="C334" s="1" t="str">
        <f>+TEXT(Tabla3[[#This Row],[Date]],"mmm")</f>
        <v>jun</v>
      </c>
      <c r="D334" s="2">
        <v>1279.30004882812</v>
      </c>
      <c r="E334" s="2">
        <v>1279.30004882812</v>
      </c>
      <c r="F334" s="2">
        <v>1282</v>
      </c>
      <c r="G334" s="2">
        <v>1277</v>
      </c>
      <c r="H334" s="2">
        <v>1279.19995117187</v>
      </c>
      <c r="I334">
        <v>433</v>
      </c>
      <c r="J334" s="2">
        <f ca="1">IFERROR((Tabla3[[#This Row],[Close]]-OFFSET(Tabla3[[#This Row],[Close]],-1,0))/OFFSET(Tabla3[[#This Row],[Close]],-1,0),"")</f>
        <v>1.9580199752455871E-3</v>
      </c>
      <c r="K334" s="2">
        <f ca="1">IFERROR(AVERAGE(OFFSET(Tabla3[[#This Row],[Close]],-6,0,7)),"")</f>
        <v>1268.6571568080312</v>
      </c>
      <c r="L334" s="2">
        <f ca="1">IFERROR(_xlfn.STDEV.S(OFFSET(Tabla3[[#This Row],[Close]],-29,0,30)),"")</f>
        <v>19.230892025860957</v>
      </c>
    </row>
    <row r="335" spans="1:12" x14ac:dyDescent="0.3">
      <c r="A335" s="1">
        <v>42892</v>
      </c>
      <c r="B335" s="3">
        <f>YEAR(Tabla3[[#This Row],[Date]])</f>
        <v>2017</v>
      </c>
      <c r="C335" s="1" t="str">
        <f>+TEXT(Tabla3[[#This Row],[Date]],"mmm")</f>
        <v>jun</v>
      </c>
      <c r="D335" s="2">
        <v>1294.40002441406</v>
      </c>
      <c r="E335" s="2">
        <v>1294.40002441406</v>
      </c>
      <c r="F335" s="2">
        <v>1295.19995117187</v>
      </c>
      <c r="G335" s="2">
        <v>1279.40002441406</v>
      </c>
      <c r="H335" s="2">
        <v>1279.40002441406</v>
      </c>
      <c r="I335">
        <v>942</v>
      </c>
      <c r="J335" s="2">
        <f ca="1">IFERROR((Tabla3[[#This Row],[Close]]-OFFSET(Tabla3[[#This Row],[Close]],-1,0))/OFFSET(Tabla3[[#This Row],[Close]],-1,0),"")</f>
        <v>1.1803310411636476E-2</v>
      </c>
      <c r="K335" s="2">
        <f ca="1">IFERROR(AVERAGE(OFFSET(Tabla3[[#This Row],[Close]],-6,0,7)),"")</f>
        <v>1274.1714390345944</v>
      </c>
      <c r="L335" s="2">
        <f ca="1">IFERROR(_xlfn.STDEV.S(OFFSET(Tabla3[[#This Row],[Close]],-29,0,30)),"")</f>
        <v>20.337979296718274</v>
      </c>
    </row>
    <row r="336" spans="1:12" x14ac:dyDescent="0.3">
      <c r="A336" s="1">
        <v>42893</v>
      </c>
      <c r="B336" s="3">
        <f>YEAR(Tabla3[[#This Row],[Date]])</f>
        <v>2017</v>
      </c>
      <c r="C336" s="1" t="str">
        <f>+TEXT(Tabla3[[#This Row],[Date]],"mmm")</f>
        <v>jun</v>
      </c>
      <c r="D336" s="2">
        <v>1290.09997558593</v>
      </c>
      <c r="E336" s="2">
        <v>1290.09997558593</v>
      </c>
      <c r="F336" s="2">
        <v>1293.09997558593</v>
      </c>
      <c r="G336" s="2">
        <v>1284.30004882812</v>
      </c>
      <c r="H336" s="2">
        <v>1291.59997558593</v>
      </c>
      <c r="I336">
        <v>641</v>
      </c>
      <c r="J336" s="2">
        <f ca="1">IFERROR((Tabla3[[#This Row],[Close]]-OFFSET(Tabla3[[#This Row],[Close]],-1,0))/OFFSET(Tabla3[[#This Row],[Close]],-1,0),"")</f>
        <v>-3.3220401321272519E-3</v>
      </c>
      <c r="K336" s="2">
        <f ca="1">IFERROR(AVERAGE(OFFSET(Tabla3[[#This Row],[Close]],-6,0,7)),"")</f>
        <v>1277.3857247488797</v>
      </c>
      <c r="L336" s="2">
        <f ca="1">IFERROR(_xlfn.STDEV.S(OFFSET(Tabla3[[#This Row],[Close]],-29,0,30)),"")</f>
        <v>21.397928553438213</v>
      </c>
    </row>
    <row r="337" spans="1:12" x14ac:dyDescent="0.3">
      <c r="A337" s="1">
        <v>42894</v>
      </c>
      <c r="B337" s="3">
        <f>YEAR(Tabla3[[#This Row],[Date]])</f>
        <v>2017</v>
      </c>
      <c r="C337" s="1" t="str">
        <f>+TEXT(Tabla3[[#This Row],[Date]],"mmm")</f>
        <v>jun</v>
      </c>
      <c r="D337" s="2">
        <v>1276.30004882812</v>
      </c>
      <c r="E337" s="2">
        <v>1276.30004882812</v>
      </c>
      <c r="F337" s="2">
        <v>1287.59997558593</v>
      </c>
      <c r="G337" s="2">
        <v>1268.09997558593</v>
      </c>
      <c r="H337" s="2">
        <v>1285.40002441406</v>
      </c>
      <c r="I337">
        <v>319</v>
      </c>
      <c r="J337" s="2">
        <f ca="1">IFERROR((Tabla3[[#This Row],[Close]]-OFFSET(Tabla3[[#This Row],[Close]],-1,0))/OFFSET(Tabla3[[#This Row],[Close]],-1,0),"")</f>
        <v>-1.0696788635735328E-2</v>
      </c>
      <c r="K337" s="2">
        <f ca="1">IFERROR(AVERAGE(OFFSET(Tabla3[[#This Row],[Close]],-6,0,7)),"")</f>
        <v>1279.4143066406214</v>
      </c>
      <c r="L337" s="2">
        <f ca="1">IFERROR(_xlfn.STDEV.S(OFFSET(Tabla3[[#This Row],[Close]],-29,0,30)),"")</f>
        <v>21.780925788340475</v>
      </c>
    </row>
    <row r="338" spans="1:12" x14ac:dyDescent="0.3">
      <c r="A338" s="1">
        <v>42895</v>
      </c>
      <c r="B338" s="3">
        <f>YEAR(Tabla3[[#This Row],[Date]])</f>
        <v>2017</v>
      </c>
      <c r="C338" s="1" t="str">
        <f>+TEXT(Tabla3[[#This Row],[Date]],"mmm")</f>
        <v>jun</v>
      </c>
      <c r="D338" s="2">
        <v>1268.5</v>
      </c>
      <c r="E338" s="2">
        <v>1268.5</v>
      </c>
      <c r="F338" s="2">
        <v>1277.90002441406</v>
      </c>
      <c r="G338" s="2">
        <v>1264.59997558593</v>
      </c>
      <c r="H338" s="2">
        <v>1277.90002441406</v>
      </c>
      <c r="I338">
        <v>467</v>
      </c>
      <c r="J338" s="2">
        <f ca="1">IFERROR((Tabla3[[#This Row],[Close]]-OFFSET(Tabla3[[#This Row],[Close]],-1,0))/OFFSET(Tabla3[[#This Row],[Close]],-1,0),"")</f>
        <v>-6.1114538350773304E-3</v>
      </c>
      <c r="K338" s="2">
        <f ca="1">IFERROR(AVERAGE(OFFSET(Tabla3[[#This Row],[Close]],-6,0,7)),"")</f>
        <v>1278.9143066406214</v>
      </c>
      <c r="L338" s="2">
        <f ca="1">IFERROR(_xlfn.STDEV.S(OFFSET(Tabla3[[#This Row],[Close]],-29,0,30)),"")</f>
        <v>21.883048195834803</v>
      </c>
    </row>
    <row r="339" spans="1:12" x14ac:dyDescent="0.3">
      <c r="A339" s="1">
        <v>42898</v>
      </c>
      <c r="B339" s="3">
        <f>YEAR(Tabla3[[#This Row],[Date]])</f>
        <v>2017</v>
      </c>
      <c r="C339" s="1" t="str">
        <f>+TEXT(Tabla3[[#This Row],[Date]],"mmm")</f>
        <v>jun</v>
      </c>
      <c r="D339" s="2">
        <v>1266.09997558593</v>
      </c>
      <c r="E339" s="2">
        <v>1266.09997558593</v>
      </c>
      <c r="F339" s="2">
        <v>1269.30004882812</v>
      </c>
      <c r="G339" s="2">
        <v>1263.19995117187</v>
      </c>
      <c r="H339" s="2">
        <v>1266.40002441406</v>
      </c>
      <c r="I339">
        <v>255</v>
      </c>
      <c r="J339" s="2">
        <f ca="1">IFERROR((Tabla3[[#This Row],[Close]]-OFFSET(Tabla3[[#This Row],[Close]],-1,0))/OFFSET(Tabla3[[#This Row],[Close]],-1,0),"")</f>
        <v>-1.8920176697437945E-3</v>
      </c>
      <c r="K339" s="2">
        <f ca="1">IFERROR(AVERAGE(OFFSET(Tabla3[[#This Row],[Close]],-6,0,7)),"")</f>
        <v>1278.7857317243256</v>
      </c>
      <c r="L339" s="2">
        <f ca="1">IFERROR(_xlfn.STDEV.S(OFFSET(Tabla3[[#This Row],[Close]],-29,0,30)),"")</f>
        <v>21.883048195834803</v>
      </c>
    </row>
    <row r="340" spans="1:12" x14ac:dyDescent="0.3">
      <c r="A340" s="1">
        <v>42899</v>
      </c>
      <c r="B340" s="3">
        <f>YEAR(Tabla3[[#This Row],[Date]])</f>
        <v>2017</v>
      </c>
      <c r="C340" s="1" t="str">
        <f>+TEXT(Tabla3[[#This Row],[Date]],"mmm")</f>
        <v>jun</v>
      </c>
      <c r="D340" s="2">
        <v>1265.80004882812</v>
      </c>
      <c r="E340" s="2">
        <v>1265.80004882812</v>
      </c>
      <c r="F340" s="2">
        <v>1266.90002441406</v>
      </c>
      <c r="G340" s="2">
        <v>1259.69995117187</v>
      </c>
      <c r="H340" s="2">
        <v>1264.09997558593</v>
      </c>
      <c r="I340">
        <v>150</v>
      </c>
      <c r="J340" s="2">
        <f ca="1">IFERROR((Tabla3[[#This Row],[Close]]-OFFSET(Tabla3[[#This Row],[Close]],-1,0))/OFFSET(Tabla3[[#This Row],[Close]],-1,0),"")</f>
        <v>-2.3689026427095363E-4</v>
      </c>
      <c r="K340" s="2">
        <f ca="1">IFERROR(AVERAGE(OFFSET(Tabla3[[#This Row],[Close]],-6,0,7)),"")</f>
        <v>1277.2143031528972</v>
      </c>
      <c r="L340" s="2">
        <f ca="1">IFERROR(_xlfn.STDEV.S(OFFSET(Tabla3[[#This Row],[Close]],-29,0,30)),"")</f>
        <v>22.013286659346285</v>
      </c>
    </row>
    <row r="341" spans="1:12" x14ac:dyDescent="0.3">
      <c r="A341" s="1">
        <v>42900</v>
      </c>
      <c r="B341" s="3">
        <f>YEAR(Tabla3[[#This Row],[Date]])</f>
        <v>2017</v>
      </c>
      <c r="C341" s="1" t="str">
        <f>+TEXT(Tabla3[[#This Row],[Date]],"mmm")</f>
        <v>jun</v>
      </c>
      <c r="D341" s="2">
        <v>1272.80004882812</v>
      </c>
      <c r="E341" s="2">
        <v>1272.80004882812</v>
      </c>
      <c r="F341" s="2">
        <v>1278</v>
      </c>
      <c r="G341" s="2">
        <v>1256.80004882812</v>
      </c>
      <c r="H341" s="2">
        <v>1269.40002441406</v>
      </c>
      <c r="I341">
        <v>336</v>
      </c>
      <c r="J341" s="2">
        <f ca="1">IFERROR((Tabla3[[#This Row],[Close]]-OFFSET(Tabla3[[#This Row],[Close]],-1,0))/OFFSET(Tabla3[[#This Row],[Close]],-1,0),"")</f>
        <v>5.5300993284686734E-3</v>
      </c>
      <c r="K341" s="2">
        <f ca="1">IFERROR(AVERAGE(OFFSET(Tabla3[[#This Row],[Close]],-6,0,7)),"")</f>
        <v>1276.2857317243256</v>
      </c>
      <c r="L341" s="2">
        <f ca="1">IFERROR(_xlfn.STDEV.S(OFFSET(Tabla3[[#This Row],[Close]],-29,0,30)),"")</f>
        <v>22.303288474358389</v>
      </c>
    </row>
    <row r="342" spans="1:12" x14ac:dyDescent="0.3">
      <c r="A342" s="1">
        <v>42901</v>
      </c>
      <c r="B342" s="3">
        <f>YEAR(Tabla3[[#This Row],[Date]])</f>
        <v>2017</v>
      </c>
      <c r="C342" s="1" t="str">
        <f>+TEXT(Tabla3[[#This Row],[Date]],"mmm")</f>
        <v>jun</v>
      </c>
      <c r="D342" s="2">
        <v>1252.19995117187</v>
      </c>
      <c r="E342" s="2">
        <v>1252.19995117187</v>
      </c>
      <c r="F342" s="2">
        <v>1264.19995117187</v>
      </c>
      <c r="G342" s="2">
        <v>1250.30004882812</v>
      </c>
      <c r="H342" s="2">
        <v>1263.19995117187</v>
      </c>
      <c r="I342">
        <v>743</v>
      </c>
      <c r="J342" s="2">
        <f ca="1">IFERROR((Tabla3[[#This Row],[Close]]-OFFSET(Tabla3[[#This Row],[Close]],-1,0))/OFFSET(Tabla3[[#This Row],[Close]],-1,0),"")</f>
        <v>-1.6184865545233691E-2</v>
      </c>
      <c r="K342" s="2">
        <f ca="1">IFERROR(AVERAGE(OFFSET(Tabla3[[#This Row],[Close]],-6,0,7)),"")</f>
        <v>1270.257149832584</v>
      </c>
      <c r="L342" s="2">
        <f ca="1">IFERROR(_xlfn.STDEV.S(OFFSET(Tabla3[[#This Row],[Close]],-29,0,30)),"")</f>
        <v>22.262779668881322</v>
      </c>
    </row>
    <row r="343" spans="1:12" x14ac:dyDescent="0.3">
      <c r="A343" s="1">
        <v>42902</v>
      </c>
      <c r="B343" s="3">
        <f>YEAR(Tabla3[[#This Row],[Date]])</f>
        <v>2017</v>
      </c>
      <c r="C343" s="1" t="str">
        <f>+TEXT(Tabla3[[#This Row],[Date]],"mmm")</f>
        <v>jun</v>
      </c>
      <c r="D343" s="2">
        <v>1254</v>
      </c>
      <c r="E343" s="2">
        <v>1254</v>
      </c>
      <c r="F343" s="2">
        <v>1255.30004882812</v>
      </c>
      <c r="G343" s="2">
        <v>1251.30004882812</v>
      </c>
      <c r="H343" s="2">
        <v>1252.80004882812</v>
      </c>
      <c r="I343">
        <v>34</v>
      </c>
      <c r="J343" s="2">
        <f ca="1">IFERROR((Tabla3[[#This Row],[Close]]-OFFSET(Tabla3[[#This Row],[Close]],-1,0))/OFFSET(Tabla3[[#This Row],[Close]],-1,0),"")</f>
        <v>1.4375091026360674E-3</v>
      </c>
      <c r="K343" s="2">
        <f ca="1">IFERROR(AVERAGE(OFFSET(Tabla3[[#This Row],[Close]],-6,0,7)),"")</f>
        <v>1265.1000104631655</v>
      </c>
      <c r="L343" s="2">
        <f ca="1">IFERROR(_xlfn.STDEV.S(OFFSET(Tabla3[[#This Row],[Close]],-29,0,30)),"")</f>
        <v>21.653064410285026</v>
      </c>
    </row>
    <row r="344" spans="1:12" x14ac:dyDescent="0.3">
      <c r="A344" s="1">
        <v>42905</v>
      </c>
      <c r="B344" s="3">
        <f>YEAR(Tabla3[[#This Row],[Date]])</f>
        <v>2017</v>
      </c>
      <c r="C344" s="1" t="str">
        <f>+TEXT(Tabla3[[#This Row],[Date]],"mmm")</f>
        <v>jun</v>
      </c>
      <c r="D344" s="2">
        <v>1244.19995117187</v>
      </c>
      <c r="E344" s="2">
        <v>1244.19995117187</v>
      </c>
      <c r="F344" s="2">
        <v>1252.19995117187</v>
      </c>
      <c r="G344" s="2">
        <v>1241.90002441406</v>
      </c>
      <c r="H344" s="2">
        <v>1252.09997558593</v>
      </c>
      <c r="I344">
        <v>108</v>
      </c>
      <c r="J344" s="2">
        <f ca="1">IFERROR((Tabla3[[#This Row],[Close]]-OFFSET(Tabla3[[#This Row],[Close]],-1,0))/OFFSET(Tabla3[[#This Row],[Close]],-1,0),"")</f>
        <v>-7.8150309634210536E-3</v>
      </c>
      <c r="K344" s="2">
        <f ca="1">IFERROR(AVERAGE(OFFSET(Tabla3[[#This Row],[Close]],-6,0,7)),"")</f>
        <v>1260.5142822265586</v>
      </c>
      <c r="L344" s="2">
        <f ca="1">IFERROR(_xlfn.STDEV.S(OFFSET(Tabla3[[#This Row],[Close]],-29,0,30)),"")</f>
        <v>21.005405402558267</v>
      </c>
    </row>
    <row r="345" spans="1:12" x14ac:dyDescent="0.3">
      <c r="A345" s="1">
        <v>42906</v>
      </c>
      <c r="B345" s="3">
        <f>YEAR(Tabla3[[#This Row],[Date]])</f>
        <v>2017</v>
      </c>
      <c r="C345" s="1" t="str">
        <f>+TEXT(Tabla3[[#This Row],[Date]],"mmm")</f>
        <v>jun</v>
      </c>
      <c r="D345" s="2">
        <v>1241</v>
      </c>
      <c r="E345" s="2">
        <v>1241</v>
      </c>
      <c r="F345" s="2">
        <v>1245.5</v>
      </c>
      <c r="G345" s="2">
        <v>1240.5</v>
      </c>
      <c r="H345" s="2">
        <v>1242.19995117187</v>
      </c>
      <c r="I345">
        <v>75</v>
      </c>
      <c r="J345" s="2">
        <f ca="1">IFERROR((Tabla3[[#This Row],[Close]]-OFFSET(Tabla3[[#This Row],[Close]],-1,0))/OFFSET(Tabla3[[#This Row],[Close]],-1,0),"")</f>
        <v>-2.5718946290393852E-3</v>
      </c>
      <c r="K345" s="2">
        <f ca="1">IFERROR(AVERAGE(OFFSET(Tabla3[[#This Row],[Close]],-6,0,7)),"")</f>
        <v>1256.5857107979871</v>
      </c>
      <c r="L345" s="2">
        <f ca="1">IFERROR(_xlfn.STDEV.S(OFFSET(Tabla3[[#This Row],[Close]],-29,0,30)),"")</f>
        <v>20.415020289084058</v>
      </c>
    </row>
    <row r="346" spans="1:12" x14ac:dyDescent="0.3">
      <c r="A346" s="1">
        <v>42907</v>
      </c>
      <c r="B346" s="3">
        <f>YEAR(Tabla3[[#This Row],[Date]])</f>
        <v>2017</v>
      </c>
      <c r="C346" s="1" t="str">
        <f>+TEXT(Tabla3[[#This Row],[Date]],"mmm")</f>
        <v>jun</v>
      </c>
      <c r="D346" s="2">
        <v>1243.40002441406</v>
      </c>
      <c r="E346" s="2">
        <v>1243.40002441406</v>
      </c>
      <c r="F346" s="2">
        <v>1245</v>
      </c>
      <c r="G346" s="2">
        <v>1240</v>
      </c>
      <c r="H346" s="2">
        <v>1244.09997558593</v>
      </c>
      <c r="I346">
        <v>205</v>
      </c>
      <c r="J346" s="2">
        <f ca="1">IFERROR((Tabla3[[#This Row],[Close]]-OFFSET(Tabla3[[#This Row],[Close]],-1,0))/OFFSET(Tabla3[[#This Row],[Close]],-1,0),"")</f>
        <v>1.9339439275261876E-3</v>
      </c>
      <c r="K346" s="2">
        <f ca="1">IFERROR(AVERAGE(OFFSET(Tabla3[[#This Row],[Close]],-6,0,7)),"")</f>
        <v>1253.3428606305772</v>
      </c>
      <c r="L346" s="2">
        <f ca="1">IFERROR(_xlfn.STDEV.S(OFFSET(Tabla3[[#This Row],[Close]],-29,0,30)),"")</f>
        <v>19.008400144522582</v>
      </c>
    </row>
    <row r="347" spans="1:12" x14ac:dyDescent="0.3">
      <c r="A347" s="1">
        <v>42908</v>
      </c>
      <c r="B347" s="3">
        <f>YEAR(Tabla3[[#This Row],[Date]])</f>
        <v>2017</v>
      </c>
      <c r="C347" s="1" t="str">
        <f>+TEXT(Tabla3[[#This Row],[Date]],"mmm")</f>
        <v>jun</v>
      </c>
      <c r="D347" s="2">
        <v>1247.59997558593</v>
      </c>
      <c r="E347" s="2">
        <v>1247.59997558593</v>
      </c>
      <c r="F347" s="2">
        <v>1252.69995117187</v>
      </c>
      <c r="G347" s="2">
        <v>1246.30004882812</v>
      </c>
      <c r="H347" s="2">
        <v>1251</v>
      </c>
      <c r="I347">
        <v>156</v>
      </c>
      <c r="J347" s="2">
        <f ca="1">IFERROR((Tabla3[[#This Row],[Close]]-OFFSET(Tabla3[[#This Row],[Close]],-1,0))/OFFSET(Tabla3[[#This Row],[Close]],-1,0),"")</f>
        <v>3.377795632462838E-3</v>
      </c>
      <c r="K347" s="2">
        <f ca="1">IFERROR(AVERAGE(OFFSET(Tabla3[[#This Row],[Close]],-6,0,7)),"")</f>
        <v>1250.7428501674071</v>
      </c>
      <c r="L347" s="2">
        <f ca="1">IFERROR(_xlfn.STDEV.S(OFFSET(Tabla3[[#This Row],[Close]],-29,0,30)),"")</f>
        <v>17.579328068223052</v>
      </c>
    </row>
    <row r="348" spans="1:12" x14ac:dyDescent="0.3">
      <c r="A348" s="1">
        <v>42909</v>
      </c>
      <c r="B348" s="3">
        <f>YEAR(Tabla3[[#This Row],[Date]])</f>
        <v>2017</v>
      </c>
      <c r="C348" s="1" t="str">
        <f>+TEXT(Tabla3[[#This Row],[Date]],"mmm")</f>
        <v>jun</v>
      </c>
      <c r="D348" s="2">
        <v>1256.19995117187</v>
      </c>
      <c r="E348" s="2">
        <v>1256.19995117187</v>
      </c>
      <c r="F348" s="2">
        <v>1273.59997558593</v>
      </c>
      <c r="G348" s="2">
        <v>1249.80004882812</v>
      </c>
      <c r="H348" s="2">
        <v>1250</v>
      </c>
      <c r="I348">
        <v>269</v>
      </c>
      <c r="J348" s="2">
        <f ca="1">IFERROR((Tabla3[[#This Row],[Close]]-OFFSET(Tabla3[[#This Row],[Close]],-1,0))/OFFSET(Tabla3[[#This Row],[Close]],-1,0),"")</f>
        <v>6.8932155772935631E-3</v>
      </c>
      <c r="K348" s="2">
        <f ca="1">IFERROR(AVERAGE(OFFSET(Tabla3[[#This Row],[Close]],-6,0,7)),"")</f>
        <v>1248.3714076450856</v>
      </c>
      <c r="L348" s="2">
        <f ca="1">IFERROR(_xlfn.STDEV.S(OFFSET(Tabla3[[#This Row],[Close]],-29,0,30)),"")</f>
        <v>16.276969531408913</v>
      </c>
    </row>
    <row r="349" spans="1:12" x14ac:dyDescent="0.3">
      <c r="A349" s="1">
        <v>42912</v>
      </c>
      <c r="B349" s="3">
        <f>YEAR(Tabla3[[#This Row],[Date]])</f>
        <v>2017</v>
      </c>
      <c r="C349" s="1" t="str">
        <f>+TEXT(Tabla3[[#This Row],[Date]],"mmm")</f>
        <v>jun</v>
      </c>
      <c r="D349" s="2">
        <v>1246.30004882812</v>
      </c>
      <c r="E349" s="2">
        <v>1246.30004882812</v>
      </c>
      <c r="F349" s="2">
        <v>1260.19995117187</v>
      </c>
      <c r="G349" s="2">
        <v>1241.59997558593</v>
      </c>
      <c r="H349" s="2">
        <v>1260.19995117187</v>
      </c>
      <c r="I349">
        <v>194</v>
      </c>
      <c r="J349" s="2">
        <f ca="1">IFERROR((Tabla3[[#This Row],[Close]]-OFFSET(Tabla3[[#This Row],[Close]],-1,0))/OFFSET(Tabla3[[#This Row],[Close]],-1,0),"")</f>
        <v>-7.8808332499254504E-3</v>
      </c>
      <c r="K349" s="2">
        <f ca="1">IFERROR(AVERAGE(OFFSET(Tabla3[[#This Row],[Close]],-6,0,7)),"")</f>
        <v>1247.5285644531214</v>
      </c>
      <c r="L349" s="2">
        <f ca="1">IFERROR(_xlfn.STDEV.S(OFFSET(Tabla3[[#This Row],[Close]],-29,0,30)),"")</f>
        <v>15.25810003352967</v>
      </c>
    </row>
    <row r="350" spans="1:12" x14ac:dyDescent="0.3">
      <c r="A350" s="1">
        <v>42913</v>
      </c>
      <c r="B350" s="3">
        <f>YEAR(Tabla3[[#This Row],[Date]])</f>
        <v>2017</v>
      </c>
      <c r="C350" s="1" t="str">
        <f>+TEXT(Tabla3[[#This Row],[Date]],"mmm")</f>
        <v>jun</v>
      </c>
      <c r="D350" s="2">
        <v>1246.40002441406</v>
      </c>
      <c r="E350" s="2">
        <v>1246.40002441406</v>
      </c>
      <c r="F350" s="2">
        <v>1251.80004882812</v>
      </c>
      <c r="G350" s="2">
        <v>1245.90002441406</v>
      </c>
      <c r="H350" s="2">
        <v>1251.59997558593</v>
      </c>
      <c r="I350">
        <v>111</v>
      </c>
      <c r="J350" s="2">
        <f ca="1">IFERROR((Tabla3[[#This Row],[Close]]-OFFSET(Tabla3[[#This Row],[Close]],-1,0))/OFFSET(Tabla3[[#This Row],[Close]],-1,0),"")</f>
        <v>8.0217910633965608E-5</v>
      </c>
      <c r="K350" s="2">
        <f ca="1">IFERROR(AVERAGE(OFFSET(Tabla3[[#This Row],[Close]],-6,0,7)),"")</f>
        <v>1246.44285365513</v>
      </c>
      <c r="L350" s="2">
        <f ca="1">IFERROR(_xlfn.STDEV.S(OFFSET(Tabla3[[#This Row],[Close]],-29,0,30)),"")</f>
        <v>14.321843241627297</v>
      </c>
    </row>
    <row r="351" spans="1:12" x14ac:dyDescent="0.3">
      <c r="A351" s="1">
        <v>42914</v>
      </c>
      <c r="B351" s="3">
        <f>YEAR(Tabla3[[#This Row],[Date]])</f>
        <v>2017</v>
      </c>
      <c r="C351" s="1" t="str">
        <f>+TEXT(Tabla3[[#This Row],[Date]],"mmm")</f>
        <v>jun</v>
      </c>
      <c r="D351" s="2">
        <v>1248</v>
      </c>
      <c r="E351" s="2">
        <v>1248</v>
      </c>
      <c r="F351" s="2">
        <v>1248.5</v>
      </c>
      <c r="G351" s="2">
        <v>1248</v>
      </c>
      <c r="H351" s="2">
        <v>1248.5</v>
      </c>
      <c r="I351">
        <v>370</v>
      </c>
      <c r="J351" s="2">
        <f ca="1">IFERROR((Tabla3[[#This Row],[Close]]-OFFSET(Tabla3[[#This Row],[Close]],-1,0))/OFFSET(Tabla3[[#This Row],[Close]],-1,0),"")</f>
        <v>1.2836774346920918E-3</v>
      </c>
      <c r="K351" s="2">
        <f ca="1">IFERROR(AVERAGE(OFFSET(Tabla3[[#This Row],[Close]],-6,0,7)),"")</f>
        <v>1246.9857177734343</v>
      </c>
      <c r="L351" s="2">
        <f ca="1">IFERROR(_xlfn.STDEV.S(OFFSET(Tabla3[[#This Row],[Close]],-29,0,30)),"")</f>
        <v>13.711854789336286</v>
      </c>
    </row>
    <row r="352" spans="1:12" x14ac:dyDescent="0.3">
      <c r="A352" s="1">
        <v>42915</v>
      </c>
      <c r="B352" s="3">
        <f>YEAR(Tabla3[[#This Row],[Date]])</f>
        <v>2017</v>
      </c>
      <c r="C352" s="1" t="str">
        <f>+TEXT(Tabla3[[#This Row],[Date]],"mmm")</f>
        <v>jun</v>
      </c>
      <c r="D352" s="2">
        <v>1244.19995117187</v>
      </c>
      <c r="E352" s="2">
        <v>1244.19995117187</v>
      </c>
      <c r="F352" s="2">
        <v>1250.69995117187</v>
      </c>
      <c r="G352" s="2">
        <v>1238.09997558593</v>
      </c>
      <c r="H352" s="2">
        <v>1248.19995117187</v>
      </c>
      <c r="I352">
        <v>540</v>
      </c>
      <c r="J352" s="2">
        <f ca="1">IFERROR((Tabla3[[#This Row],[Close]]-OFFSET(Tabla3[[#This Row],[Close]],-1,0))/OFFSET(Tabla3[[#This Row],[Close]],-1,0),"")</f>
        <v>-3.0449109199759635E-3</v>
      </c>
      <c r="K352" s="2">
        <f ca="1">IFERROR(AVERAGE(OFFSET(Tabla3[[#This Row],[Close]],-6,0,7)),"")</f>
        <v>1247.44285365513</v>
      </c>
      <c r="L352" s="2">
        <f ca="1">IFERROR(_xlfn.STDEV.S(OFFSET(Tabla3[[#This Row],[Close]],-29,0,30)),"")</f>
        <v>14.033142051862846</v>
      </c>
    </row>
    <row r="353" spans="1:12" x14ac:dyDescent="0.3">
      <c r="A353" s="1">
        <v>42916</v>
      </c>
      <c r="B353" s="3">
        <f>YEAR(Tabla3[[#This Row],[Date]])</f>
        <v>2017</v>
      </c>
      <c r="C353" s="1" t="str">
        <f>+TEXT(Tabla3[[#This Row],[Date]],"mmm")</f>
        <v>jun</v>
      </c>
      <c r="D353" s="2">
        <v>1240.69995117187</v>
      </c>
      <c r="E353" s="2">
        <v>1240.69995117187</v>
      </c>
      <c r="F353" s="2">
        <v>1243.69995117187</v>
      </c>
      <c r="G353" s="2">
        <v>1239.09997558593</v>
      </c>
      <c r="H353" s="2">
        <v>1243.69995117187</v>
      </c>
      <c r="I353">
        <v>43</v>
      </c>
      <c r="J353" s="2">
        <f ca="1">IFERROR((Tabla3[[#This Row],[Close]]-OFFSET(Tabla3[[#This Row],[Close]],-1,0))/OFFSET(Tabla3[[#This Row],[Close]],-1,0),"")</f>
        <v>-2.8130526742936035E-3</v>
      </c>
      <c r="K353" s="2">
        <f ca="1">IFERROR(AVERAGE(OFFSET(Tabla3[[#This Row],[Close]],-6,0,7)),"")</f>
        <v>1247.0571289062457</v>
      </c>
      <c r="L353" s="2">
        <f ca="1">IFERROR(_xlfn.STDEV.S(OFFSET(Tabla3[[#This Row],[Close]],-29,0,30)),"")</f>
        <v>14.405623453026022</v>
      </c>
    </row>
    <row r="354" spans="1:12" x14ac:dyDescent="0.3">
      <c r="A354" s="1">
        <v>42919</v>
      </c>
      <c r="B354" s="3">
        <f>YEAR(Tabla3[[#This Row],[Date]])</f>
        <v>2017</v>
      </c>
      <c r="C354" s="1" t="str">
        <f>+TEXT(Tabla3[[#This Row],[Date]],"mmm")</f>
        <v>jul</v>
      </c>
      <c r="D354" s="2">
        <v>1217.90002441406</v>
      </c>
      <c r="E354" s="2">
        <v>1217.90002441406</v>
      </c>
      <c r="F354" s="2">
        <v>1236</v>
      </c>
      <c r="G354" s="2">
        <v>1217.90002441406</v>
      </c>
      <c r="H354" s="2">
        <v>1236</v>
      </c>
      <c r="I354">
        <v>33</v>
      </c>
      <c r="J354" s="2">
        <f ca="1">IFERROR((Tabla3[[#This Row],[Close]]-OFFSET(Tabla3[[#This Row],[Close]],-1,0))/OFFSET(Tabla3[[#This Row],[Close]],-1,0),"")</f>
        <v>-1.8376664508026247E-2</v>
      </c>
      <c r="K354" s="2">
        <f ca="1">IFERROR(AVERAGE(OFFSET(Tabla3[[#This Row],[Close]],-6,0,7)),"")</f>
        <v>1242.8142787388356</v>
      </c>
      <c r="L354" s="2">
        <f ca="1">IFERROR(_xlfn.STDEV.S(OFFSET(Tabla3[[#This Row],[Close]],-29,0,30)),"")</f>
        <v>16.289932458927424</v>
      </c>
    </row>
    <row r="355" spans="1:12" x14ac:dyDescent="0.3">
      <c r="A355" s="1">
        <v>42921</v>
      </c>
      <c r="B355" s="3">
        <f>YEAR(Tabla3[[#This Row],[Date]])</f>
        <v>2017</v>
      </c>
      <c r="C355" s="1" t="str">
        <f>+TEXT(Tabla3[[#This Row],[Date]],"mmm")</f>
        <v>jul</v>
      </c>
      <c r="D355" s="2">
        <v>1220.40002441406</v>
      </c>
      <c r="E355" s="2">
        <v>1220.40002441406</v>
      </c>
      <c r="F355" s="2">
        <v>1225</v>
      </c>
      <c r="G355" s="2">
        <v>1217.09997558593</v>
      </c>
      <c r="H355" s="2">
        <v>1222.5</v>
      </c>
      <c r="I355">
        <v>40</v>
      </c>
      <c r="J355" s="2">
        <f ca="1">IFERROR((Tabla3[[#This Row],[Close]]-OFFSET(Tabla3[[#This Row],[Close]],-1,0))/OFFSET(Tabla3[[#This Row],[Close]],-1,0),"")</f>
        <v>2.0527136463461089E-3</v>
      </c>
      <c r="K355" s="2">
        <f ca="1">IFERROR(AVERAGE(OFFSET(Tabla3[[#This Row],[Close]],-6,0,7)),"")</f>
        <v>1237.7000034877199</v>
      </c>
      <c r="L355" s="2">
        <f ca="1">IFERROR(_xlfn.STDEV.S(OFFSET(Tabla3[[#This Row],[Close]],-29,0,30)),"")</f>
        <v>17.727749063996217</v>
      </c>
    </row>
    <row r="356" spans="1:12" x14ac:dyDescent="0.3">
      <c r="A356" s="1">
        <v>42922</v>
      </c>
      <c r="B356" s="3">
        <f>YEAR(Tabla3[[#This Row],[Date]])</f>
        <v>2017</v>
      </c>
      <c r="C356" s="1" t="str">
        <f>+TEXT(Tabla3[[#This Row],[Date]],"mmm")</f>
        <v>jul</v>
      </c>
      <c r="D356" s="2">
        <v>1222.19995117187</v>
      </c>
      <c r="E356" s="2">
        <v>1222.19995117187</v>
      </c>
      <c r="F356" s="2">
        <v>1225.09997558593</v>
      </c>
      <c r="G356" s="2">
        <v>1222.19995117187</v>
      </c>
      <c r="H356" s="2">
        <v>1225.09997558593</v>
      </c>
      <c r="I356">
        <v>5</v>
      </c>
      <c r="J356" s="2">
        <f ca="1">IFERROR((Tabla3[[#This Row],[Close]]-OFFSET(Tabla3[[#This Row],[Close]],-1,0))/OFFSET(Tabla3[[#This Row],[Close]],-1,0),"")</f>
        <v>1.4748662092777178E-3</v>
      </c>
      <c r="K356" s="2">
        <f ca="1">IFERROR(AVERAGE(OFFSET(Tabla3[[#This Row],[Close]],-6,0,7)),"")</f>
        <v>1234.2571323939699</v>
      </c>
      <c r="L356" s="2">
        <f ca="1">IFERROR(_xlfn.STDEV.S(OFFSET(Tabla3[[#This Row],[Close]],-29,0,30)),"")</f>
        <v>18.860446404102476</v>
      </c>
    </row>
    <row r="357" spans="1:12" x14ac:dyDescent="0.3">
      <c r="A357" s="1">
        <v>42923</v>
      </c>
      <c r="B357" s="3">
        <f>YEAR(Tabla3[[#This Row],[Date]])</f>
        <v>2017</v>
      </c>
      <c r="C357" s="1" t="str">
        <f>+TEXT(Tabla3[[#This Row],[Date]],"mmm")</f>
        <v>jul</v>
      </c>
      <c r="D357" s="2">
        <v>1208.59997558593</v>
      </c>
      <c r="E357" s="2">
        <v>1208.59997558593</v>
      </c>
      <c r="F357" s="2">
        <v>1220.40002441406</v>
      </c>
      <c r="G357" s="2">
        <v>1208.59997558593</v>
      </c>
      <c r="H357" s="2">
        <v>1219.09997558593</v>
      </c>
      <c r="I357">
        <v>116</v>
      </c>
      <c r="J357" s="2">
        <f ca="1">IFERROR((Tabla3[[#This Row],[Close]]-OFFSET(Tabla3[[#This Row],[Close]],-1,0))/OFFSET(Tabla3[[#This Row],[Close]],-1,0),"")</f>
        <v>-1.1127455514050765E-2</v>
      </c>
      <c r="K357" s="2">
        <f ca="1">IFERROR(AVERAGE(OFFSET(Tabla3[[#This Row],[Close]],-6,0,7)),"")</f>
        <v>1228.8571254185229</v>
      </c>
      <c r="L357" s="2">
        <f ca="1">IFERROR(_xlfn.STDEV.S(OFFSET(Tabla3[[#This Row],[Close]],-29,0,30)),"")</f>
        <v>20.777802576978146</v>
      </c>
    </row>
    <row r="358" spans="1:12" x14ac:dyDescent="0.3">
      <c r="A358" s="1">
        <v>42926</v>
      </c>
      <c r="B358" s="3">
        <f>YEAR(Tabla3[[#This Row],[Date]])</f>
        <v>2017</v>
      </c>
      <c r="C358" s="1" t="str">
        <f>+TEXT(Tabla3[[#This Row],[Date]],"mmm")</f>
        <v>jul</v>
      </c>
      <c r="D358" s="2">
        <v>1212.09997558593</v>
      </c>
      <c r="E358" s="2">
        <v>1212.09997558593</v>
      </c>
      <c r="F358" s="2">
        <v>1212.09997558593</v>
      </c>
      <c r="G358" s="2">
        <v>1209.59997558593</v>
      </c>
      <c r="H358" s="2">
        <v>1211.40002441406</v>
      </c>
      <c r="I358">
        <v>28</v>
      </c>
      <c r="J358" s="2">
        <f ca="1">IFERROR((Tabla3[[#This Row],[Close]]-OFFSET(Tabla3[[#This Row],[Close]],-1,0))/OFFSET(Tabla3[[#This Row],[Close]],-1,0),"")</f>
        <v>2.8959126846773249E-3</v>
      </c>
      <c r="K358" s="2">
        <f ca="1">IFERROR(AVERAGE(OFFSET(Tabla3[[#This Row],[Close]],-6,0,7)),"")</f>
        <v>1223.7285505022271</v>
      </c>
      <c r="L358" s="2">
        <f ca="1">IFERROR(_xlfn.STDEV.S(OFFSET(Tabla3[[#This Row],[Close]],-29,0,30)),"")</f>
        <v>22.198006161371769</v>
      </c>
    </row>
    <row r="359" spans="1:12" x14ac:dyDescent="0.3">
      <c r="A359" s="1">
        <v>42927</v>
      </c>
      <c r="B359" s="3">
        <f>YEAR(Tabla3[[#This Row],[Date]])</f>
        <v>2017</v>
      </c>
      <c r="C359" s="1" t="str">
        <f>+TEXT(Tabla3[[#This Row],[Date]],"mmm")</f>
        <v>jul</v>
      </c>
      <c r="D359" s="2">
        <v>1213.59997558593</v>
      </c>
      <c r="E359" s="2">
        <v>1213.59997558593</v>
      </c>
      <c r="F359" s="2">
        <v>1214.90002441406</v>
      </c>
      <c r="G359" s="2">
        <v>1208.69995117187</v>
      </c>
      <c r="H359" s="2">
        <v>1208.69995117187</v>
      </c>
      <c r="I359">
        <v>12</v>
      </c>
      <c r="J359" s="2">
        <f ca="1">IFERROR((Tabla3[[#This Row],[Close]]-OFFSET(Tabla3[[#This Row],[Close]],-1,0))/OFFSET(Tabla3[[#This Row],[Close]],-1,0),"")</f>
        <v>1.2375216815551035E-3</v>
      </c>
      <c r="K359" s="2">
        <f ca="1">IFERROR(AVERAGE(OFFSET(Tabla3[[#This Row],[Close]],-6,0,7)),"")</f>
        <v>1219.3571254185215</v>
      </c>
      <c r="L359" s="2">
        <f ca="1">IFERROR(_xlfn.STDEV.S(OFFSET(Tabla3[[#This Row],[Close]],-29,0,30)),"")</f>
        <v>23.18063647158575</v>
      </c>
    </row>
    <row r="360" spans="1:12" x14ac:dyDescent="0.3">
      <c r="A360" s="1">
        <v>42928</v>
      </c>
      <c r="B360" s="3">
        <f>YEAR(Tabla3[[#This Row],[Date]])</f>
        <v>2017</v>
      </c>
      <c r="C360" s="1" t="str">
        <f>+TEXT(Tabla3[[#This Row],[Date]],"mmm")</f>
        <v>jul</v>
      </c>
      <c r="D360" s="2">
        <v>1218.09997558593</v>
      </c>
      <c r="E360" s="2">
        <v>1218.09997558593</v>
      </c>
      <c r="F360" s="2">
        <v>1219.40002441406</v>
      </c>
      <c r="G360" s="2">
        <v>1217.90002441406</v>
      </c>
      <c r="H360" s="2">
        <v>1218.30004882812</v>
      </c>
      <c r="I360">
        <v>7</v>
      </c>
      <c r="J360" s="2">
        <f ca="1">IFERROR((Tabla3[[#This Row],[Close]]-OFFSET(Tabla3[[#This Row],[Close]],-1,0))/OFFSET(Tabla3[[#This Row],[Close]],-1,0),"")</f>
        <v>3.7079763435454794E-3</v>
      </c>
      <c r="K360" s="2">
        <f ca="1">IFERROR(AVERAGE(OFFSET(Tabla3[[#This Row],[Close]],-6,0,7)),"")</f>
        <v>1216.1285574776728</v>
      </c>
      <c r="L360" s="2">
        <f ca="1">IFERROR(_xlfn.STDEV.S(OFFSET(Tabla3[[#This Row],[Close]],-29,0,30)),"")</f>
        <v>23.879609910473512</v>
      </c>
    </row>
    <row r="361" spans="1:12" x14ac:dyDescent="0.3">
      <c r="A361" s="1">
        <v>42929</v>
      </c>
      <c r="B361" s="3">
        <f>YEAR(Tabla3[[#This Row],[Date]])</f>
        <v>2017</v>
      </c>
      <c r="C361" s="1" t="str">
        <f>+TEXT(Tabla3[[#This Row],[Date]],"mmm")</f>
        <v>jul</v>
      </c>
      <c r="D361" s="2">
        <v>1216.30004882812</v>
      </c>
      <c r="E361" s="2">
        <v>1216.30004882812</v>
      </c>
      <c r="F361" s="2">
        <v>1221.40002441406</v>
      </c>
      <c r="G361" s="2">
        <v>1216.30004882812</v>
      </c>
      <c r="H361" s="2">
        <v>1221.40002441406</v>
      </c>
      <c r="I361">
        <v>7</v>
      </c>
      <c r="J361" s="2">
        <f ca="1">IFERROR((Tabla3[[#This Row],[Close]]-OFFSET(Tabla3[[#This Row],[Close]],-1,0))/OFFSET(Tabla3[[#This Row],[Close]],-1,0),"")</f>
        <v>-1.4776510909494099E-3</v>
      </c>
      <c r="K361" s="2">
        <f ca="1">IFERROR(AVERAGE(OFFSET(Tabla3[[#This Row],[Close]],-6,0,7)),"")</f>
        <v>1215.8999895368245</v>
      </c>
      <c r="L361" s="2">
        <f ca="1">IFERROR(_xlfn.STDEV.S(OFFSET(Tabla3[[#This Row],[Close]],-29,0,30)),"")</f>
        <v>24.288588449320073</v>
      </c>
    </row>
    <row r="362" spans="1:12" x14ac:dyDescent="0.3">
      <c r="A362" s="1">
        <v>42930</v>
      </c>
      <c r="B362" s="3">
        <f>YEAR(Tabla3[[#This Row],[Date]])</f>
        <v>2017</v>
      </c>
      <c r="C362" s="1" t="str">
        <f>+TEXT(Tabla3[[#This Row],[Date]],"mmm")</f>
        <v>jul</v>
      </c>
      <c r="D362" s="2">
        <v>1226.59997558593</v>
      </c>
      <c r="E362" s="2">
        <v>1226.59997558593</v>
      </c>
      <c r="F362" s="2">
        <v>1227.5</v>
      </c>
      <c r="G362" s="2">
        <v>1214.80004882812</v>
      </c>
      <c r="H362" s="2">
        <v>1214.90002441406</v>
      </c>
      <c r="I362">
        <v>23</v>
      </c>
      <c r="J362" s="2">
        <f ca="1">IFERROR((Tabla3[[#This Row],[Close]]-OFFSET(Tabla3[[#This Row],[Close]],-1,0))/OFFSET(Tabla3[[#This Row],[Close]],-1,0),"")</f>
        <v>8.4682449595671443E-3</v>
      </c>
      <c r="K362" s="2">
        <f ca="1">IFERROR(AVERAGE(OFFSET(Tabla3[[#This Row],[Close]],-6,0,7)),"")</f>
        <v>1216.7856968470915</v>
      </c>
      <c r="L362" s="2">
        <f ca="1">IFERROR(_xlfn.STDEV.S(OFFSET(Tabla3[[#This Row],[Close]],-29,0,30)),"")</f>
        <v>24.338819567242354</v>
      </c>
    </row>
    <row r="363" spans="1:12" x14ac:dyDescent="0.3">
      <c r="A363" s="1">
        <v>42933</v>
      </c>
      <c r="B363" s="3">
        <f>YEAR(Tabla3[[#This Row],[Date]])</f>
        <v>2017</v>
      </c>
      <c r="C363" s="1" t="str">
        <f>+TEXT(Tabla3[[#This Row],[Date]],"mmm")</f>
        <v>jul</v>
      </c>
      <c r="D363" s="2">
        <v>1232.80004882812</v>
      </c>
      <c r="E363" s="2">
        <v>1232.80004882812</v>
      </c>
      <c r="F363" s="2">
        <v>1233.40002441406</v>
      </c>
      <c r="G363" s="2">
        <v>1229.90002441406</v>
      </c>
      <c r="H363" s="2">
        <v>1229.90002441406</v>
      </c>
      <c r="I363">
        <v>7</v>
      </c>
      <c r="J363" s="2">
        <f ca="1">IFERROR((Tabla3[[#This Row],[Close]]-OFFSET(Tabla3[[#This Row],[Close]],-1,0))/OFFSET(Tabla3[[#This Row],[Close]],-1,0),"")</f>
        <v>5.05468234599329E-3</v>
      </c>
      <c r="K363" s="2">
        <f ca="1">IFERROR(AVERAGE(OFFSET(Tabla3[[#This Row],[Close]],-6,0,7)),"")</f>
        <v>1218.2999965122701</v>
      </c>
      <c r="L363" s="2">
        <f ca="1">IFERROR(_xlfn.STDEV.S(OFFSET(Tabla3[[#This Row],[Close]],-29,0,30)),"")</f>
        <v>23.801131262151685</v>
      </c>
    </row>
    <row r="364" spans="1:12" x14ac:dyDescent="0.3">
      <c r="A364" s="1">
        <v>42934</v>
      </c>
      <c r="B364" s="3">
        <f>YEAR(Tabla3[[#This Row],[Date]])</f>
        <v>2017</v>
      </c>
      <c r="C364" s="1" t="str">
        <f>+TEXT(Tabla3[[#This Row],[Date]],"mmm")</f>
        <v>jul</v>
      </c>
      <c r="D364" s="2">
        <v>1241.09997558593</v>
      </c>
      <c r="E364" s="2">
        <v>1241.09997558593</v>
      </c>
      <c r="F364" s="2">
        <v>1241.19995117187</v>
      </c>
      <c r="G364" s="2">
        <v>1236.19995117187</v>
      </c>
      <c r="H364" s="2">
        <v>1236.19995117187</v>
      </c>
      <c r="I364">
        <v>29</v>
      </c>
      <c r="J364" s="2">
        <f ca="1">IFERROR((Tabla3[[#This Row],[Close]]-OFFSET(Tabla3[[#This Row],[Close]],-1,0))/OFFSET(Tabla3[[#This Row],[Close]],-1,0),"")</f>
        <v>6.7325814642040099E-3</v>
      </c>
      <c r="K364" s="2">
        <f ca="1">IFERROR(AVERAGE(OFFSET(Tabla3[[#This Row],[Close]],-6,0,7)),"")</f>
        <v>1222.9428536551272</v>
      </c>
      <c r="L364" s="2">
        <f ca="1">IFERROR(_xlfn.STDEV.S(OFFSET(Tabla3[[#This Row],[Close]],-29,0,30)),"")</f>
        <v>22.938747750236708</v>
      </c>
    </row>
    <row r="365" spans="1:12" x14ac:dyDescent="0.3">
      <c r="A365" s="1">
        <v>42935</v>
      </c>
      <c r="B365" s="3">
        <f>YEAR(Tabla3[[#This Row],[Date]])</f>
        <v>2017</v>
      </c>
      <c r="C365" s="1" t="str">
        <f>+TEXT(Tabla3[[#This Row],[Date]],"mmm")</f>
        <v>jul</v>
      </c>
      <c r="D365" s="2">
        <v>1241.19995117187</v>
      </c>
      <c r="E365" s="2">
        <v>1241.19995117187</v>
      </c>
      <c r="F365" s="2">
        <v>1241.19995117187</v>
      </c>
      <c r="G365" s="2">
        <v>1240.09997558593</v>
      </c>
      <c r="H365" s="2">
        <v>1240.40002441406</v>
      </c>
      <c r="I365">
        <v>3</v>
      </c>
      <c r="J365" s="2">
        <f ca="1">IFERROR((Tabla3[[#This Row],[Close]]-OFFSET(Tabla3[[#This Row],[Close]],-1,0))/OFFSET(Tabla3[[#This Row],[Close]],-1,0),"")</f>
        <v>8.0554014911491802E-5</v>
      </c>
      <c r="K365" s="2">
        <f ca="1">IFERROR(AVERAGE(OFFSET(Tabla3[[#This Row],[Close]],-6,0,7)),"")</f>
        <v>1227.0999930245471</v>
      </c>
      <c r="L365" s="2">
        <f ca="1">IFERROR(_xlfn.STDEV.S(OFFSET(Tabla3[[#This Row],[Close]],-29,0,30)),"")</f>
        <v>20.894441498431043</v>
      </c>
    </row>
    <row r="366" spans="1:12" x14ac:dyDescent="0.3">
      <c r="A366" s="1">
        <v>42936</v>
      </c>
      <c r="B366" s="3">
        <f>YEAR(Tabla3[[#This Row],[Date]])</f>
        <v>2017</v>
      </c>
      <c r="C366" s="1" t="str">
        <f>+TEXT(Tabla3[[#This Row],[Date]],"mmm")</f>
        <v>jul</v>
      </c>
      <c r="D366" s="2">
        <v>1244.80004882812</v>
      </c>
      <c r="E366" s="2">
        <v>1244.80004882812</v>
      </c>
      <c r="F366" s="2">
        <v>1244.80004882812</v>
      </c>
      <c r="G366" s="2">
        <v>1236.59997558593</v>
      </c>
      <c r="H366" s="2">
        <v>1236.59997558593</v>
      </c>
      <c r="I366">
        <v>5</v>
      </c>
      <c r="J366" s="2">
        <f ca="1">IFERROR((Tabla3[[#This Row],[Close]]-OFFSET(Tabla3[[#This Row],[Close]],-1,0))/OFFSET(Tabla3[[#This Row],[Close]],-1,0),"")</f>
        <v>2.9004977424072517E-3</v>
      </c>
      <c r="K366" s="2">
        <f ca="1">IFERROR(AVERAGE(OFFSET(Tabla3[[#This Row],[Close]],-6,0,7)),"")</f>
        <v>1231.5571463448598</v>
      </c>
      <c r="L366" s="2">
        <f ca="1">IFERROR(_xlfn.STDEV.S(OFFSET(Tabla3[[#This Row],[Close]],-29,0,30)),"")</f>
        <v>18.874335919610953</v>
      </c>
    </row>
    <row r="367" spans="1:12" x14ac:dyDescent="0.3">
      <c r="A367" s="1">
        <v>42937</v>
      </c>
      <c r="B367" s="3">
        <f>YEAR(Tabla3[[#This Row],[Date]])</f>
        <v>2017</v>
      </c>
      <c r="C367" s="1" t="str">
        <f>+TEXT(Tabla3[[#This Row],[Date]],"mmm")</f>
        <v>jul</v>
      </c>
      <c r="D367" s="2">
        <v>1254.30004882812</v>
      </c>
      <c r="E367" s="2">
        <v>1254.30004882812</v>
      </c>
      <c r="F367" s="2">
        <v>1254.30004882812</v>
      </c>
      <c r="G367" s="2">
        <v>1250.5</v>
      </c>
      <c r="H367" s="2">
        <v>1250.69995117187</v>
      </c>
      <c r="I367">
        <v>16</v>
      </c>
      <c r="J367" s="2">
        <f ca="1">IFERROR((Tabla3[[#This Row],[Close]]-OFFSET(Tabla3[[#This Row],[Close]],-1,0))/OFFSET(Tabla3[[#This Row],[Close]],-1,0),"")</f>
        <v>7.6317477726189778E-3</v>
      </c>
      <c r="K367" s="2">
        <f ca="1">IFERROR(AVERAGE(OFFSET(Tabla3[[#This Row],[Close]],-6,0,7)),"")</f>
        <v>1236.7285853794583</v>
      </c>
      <c r="L367" s="2">
        <f ca="1">IFERROR(_xlfn.STDEV.S(OFFSET(Tabla3[[#This Row],[Close]],-29,0,30)),"")</f>
        <v>17.854546905464169</v>
      </c>
    </row>
    <row r="368" spans="1:12" x14ac:dyDescent="0.3">
      <c r="A368" s="1">
        <v>42940</v>
      </c>
      <c r="B368" s="3">
        <f>YEAR(Tabla3[[#This Row],[Date]])</f>
        <v>2017</v>
      </c>
      <c r="C368" s="1" t="str">
        <f>+TEXT(Tabla3[[#This Row],[Date]],"mmm")</f>
        <v>jul</v>
      </c>
      <c r="D368" s="2">
        <v>1253.90002441406</v>
      </c>
      <c r="E368" s="2">
        <v>1253.90002441406</v>
      </c>
      <c r="F368" s="2">
        <v>1256</v>
      </c>
      <c r="G368" s="2">
        <v>1253.90002441406</v>
      </c>
      <c r="H368" s="2">
        <v>1256</v>
      </c>
      <c r="I368">
        <v>8</v>
      </c>
      <c r="J368" s="2">
        <f ca="1">IFERROR((Tabla3[[#This Row],[Close]]-OFFSET(Tabla3[[#This Row],[Close]],-1,0))/OFFSET(Tabla3[[#This Row],[Close]],-1,0),"")</f>
        <v>-3.1892242564587133E-4</v>
      </c>
      <c r="K368" s="2">
        <f ca="1">IFERROR(AVERAGE(OFFSET(Tabla3[[#This Row],[Close]],-6,0,7)),"")</f>
        <v>1242.1000104631642</v>
      </c>
      <c r="L368" s="2">
        <f ca="1">IFERROR(_xlfn.STDEV.S(OFFSET(Tabla3[[#This Row],[Close]],-29,0,30)),"")</f>
        <v>17.246507332065466</v>
      </c>
    </row>
    <row r="369" spans="1:12" x14ac:dyDescent="0.3">
      <c r="A369" s="1">
        <v>42941</v>
      </c>
      <c r="B369" s="3">
        <f>YEAR(Tabla3[[#This Row],[Date]])</f>
        <v>2017</v>
      </c>
      <c r="C369" s="1" t="str">
        <f>+TEXT(Tabla3[[#This Row],[Date]],"mmm")</f>
        <v>jul</v>
      </c>
      <c r="D369" s="2">
        <v>1251.69995117187</v>
      </c>
      <c r="E369" s="2">
        <v>1251.69995117187</v>
      </c>
      <c r="F369" s="2">
        <v>1253.59997558593</v>
      </c>
      <c r="G369" s="2">
        <v>1249.19995117187</v>
      </c>
      <c r="H369" s="2">
        <v>1252.69995117187</v>
      </c>
      <c r="I369">
        <v>18</v>
      </c>
      <c r="J369" s="2">
        <f ca="1">IFERROR((Tabla3[[#This Row],[Close]]-OFFSET(Tabla3[[#This Row],[Close]],-1,0))/OFFSET(Tabla3[[#This Row],[Close]],-1,0),"")</f>
        <v>-1.7545842566021818E-3</v>
      </c>
      <c r="K369" s="2">
        <f ca="1">IFERROR(AVERAGE(OFFSET(Tabla3[[#This Row],[Close]],-6,0,7)),"")</f>
        <v>1245.6857212611558</v>
      </c>
      <c r="L369" s="2">
        <f ca="1">IFERROR(_xlfn.STDEV.S(OFFSET(Tabla3[[#This Row],[Close]],-29,0,30)),"")</f>
        <v>16.679198758833614</v>
      </c>
    </row>
    <row r="370" spans="1:12" x14ac:dyDescent="0.3">
      <c r="A370" s="1">
        <v>42942</v>
      </c>
      <c r="B370" s="3">
        <f>YEAR(Tabla3[[#This Row],[Date]])</f>
        <v>2017</v>
      </c>
      <c r="C370" s="1" t="str">
        <f>+TEXT(Tabla3[[#This Row],[Date]],"mmm")</f>
        <v>jul</v>
      </c>
      <c r="D370" s="2">
        <v>1249</v>
      </c>
      <c r="E370" s="2">
        <v>1249</v>
      </c>
      <c r="F370" s="2">
        <v>1249</v>
      </c>
      <c r="G370" s="2">
        <v>1244.80004882812</v>
      </c>
      <c r="H370" s="2">
        <v>1244.80004882812</v>
      </c>
      <c r="I370">
        <v>7</v>
      </c>
      <c r="J370" s="2">
        <f ca="1">IFERROR((Tabla3[[#This Row],[Close]]-OFFSET(Tabla3[[#This Row],[Close]],-1,0))/OFFSET(Tabla3[[#This Row],[Close]],-1,0),"")</f>
        <v>-2.1570274644033037E-3</v>
      </c>
      <c r="K370" s="2">
        <f ca="1">IFERROR(AVERAGE(OFFSET(Tabla3[[#This Row],[Close]],-6,0,7)),"")</f>
        <v>1247.9999999999957</v>
      </c>
      <c r="L370" s="2">
        <f ca="1">IFERROR(_xlfn.STDEV.S(OFFSET(Tabla3[[#This Row],[Close]],-29,0,30)),"")</f>
        <v>16.027381432556133</v>
      </c>
    </row>
    <row r="371" spans="1:12" x14ac:dyDescent="0.3">
      <c r="A371" s="1">
        <v>42943</v>
      </c>
      <c r="B371" s="3">
        <f>YEAR(Tabla3[[#This Row],[Date]])</f>
        <v>2017</v>
      </c>
      <c r="C371" s="1" t="str">
        <f>+TEXT(Tabla3[[#This Row],[Date]],"mmm")</f>
        <v>jul</v>
      </c>
      <c r="D371" s="2">
        <v>1259.59997558593</v>
      </c>
      <c r="E371" s="2">
        <v>1259.59997558593</v>
      </c>
      <c r="F371" s="2">
        <v>1259.59997558593</v>
      </c>
      <c r="G371" s="2">
        <v>1259.59997558593</v>
      </c>
      <c r="H371" s="2">
        <v>1259.59997558593</v>
      </c>
      <c r="I371">
        <v>220309</v>
      </c>
      <c r="J371" s="2">
        <f ca="1">IFERROR((Tabla3[[#This Row],[Close]]-OFFSET(Tabla3[[#This Row],[Close]],-1,0))/OFFSET(Tabla3[[#This Row],[Close]],-1,0),"")</f>
        <v>8.4867698846517181E-3</v>
      </c>
      <c r="K371" s="2">
        <f ca="1">IFERROR(AVERAGE(OFFSET(Tabla3[[#This Row],[Close]],-6,0,7)),"")</f>
        <v>1250.642857142853</v>
      </c>
      <c r="L371" s="2">
        <f ca="1">IFERROR(_xlfn.STDEV.S(OFFSET(Tabla3[[#This Row],[Close]],-29,0,30)),"")</f>
        <v>15.22038919586703</v>
      </c>
    </row>
    <row r="372" spans="1:12" x14ac:dyDescent="0.3">
      <c r="A372" s="1">
        <v>42944</v>
      </c>
      <c r="B372" s="3">
        <f>YEAR(Tabla3[[#This Row],[Date]])</f>
        <v>2017</v>
      </c>
      <c r="C372" s="1" t="str">
        <f>+TEXT(Tabla3[[#This Row],[Date]],"mmm")</f>
        <v>jul</v>
      </c>
      <c r="D372" s="2">
        <v>1268.40002441406</v>
      </c>
      <c r="E372" s="2">
        <v>1268.40002441406</v>
      </c>
      <c r="F372" s="2">
        <v>1270</v>
      </c>
      <c r="G372" s="2">
        <v>1256.90002441406</v>
      </c>
      <c r="H372" s="2">
        <v>1258.40002441406</v>
      </c>
      <c r="I372">
        <v>64180</v>
      </c>
      <c r="J372" s="2">
        <f ca="1">IFERROR((Tabla3[[#This Row],[Close]]-OFFSET(Tabla3[[#This Row],[Close]],-1,0))/OFFSET(Tabla3[[#This Row],[Close]],-1,0),"")</f>
        <v>6.9863837715910329E-3</v>
      </c>
      <c r="K372" s="2">
        <f ca="1">IFERROR(AVERAGE(OFFSET(Tabla3[[#This Row],[Close]],-6,0,7)),"")</f>
        <v>1254.5285818917371</v>
      </c>
      <c r="L372" s="2">
        <f ca="1">IFERROR(_xlfn.STDEV.S(OFFSET(Tabla3[[#This Row],[Close]],-29,0,30)),"")</f>
        <v>15.998760899451575</v>
      </c>
    </row>
    <row r="373" spans="1:12" x14ac:dyDescent="0.3">
      <c r="A373" s="1">
        <v>42947</v>
      </c>
      <c r="B373" s="3">
        <f>YEAR(Tabla3[[#This Row],[Date]])</f>
        <v>2017</v>
      </c>
      <c r="C373" s="1" t="str">
        <f>+TEXT(Tabla3[[#This Row],[Date]],"mmm")</f>
        <v>jul</v>
      </c>
      <c r="D373" s="2">
        <v>1266.59997558593</v>
      </c>
      <c r="E373" s="2">
        <v>1266.59997558593</v>
      </c>
      <c r="F373" s="2">
        <v>1270.80004882812</v>
      </c>
      <c r="G373" s="2">
        <v>1265.80004882812</v>
      </c>
      <c r="H373" s="2">
        <v>1268.90002441406</v>
      </c>
      <c r="I373">
        <v>7780</v>
      </c>
      <c r="J373" s="2">
        <f ca="1">IFERROR((Tabla3[[#This Row],[Close]]-OFFSET(Tabla3[[#This Row],[Close]],-1,0))/OFFSET(Tabla3[[#This Row],[Close]],-1,0),"")</f>
        <v>-1.4191491591633628E-3</v>
      </c>
      <c r="K373" s="2">
        <f ca="1">IFERROR(AVERAGE(OFFSET(Tabla3[[#This Row],[Close]],-6,0,7)),"")</f>
        <v>1257.6428571428528</v>
      </c>
      <c r="L373" s="2">
        <f ca="1">IFERROR(_xlfn.STDEV.S(OFFSET(Tabla3[[#This Row],[Close]],-29,0,30)),"")</f>
        <v>16.566327445928732</v>
      </c>
    </row>
    <row r="374" spans="1:12" x14ac:dyDescent="0.3">
      <c r="A374" s="1">
        <v>42948</v>
      </c>
      <c r="B374" s="3">
        <f>YEAR(Tabla3[[#This Row],[Date]])</f>
        <v>2017</v>
      </c>
      <c r="C374" s="1" t="str">
        <f>+TEXT(Tabla3[[#This Row],[Date]],"mmm")</f>
        <v>ago</v>
      </c>
      <c r="D374" s="2">
        <v>1272.59997558593</v>
      </c>
      <c r="E374" s="2">
        <v>1272.59997558593</v>
      </c>
      <c r="F374" s="2">
        <v>1273.30004882812</v>
      </c>
      <c r="G374" s="2">
        <v>1262</v>
      </c>
      <c r="H374" s="2">
        <v>1268.40002441406</v>
      </c>
      <c r="I374">
        <v>1061</v>
      </c>
      <c r="J374" s="2">
        <f ca="1">IFERROR((Tabla3[[#This Row],[Close]]-OFFSET(Tabla3[[#This Row],[Close]],-1,0))/OFFSET(Tabla3[[#This Row],[Close]],-1,0),"")</f>
        <v>4.7370915171732857E-3</v>
      </c>
      <c r="K374" s="2">
        <f ca="1">IFERROR(AVERAGE(OFFSET(Tabla3[[#This Row],[Close]],-6,0,7)),"")</f>
        <v>1260.2571323939685</v>
      </c>
      <c r="L374" s="2">
        <f ca="1">IFERROR(_xlfn.STDEV.S(OFFSET(Tabla3[[#This Row],[Close]],-29,0,30)),"")</f>
        <v>17.636418771867444</v>
      </c>
    </row>
    <row r="375" spans="1:12" x14ac:dyDescent="0.3">
      <c r="A375" s="1">
        <v>42949</v>
      </c>
      <c r="B375" s="3">
        <f>YEAR(Tabla3[[#This Row],[Date]])</f>
        <v>2017</v>
      </c>
      <c r="C375" s="1" t="str">
        <f>+TEXT(Tabla3[[#This Row],[Date]],"mmm")</f>
        <v>ago</v>
      </c>
      <c r="D375" s="2">
        <v>1271.80004882812</v>
      </c>
      <c r="E375" s="2">
        <v>1271.80004882812</v>
      </c>
      <c r="F375" s="2">
        <v>1272.09997558593</v>
      </c>
      <c r="G375" s="2">
        <v>1262.90002441406</v>
      </c>
      <c r="H375" s="2">
        <v>1268.5</v>
      </c>
      <c r="I375">
        <v>393</v>
      </c>
      <c r="J375" s="2">
        <f ca="1">IFERROR((Tabla3[[#This Row],[Close]]-OFFSET(Tabla3[[#This Row],[Close]],-1,0))/OFFSET(Tabla3[[#This Row],[Close]],-1,0),"")</f>
        <v>-6.2857675086917786E-4</v>
      </c>
      <c r="K375" s="2">
        <f ca="1">IFERROR(AVERAGE(OFFSET(Tabla3[[#This Row],[Close]],-6,0,7)),"")</f>
        <v>1262.8142787388344</v>
      </c>
      <c r="L375" s="2">
        <f ca="1">IFERROR(_xlfn.STDEV.S(OFFSET(Tabla3[[#This Row],[Close]],-29,0,30)),"")</f>
        <v>18.55781091575901</v>
      </c>
    </row>
    <row r="376" spans="1:12" x14ac:dyDescent="0.3">
      <c r="A376" s="1">
        <v>42950</v>
      </c>
      <c r="B376" s="3">
        <f>YEAR(Tabla3[[#This Row],[Date]])</f>
        <v>2017</v>
      </c>
      <c r="C376" s="1" t="str">
        <f>+TEXT(Tabla3[[#This Row],[Date]],"mmm")</f>
        <v>ago</v>
      </c>
      <c r="D376" s="2">
        <v>1267.80004882812</v>
      </c>
      <c r="E376" s="2">
        <v>1267.80004882812</v>
      </c>
      <c r="F376" s="2">
        <v>1269.80004882812</v>
      </c>
      <c r="G376" s="2">
        <v>1256.59997558593</v>
      </c>
      <c r="H376" s="2">
        <v>1265.90002441406</v>
      </c>
      <c r="I376">
        <v>878</v>
      </c>
      <c r="J376" s="2">
        <f ca="1">IFERROR((Tabla3[[#This Row],[Close]]-OFFSET(Tabla3[[#This Row],[Close]],-1,0))/OFFSET(Tabla3[[#This Row],[Close]],-1,0),"")</f>
        <v>-3.1451484875202958E-3</v>
      </c>
      <c r="K376" s="2">
        <f ca="1">IFERROR(AVERAGE(OFFSET(Tabla3[[#This Row],[Close]],-6,0,7)),"")</f>
        <v>1265.1142926897271</v>
      </c>
      <c r="L376" s="2">
        <f ca="1">IFERROR(_xlfn.STDEV.S(OFFSET(Tabla3[[#This Row],[Close]],-29,0,30)),"")</f>
        <v>19.181173099119107</v>
      </c>
    </row>
    <row r="377" spans="1:12" x14ac:dyDescent="0.3">
      <c r="A377" s="1">
        <v>42951</v>
      </c>
      <c r="B377" s="3">
        <f>YEAR(Tabla3[[#This Row],[Date]])</f>
        <v>2017</v>
      </c>
      <c r="C377" s="1" t="str">
        <f>+TEXT(Tabla3[[#This Row],[Date]],"mmm")</f>
        <v>ago</v>
      </c>
      <c r="D377" s="2">
        <v>1258.30004882812</v>
      </c>
      <c r="E377" s="2">
        <v>1258.30004882812</v>
      </c>
      <c r="F377" s="2">
        <v>1269.59997558593</v>
      </c>
      <c r="G377" s="2">
        <v>1253.90002441406</v>
      </c>
      <c r="H377" s="2">
        <v>1269</v>
      </c>
      <c r="I377">
        <v>521</v>
      </c>
      <c r="J377" s="2">
        <f ca="1">IFERROR((Tabla3[[#This Row],[Close]]-OFFSET(Tabla3[[#This Row],[Close]],-1,0))/OFFSET(Tabla3[[#This Row],[Close]],-1,0),"")</f>
        <v>-7.49329518387481E-3</v>
      </c>
      <c r="K377" s="2">
        <f ca="1">IFERROR(AVERAGE(OFFSET(Tabla3[[#This Row],[Close]],-6,0,7)),"")</f>
        <v>1266.4428710937443</v>
      </c>
      <c r="L377" s="2">
        <f ca="1">IFERROR(_xlfn.STDEV.S(OFFSET(Tabla3[[#This Row],[Close]],-29,0,30)),"")</f>
        <v>19.386761839143869</v>
      </c>
    </row>
    <row r="378" spans="1:12" x14ac:dyDescent="0.3">
      <c r="A378" s="1">
        <v>42954</v>
      </c>
      <c r="B378" s="3">
        <f>YEAR(Tabla3[[#This Row],[Date]])</f>
        <v>2017</v>
      </c>
      <c r="C378" s="1" t="str">
        <f>+TEXT(Tabla3[[#This Row],[Date]],"mmm")</f>
        <v>ago</v>
      </c>
      <c r="D378" s="2">
        <v>1258.19995117187</v>
      </c>
      <c r="E378" s="2">
        <v>1258.19995117187</v>
      </c>
      <c r="F378" s="2">
        <v>1259.09997558593</v>
      </c>
      <c r="G378" s="2">
        <v>1255.30004882812</v>
      </c>
      <c r="H378" s="2">
        <v>1258.69995117187</v>
      </c>
      <c r="I378">
        <v>260</v>
      </c>
      <c r="J378" s="2">
        <f ca="1">IFERROR((Tabla3[[#This Row],[Close]]-OFFSET(Tabla3[[#This Row],[Close]],-1,0))/OFFSET(Tabla3[[#This Row],[Close]],-1,0),"")</f>
        <v>-7.9549910486948606E-5</v>
      </c>
      <c r="K378" s="2">
        <f ca="1">IFERROR(AVERAGE(OFFSET(Tabla3[[#This Row],[Close]],-6,0,7)),"")</f>
        <v>1266.2428676060213</v>
      </c>
      <c r="L378" s="2">
        <f ca="1">IFERROR(_xlfn.STDEV.S(OFFSET(Tabla3[[#This Row],[Close]],-29,0,30)),"")</f>
        <v>19.43928003637329</v>
      </c>
    </row>
    <row r="379" spans="1:12" x14ac:dyDescent="0.3">
      <c r="A379" s="1">
        <v>42955</v>
      </c>
      <c r="B379" s="3">
        <f>YEAR(Tabla3[[#This Row],[Date]])</f>
        <v>2017</v>
      </c>
      <c r="C379" s="1" t="str">
        <f>+TEXT(Tabla3[[#This Row],[Date]],"mmm")</f>
        <v>ago</v>
      </c>
      <c r="D379" s="2">
        <v>1256.40002441406</v>
      </c>
      <c r="E379" s="2">
        <v>1256.40002441406</v>
      </c>
      <c r="F379" s="2">
        <v>1264.09997558593</v>
      </c>
      <c r="G379" s="2">
        <v>1251.40002441406</v>
      </c>
      <c r="H379" s="2">
        <v>1256.90002441406</v>
      </c>
      <c r="I379">
        <v>555</v>
      </c>
      <c r="J379" s="2">
        <f ca="1">IFERROR((Tabla3[[#This Row],[Close]]-OFFSET(Tabla3[[#This Row],[Close]],-1,0))/OFFSET(Tabla3[[#This Row],[Close]],-1,0),"")</f>
        <v>-1.430557008155637E-3</v>
      </c>
      <c r="K379" s="2">
        <f ca="1">IFERROR(AVERAGE(OFFSET(Tabla3[[#This Row],[Close]],-6,0,7)),"")</f>
        <v>1264.5285818917357</v>
      </c>
      <c r="L379" s="2">
        <f ca="1">IFERROR(_xlfn.STDEV.S(OFFSET(Tabla3[[#This Row],[Close]],-29,0,30)),"")</f>
        <v>19.595093184108713</v>
      </c>
    </row>
    <row r="380" spans="1:12" x14ac:dyDescent="0.3">
      <c r="A380" s="1">
        <v>42956</v>
      </c>
      <c r="B380" s="3">
        <f>YEAR(Tabla3[[#This Row],[Date]])</f>
        <v>2017</v>
      </c>
      <c r="C380" s="1" t="str">
        <f>+TEXT(Tabla3[[#This Row],[Date]],"mmm")</f>
        <v>ago</v>
      </c>
      <c r="D380" s="2">
        <v>1273</v>
      </c>
      <c r="E380" s="2">
        <v>1273</v>
      </c>
      <c r="F380" s="2">
        <v>1277.80004882812</v>
      </c>
      <c r="G380" s="2">
        <v>1260.19995117187</v>
      </c>
      <c r="H380" s="2">
        <v>1260.19995117187</v>
      </c>
      <c r="I380">
        <v>574</v>
      </c>
      <c r="J380" s="2">
        <f ca="1">IFERROR((Tabla3[[#This Row],[Close]]-OFFSET(Tabla3[[#This Row],[Close]],-1,0))/OFFSET(Tabla3[[#This Row],[Close]],-1,0),"")</f>
        <v>1.3212333065403779E-2</v>
      </c>
      <c r="K380" s="2">
        <f ca="1">IFERROR(AVERAGE(OFFSET(Tabla3[[#This Row],[Close]],-6,0,7)),"")</f>
        <v>1265.4428710937459</v>
      </c>
      <c r="L380" s="2">
        <f ca="1">IFERROR(_xlfn.STDEV.S(OFFSET(Tabla3[[#This Row],[Close]],-29,0,30)),"")</f>
        <v>20.351452155320832</v>
      </c>
    </row>
    <row r="381" spans="1:12" x14ac:dyDescent="0.3">
      <c r="A381" s="1">
        <v>42957</v>
      </c>
      <c r="B381" s="3">
        <f>YEAR(Tabla3[[#This Row],[Date]])</f>
        <v>2017</v>
      </c>
      <c r="C381" s="1" t="str">
        <f>+TEXT(Tabla3[[#This Row],[Date]],"mmm")</f>
        <v>ago</v>
      </c>
      <c r="D381" s="2">
        <v>1283.69995117187</v>
      </c>
      <c r="E381" s="2">
        <v>1283.69995117187</v>
      </c>
      <c r="F381" s="2">
        <v>1287.40002441406</v>
      </c>
      <c r="G381" s="2">
        <v>1274.90002441406</v>
      </c>
      <c r="H381" s="2">
        <v>1276.59997558593</v>
      </c>
      <c r="I381">
        <v>608</v>
      </c>
      <c r="J381" s="2">
        <f ca="1">IFERROR((Tabla3[[#This Row],[Close]]-OFFSET(Tabla3[[#This Row],[Close]],-1,0))/OFFSET(Tabla3[[#This Row],[Close]],-1,0),"")</f>
        <v>8.4053033557501943E-3</v>
      </c>
      <c r="K381" s="2">
        <f ca="1">IFERROR(AVERAGE(OFFSET(Tabla3[[#This Row],[Close]],-6,0,7)),"")</f>
        <v>1267.0285818917371</v>
      </c>
      <c r="L381" s="2">
        <f ca="1">IFERROR(_xlfn.STDEV.S(OFFSET(Tabla3[[#This Row],[Close]],-29,0,30)),"")</f>
        <v>21.617516734837888</v>
      </c>
    </row>
    <row r="382" spans="1:12" x14ac:dyDescent="0.3">
      <c r="A382" s="1">
        <v>42958</v>
      </c>
      <c r="B382" s="3">
        <f>YEAR(Tabla3[[#This Row],[Date]])</f>
        <v>2017</v>
      </c>
      <c r="C382" s="1" t="str">
        <f>+TEXT(Tabla3[[#This Row],[Date]],"mmm")</f>
        <v>ago</v>
      </c>
      <c r="D382" s="2">
        <v>1287.69995117187</v>
      </c>
      <c r="E382" s="2">
        <v>1287.69995117187</v>
      </c>
      <c r="F382" s="2">
        <v>1291.09997558593</v>
      </c>
      <c r="G382" s="2">
        <v>1282</v>
      </c>
      <c r="H382" s="2">
        <v>1286.30004882812</v>
      </c>
      <c r="I382">
        <v>139</v>
      </c>
      <c r="J382" s="2">
        <f ca="1">IFERROR((Tabla3[[#This Row],[Close]]-OFFSET(Tabla3[[#This Row],[Close]],-1,0))/OFFSET(Tabla3[[#This Row],[Close]],-1,0),"")</f>
        <v>3.1159929517395879E-3</v>
      </c>
      <c r="K382" s="2">
        <f ca="1">IFERROR(AVERAGE(OFFSET(Tabla3[[#This Row],[Close]],-6,0,7)),"")</f>
        <v>1269.2999965122729</v>
      </c>
      <c r="L382" s="2">
        <f ca="1">IFERROR(_xlfn.STDEV.S(OFFSET(Tabla3[[#This Row],[Close]],-29,0,30)),"")</f>
        <v>22.986993997959932</v>
      </c>
    </row>
    <row r="383" spans="1:12" x14ac:dyDescent="0.3">
      <c r="A383" s="1">
        <v>42961</v>
      </c>
      <c r="B383" s="3">
        <f>YEAR(Tabla3[[#This Row],[Date]])</f>
        <v>2017</v>
      </c>
      <c r="C383" s="1" t="str">
        <f>+TEXT(Tabla3[[#This Row],[Date]],"mmm")</f>
        <v>ago</v>
      </c>
      <c r="D383" s="2">
        <v>1284.19995117187</v>
      </c>
      <c r="E383" s="2">
        <v>1284.19995117187</v>
      </c>
      <c r="F383" s="2">
        <v>1288.40002441406</v>
      </c>
      <c r="G383" s="2">
        <v>1278.80004882812</v>
      </c>
      <c r="H383" s="2">
        <v>1288.40002441406</v>
      </c>
      <c r="I383">
        <v>338</v>
      </c>
      <c r="J383" s="2">
        <f ca="1">IFERROR((Tabla3[[#This Row],[Close]]-OFFSET(Tabla3[[#This Row],[Close]],-1,0))/OFFSET(Tabla3[[#This Row],[Close]],-1,0),"")</f>
        <v>-2.718024487626041E-3</v>
      </c>
      <c r="K383" s="2">
        <f ca="1">IFERROR(AVERAGE(OFFSET(Tabla3[[#This Row],[Close]],-6,0,7)),"")</f>
        <v>1271.6428397042368</v>
      </c>
      <c r="L383" s="2">
        <f ca="1">IFERROR(_xlfn.STDEV.S(OFFSET(Tabla3[[#This Row],[Close]],-29,0,30)),"")</f>
        <v>23.971582266164582</v>
      </c>
    </row>
    <row r="384" spans="1:12" x14ac:dyDescent="0.3">
      <c r="A384" s="1">
        <v>42962</v>
      </c>
      <c r="B384" s="3">
        <f>YEAR(Tabla3[[#This Row],[Date]])</f>
        <v>2017</v>
      </c>
      <c r="C384" s="1" t="str">
        <f>+TEXT(Tabla3[[#This Row],[Date]],"mmm")</f>
        <v>ago</v>
      </c>
      <c r="D384" s="2">
        <v>1273.69995117187</v>
      </c>
      <c r="E384" s="2">
        <v>1273.69995117187</v>
      </c>
      <c r="F384" s="2">
        <v>1280.5</v>
      </c>
      <c r="G384" s="2">
        <v>1267.40002441406</v>
      </c>
      <c r="H384" s="2">
        <v>1280.5</v>
      </c>
      <c r="I384">
        <v>188</v>
      </c>
      <c r="J384" s="2">
        <f ca="1">IFERROR((Tabla3[[#This Row],[Close]]-OFFSET(Tabla3[[#This Row],[Close]],-1,0))/OFFSET(Tabla3[[#This Row],[Close]],-1,0),"")</f>
        <v>-8.1762968379016383E-3</v>
      </c>
      <c r="K384" s="2">
        <f ca="1">IFERROR(AVERAGE(OFFSET(Tabla3[[#This Row],[Close]],-6,0,7)),"")</f>
        <v>1273.842825753344</v>
      </c>
      <c r="L384" s="2">
        <f ca="1">IFERROR(_xlfn.STDEV.S(OFFSET(Tabla3[[#This Row],[Close]],-29,0,30)),"")</f>
        <v>23.738205416147949</v>
      </c>
    </row>
    <row r="385" spans="1:12" x14ac:dyDescent="0.3">
      <c r="A385" s="1">
        <v>42963</v>
      </c>
      <c r="B385" s="3">
        <f>YEAR(Tabla3[[#This Row],[Date]])</f>
        <v>2017</v>
      </c>
      <c r="C385" s="1" t="str">
        <f>+TEXT(Tabla3[[#This Row],[Date]],"mmm")</f>
        <v>ago</v>
      </c>
      <c r="D385" s="2">
        <v>1276.90002441406</v>
      </c>
      <c r="E385" s="2">
        <v>1276.90002441406</v>
      </c>
      <c r="F385" s="2">
        <v>1282.59997558593</v>
      </c>
      <c r="G385" s="2">
        <v>1269.40002441406</v>
      </c>
      <c r="H385" s="2">
        <v>1271.30004882812</v>
      </c>
      <c r="I385">
        <v>110</v>
      </c>
      <c r="J385" s="2">
        <f ca="1">IFERROR((Tabla3[[#This Row],[Close]]-OFFSET(Tabla3[[#This Row],[Close]],-1,0))/OFFSET(Tabla3[[#This Row],[Close]],-1,0),"")</f>
        <v>2.5124231489887143E-3</v>
      </c>
      <c r="K385" s="2">
        <f ca="1">IFERROR(AVERAGE(OFFSET(Tabla3[[#This Row],[Close]],-6,0,7)),"")</f>
        <v>1276.5142647879427</v>
      </c>
      <c r="L385" s="2">
        <f ca="1">IFERROR(_xlfn.STDEV.S(OFFSET(Tabla3[[#This Row],[Close]],-29,0,30)),"")</f>
        <v>23.580513504911892</v>
      </c>
    </row>
    <row r="386" spans="1:12" x14ac:dyDescent="0.3">
      <c r="A386" s="1">
        <v>42964</v>
      </c>
      <c r="B386" s="3">
        <f>YEAR(Tabla3[[#This Row],[Date]])</f>
        <v>2017</v>
      </c>
      <c r="C386" s="1" t="str">
        <f>+TEXT(Tabla3[[#This Row],[Date]],"mmm")</f>
        <v>ago</v>
      </c>
      <c r="D386" s="2">
        <v>1286.40002441406</v>
      </c>
      <c r="E386" s="2">
        <v>1286.40002441406</v>
      </c>
      <c r="F386" s="2">
        <v>1288.5</v>
      </c>
      <c r="G386" s="2">
        <v>1283.19995117187</v>
      </c>
      <c r="H386" s="2">
        <v>1283.80004882812</v>
      </c>
      <c r="I386">
        <v>43</v>
      </c>
      <c r="J386" s="2">
        <f ca="1">IFERROR((Tabla3[[#This Row],[Close]]-OFFSET(Tabla3[[#This Row],[Close]],-1,0))/OFFSET(Tabla3[[#This Row],[Close]],-1,0),"")</f>
        <v>7.4398933498018615E-3</v>
      </c>
      <c r="K386" s="2">
        <f ca="1">IFERROR(AVERAGE(OFFSET(Tabla3[[#This Row],[Close]],-6,0,7)),"")</f>
        <v>1280.7999790736571</v>
      </c>
      <c r="L386" s="2">
        <f ca="1">IFERROR(_xlfn.STDEV.S(OFFSET(Tabla3[[#This Row],[Close]],-29,0,30)),"")</f>
        <v>23.741752221066744</v>
      </c>
    </row>
    <row r="387" spans="1:12" x14ac:dyDescent="0.3">
      <c r="A387" s="1">
        <v>42965</v>
      </c>
      <c r="B387" s="3">
        <f>YEAR(Tabla3[[#This Row],[Date]])</f>
        <v>2017</v>
      </c>
      <c r="C387" s="1" t="str">
        <f>+TEXT(Tabla3[[#This Row],[Date]],"mmm")</f>
        <v>ago</v>
      </c>
      <c r="D387" s="2">
        <v>1285.69995117187</v>
      </c>
      <c r="E387" s="2">
        <v>1285.69995117187</v>
      </c>
      <c r="F387" s="2">
        <v>1300.69995117187</v>
      </c>
      <c r="G387" s="2">
        <v>1284.30004882812</v>
      </c>
      <c r="H387" s="2">
        <v>1288.59997558593</v>
      </c>
      <c r="I387">
        <v>358</v>
      </c>
      <c r="J387" s="2">
        <f ca="1">IFERROR((Tabla3[[#This Row],[Close]]-OFFSET(Tabla3[[#This Row],[Close]],-1,0))/OFFSET(Tabla3[[#This Row],[Close]],-1,0),"")</f>
        <v>-5.4421115430938847E-4</v>
      </c>
      <c r="K387" s="2">
        <f ca="1">IFERROR(AVERAGE(OFFSET(Tabla3[[#This Row],[Close]],-6,0,7)),"")</f>
        <v>1282.6142578124957</v>
      </c>
      <c r="L387" s="2">
        <f ca="1">IFERROR(_xlfn.STDEV.S(OFFSET(Tabla3[[#This Row],[Close]],-29,0,30)),"")</f>
        <v>22.853744471703386</v>
      </c>
    </row>
    <row r="388" spans="1:12" x14ac:dyDescent="0.3">
      <c r="A388" s="1">
        <v>42968</v>
      </c>
      <c r="B388" s="3">
        <f>YEAR(Tabla3[[#This Row],[Date]])</f>
        <v>2017</v>
      </c>
      <c r="C388" s="1" t="str">
        <f>+TEXT(Tabla3[[#This Row],[Date]],"mmm")</f>
        <v>ago</v>
      </c>
      <c r="D388" s="2">
        <v>1290.80004882812</v>
      </c>
      <c r="E388" s="2">
        <v>1290.80004882812</v>
      </c>
      <c r="F388" s="2">
        <v>1290.80004882812</v>
      </c>
      <c r="G388" s="2">
        <v>1284.69995117187</v>
      </c>
      <c r="H388" s="2">
        <v>1285.19995117187</v>
      </c>
      <c r="I388">
        <v>18</v>
      </c>
      <c r="J388" s="2">
        <f ca="1">IFERROR((Tabla3[[#This Row],[Close]]-OFFSET(Tabla3[[#This Row],[Close]],-1,0))/OFFSET(Tabla3[[#This Row],[Close]],-1,0),"")</f>
        <v>3.9667868475855832E-3</v>
      </c>
      <c r="K388" s="2">
        <f ca="1">IFERROR(AVERAGE(OFFSET(Tabla3[[#This Row],[Close]],-6,0,7)),"")</f>
        <v>1283.6285574776741</v>
      </c>
      <c r="L388" s="2">
        <f ca="1">IFERROR(_xlfn.STDEV.S(OFFSET(Tabla3[[#This Row],[Close]],-29,0,30)),"")</f>
        <v>22.120194601956388</v>
      </c>
    </row>
    <row r="389" spans="1:12" x14ac:dyDescent="0.3">
      <c r="A389" s="1">
        <v>42969</v>
      </c>
      <c r="B389" s="3">
        <f>YEAR(Tabla3[[#This Row],[Date]])</f>
        <v>2017</v>
      </c>
      <c r="C389" s="1" t="str">
        <f>+TEXT(Tabla3[[#This Row],[Date]],"mmm")</f>
        <v>ago</v>
      </c>
      <c r="D389" s="2">
        <v>1285.09997558593</v>
      </c>
      <c r="E389" s="2">
        <v>1285.09997558593</v>
      </c>
      <c r="F389" s="2">
        <v>1288.40002441406</v>
      </c>
      <c r="G389" s="2">
        <v>1283.19995117187</v>
      </c>
      <c r="H389" s="2">
        <v>1287.19995117187</v>
      </c>
      <c r="I389">
        <v>100</v>
      </c>
      <c r="J389" s="2">
        <f ca="1">IFERROR((Tabla3[[#This Row],[Close]]-OFFSET(Tabla3[[#This Row],[Close]],-1,0))/OFFSET(Tabla3[[#This Row],[Close]],-1,0),"")</f>
        <v>-4.4159227041902678E-3</v>
      </c>
      <c r="K389" s="2">
        <f ca="1">IFERROR(AVERAGE(OFFSET(Tabla3[[#This Row],[Close]],-6,0,7)),"")</f>
        <v>1283.2571323939685</v>
      </c>
      <c r="L389" s="2">
        <f ca="1">IFERROR(_xlfn.STDEV.S(OFFSET(Tabla3[[#This Row],[Close]],-29,0,30)),"")</f>
        <v>20.895722772876965</v>
      </c>
    </row>
    <row r="390" spans="1:12" x14ac:dyDescent="0.3">
      <c r="A390" s="1">
        <v>42970</v>
      </c>
      <c r="B390" s="3">
        <f>YEAR(Tabla3[[#This Row],[Date]])</f>
        <v>2017</v>
      </c>
      <c r="C390" s="1" t="str">
        <f>+TEXT(Tabla3[[#This Row],[Date]],"mmm")</f>
        <v>ago</v>
      </c>
      <c r="D390" s="2">
        <v>1288.90002441406</v>
      </c>
      <c r="E390" s="2">
        <v>1288.90002441406</v>
      </c>
      <c r="F390" s="2">
        <v>1289.40002441406</v>
      </c>
      <c r="G390" s="2">
        <v>1286.90002441406</v>
      </c>
      <c r="H390" s="2">
        <v>1289.40002441406</v>
      </c>
      <c r="I390">
        <v>250</v>
      </c>
      <c r="J390" s="2">
        <f ca="1">IFERROR((Tabla3[[#This Row],[Close]]-OFFSET(Tabla3[[#This Row],[Close]],-1,0))/OFFSET(Tabla3[[#This Row],[Close]],-1,0),"")</f>
        <v>2.9570063810773969E-3</v>
      </c>
      <c r="K390" s="2">
        <f ca="1">IFERROR(AVERAGE(OFFSET(Tabla3[[#This Row],[Close]],-6,0,7)),"")</f>
        <v>1283.9285714285672</v>
      </c>
      <c r="L390" s="2">
        <f ca="1">IFERROR(_xlfn.STDEV.S(OFFSET(Tabla3[[#This Row],[Close]],-29,0,30)),"")</f>
        <v>19.828221720737549</v>
      </c>
    </row>
    <row r="391" spans="1:12" x14ac:dyDescent="0.3">
      <c r="A391" s="1">
        <v>42971</v>
      </c>
      <c r="B391" s="3">
        <f>YEAR(Tabla3[[#This Row],[Date]])</f>
        <v>2017</v>
      </c>
      <c r="C391" s="1" t="str">
        <f>+TEXT(Tabla3[[#This Row],[Date]],"mmm")</f>
        <v>ago</v>
      </c>
      <c r="D391" s="2">
        <v>1286.5</v>
      </c>
      <c r="E391" s="2">
        <v>1286.5</v>
      </c>
      <c r="F391" s="2">
        <v>1288.69995117187</v>
      </c>
      <c r="G391" s="2">
        <v>1284</v>
      </c>
      <c r="H391" s="2">
        <v>1288.69995117187</v>
      </c>
      <c r="I391">
        <v>550</v>
      </c>
      <c r="J391" s="2">
        <f ca="1">IFERROR((Tabla3[[#This Row],[Close]]-OFFSET(Tabla3[[#This Row],[Close]],-1,0))/OFFSET(Tabla3[[#This Row],[Close]],-1,0),"")</f>
        <v>-1.8620718198458109E-3</v>
      </c>
      <c r="K391" s="2">
        <f ca="1">IFERROR(AVERAGE(OFFSET(Tabla3[[#This Row],[Close]],-6,0,7)),"")</f>
        <v>1285.7571498325856</v>
      </c>
      <c r="L391" s="2">
        <f ca="1">IFERROR(_xlfn.STDEV.S(OFFSET(Tabla3[[#This Row],[Close]],-29,0,30)),"")</f>
        <v>18.124844605870333</v>
      </c>
    </row>
    <row r="392" spans="1:12" x14ac:dyDescent="0.3">
      <c r="A392" s="1">
        <v>42972</v>
      </c>
      <c r="B392" s="3">
        <f>YEAR(Tabla3[[#This Row],[Date]])</f>
        <v>2017</v>
      </c>
      <c r="C392" s="1" t="str">
        <f>+TEXT(Tabla3[[#This Row],[Date]],"mmm")</f>
        <v>ago</v>
      </c>
      <c r="D392" s="2">
        <v>1292.5</v>
      </c>
      <c r="E392" s="2">
        <v>1292.5</v>
      </c>
      <c r="F392" s="2">
        <v>1292.69995117187</v>
      </c>
      <c r="G392" s="2">
        <v>1280.30004882812</v>
      </c>
      <c r="H392" s="2">
        <v>1285.40002441406</v>
      </c>
      <c r="I392">
        <v>280</v>
      </c>
      <c r="J392" s="2">
        <f ca="1">IFERROR((Tabla3[[#This Row],[Close]]-OFFSET(Tabla3[[#This Row],[Close]],-1,0))/OFFSET(Tabla3[[#This Row],[Close]],-1,0),"")</f>
        <v>4.6638165565487761E-3</v>
      </c>
      <c r="K392" s="2">
        <f ca="1">IFERROR(AVERAGE(OFFSET(Tabla3[[#This Row],[Close]],-6,0,7)),"")</f>
        <v>1287.9857177734343</v>
      </c>
      <c r="L392" s="2">
        <f ca="1">IFERROR(_xlfn.STDEV.S(OFFSET(Tabla3[[#This Row],[Close]],-29,0,30)),"")</f>
        <v>17.162531651655986</v>
      </c>
    </row>
    <row r="393" spans="1:12" x14ac:dyDescent="0.3">
      <c r="A393" s="1">
        <v>42975</v>
      </c>
      <c r="B393" s="3">
        <f>YEAR(Tabla3[[#This Row],[Date]])</f>
        <v>2017</v>
      </c>
      <c r="C393" s="1" t="str">
        <f>+TEXT(Tabla3[[#This Row],[Date]],"mmm")</f>
        <v>ago</v>
      </c>
      <c r="D393" s="2">
        <v>1309.69995117187</v>
      </c>
      <c r="E393" s="2">
        <v>1309.69995117187</v>
      </c>
      <c r="F393" s="2">
        <v>1311.30004882812</v>
      </c>
      <c r="G393" s="2">
        <v>1293.5</v>
      </c>
      <c r="H393" s="2">
        <v>1293.5</v>
      </c>
      <c r="I393">
        <v>145</v>
      </c>
      <c r="J393" s="2">
        <f ca="1">IFERROR((Tabla3[[#This Row],[Close]]-OFFSET(Tabla3[[#This Row],[Close]],-1,0))/OFFSET(Tabla3[[#This Row],[Close]],-1,0),"")</f>
        <v>1.3307505742259185E-2</v>
      </c>
      <c r="K393" s="2">
        <f ca="1">IFERROR(AVERAGE(OFFSET(Tabla3[[#This Row],[Close]],-6,0,7)),"")</f>
        <v>1291.3142787388356</v>
      </c>
      <c r="L393" s="2">
        <f ca="1">IFERROR(_xlfn.STDEV.S(OFFSET(Tabla3[[#This Row],[Close]],-29,0,30)),"")</f>
        <v>17.445774084960068</v>
      </c>
    </row>
    <row r="394" spans="1:12" x14ac:dyDescent="0.3">
      <c r="A394" s="1">
        <v>42976</v>
      </c>
      <c r="B394" s="3">
        <f>YEAR(Tabla3[[#This Row],[Date]])</f>
        <v>2017</v>
      </c>
      <c r="C394" s="1" t="str">
        <f>+TEXT(Tabla3[[#This Row],[Date]],"mmm")</f>
        <v>ago</v>
      </c>
      <c r="D394" s="2">
        <v>1313.09997558593</v>
      </c>
      <c r="E394" s="2">
        <v>1313.09997558593</v>
      </c>
      <c r="F394" s="2">
        <v>1323.80004882812</v>
      </c>
      <c r="G394" s="2">
        <v>1313.09997558593</v>
      </c>
      <c r="H394" s="2">
        <v>1318.80004882812</v>
      </c>
      <c r="I394">
        <v>1178</v>
      </c>
      <c r="J394" s="2">
        <f ca="1">IFERROR((Tabla3[[#This Row],[Close]]-OFFSET(Tabla3[[#This Row],[Close]],-1,0))/OFFSET(Tabla3[[#This Row],[Close]],-1,0),"")</f>
        <v>2.5960330921733529E-3</v>
      </c>
      <c r="K394" s="2">
        <f ca="1">IFERROR(AVERAGE(OFFSET(Tabla3[[#This Row],[Close]],-6,0,7)),"")</f>
        <v>1295.2285679408444</v>
      </c>
      <c r="L394" s="2">
        <f ca="1">IFERROR(_xlfn.STDEV.S(OFFSET(Tabla3[[#This Row],[Close]],-29,0,30)),"")</f>
        <v>18.173012427101987</v>
      </c>
    </row>
    <row r="395" spans="1:12" x14ac:dyDescent="0.3">
      <c r="A395" s="1">
        <v>42977</v>
      </c>
      <c r="B395" s="3">
        <f>YEAR(Tabla3[[#This Row],[Date]])</f>
        <v>2017</v>
      </c>
      <c r="C395" s="1" t="str">
        <f>+TEXT(Tabla3[[#This Row],[Date]],"mmm")</f>
        <v>ago</v>
      </c>
      <c r="D395" s="2">
        <v>1308.09997558593</v>
      </c>
      <c r="E395" s="2">
        <v>1308.09997558593</v>
      </c>
      <c r="F395" s="2">
        <v>1312.5</v>
      </c>
      <c r="G395" s="2">
        <v>1304.90002441406</v>
      </c>
      <c r="H395" s="2">
        <v>1308.19995117187</v>
      </c>
      <c r="I395">
        <v>1178</v>
      </c>
      <c r="J395" s="2">
        <f ca="1">IFERROR((Tabla3[[#This Row],[Close]]-OFFSET(Tabla3[[#This Row],[Close]],-1,0))/OFFSET(Tabla3[[#This Row],[Close]],-1,0),"")</f>
        <v>-3.8077831794710876E-3</v>
      </c>
      <c r="K395" s="2">
        <f ca="1">IFERROR(AVERAGE(OFFSET(Tabla3[[#This Row],[Close]],-6,0,7)),"")</f>
        <v>1297.699986049103</v>
      </c>
      <c r="L395" s="2">
        <f ca="1">IFERROR(_xlfn.STDEV.S(OFFSET(Tabla3[[#This Row],[Close]],-29,0,30)),"")</f>
        <v>18.230253040531611</v>
      </c>
    </row>
    <row r="396" spans="1:12" x14ac:dyDescent="0.3">
      <c r="A396" s="1">
        <v>42978</v>
      </c>
      <c r="B396" s="3">
        <f>YEAR(Tabla3[[#This Row],[Date]])</f>
        <v>2017</v>
      </c>
      <c r="C396" s="1" t="str">
        <f>+TEXT(Tabla3[[#This Row],[Date]],"mmm")</f>
        <v>ago</v>
      </c>
      <c r="D396" s="2">
        <v>1316.19995117187</v>
      </c>
      <c r="E396" s="2">
        <v>1316.19995117187</v>
      </c>
      <c r="F396" s="2">
        <v>1322.30004882812</v>
      </c>
      <c r="G396" s="2">
        <v>1301.69995117187</v>
      </c>
      <c r="H396" s="2">
        <v>1306.59997558593</v>
      </c>
      <c r="I396">
        <v>373</v>
      </c>
      <c r="J396" s="2">
        <f ca="1">IFERROR((Tabla3[[#This Row],[Close]]-OFFSET(Tabla3[[#This Row],[Close]],-1,0))/OFFSET(Tabla3[[#This Row],[Close]],-1,0),"")</f>
        <v>6.192168593468419E-3</v>
      </c>
      <c r="K396" s="2">
        <f ca="1">IFERROR(AVERAGE(OFFSET(Tabla3[[#This Row],[Close]],-6,0,7)),"")</f>
        <v>1302.1428397042371</v>
      </c>
      <c r="L396" s="2">
        <f ca="1">IFERROR(_xlfn.STDEV.S(OFFSET(Tabla3[[#This Row],[Close]],-29,0,30)),"")</f>
        <v>18.762256287004689</v>
      </c>
    </row>
    <row r="397" spans="1:12" x14ac:dyDescent="0.3">
      <c r="A397" s="1">
        <v>42979</v>
      </c>
      <c r="B397" s="3">
        <f>YEAR(Tabla3[[#This Row],[Date]])</f>
        <v>2017</v>
      </c>
      <c r="C397" s="1" t="str">
        <f>+TEXT(Tabla3[[#This Row],[Date]],"mmm")</f>
        <v>sept</v>
      </c>
      <c r="D397" s="2">
        <v>1324.5</v>
      </c>
      <c r="E397" s="2">
        <v>1324.5</v>
      </c>
      <c r="F397" s="2">
        <v>1327.69995117187</v>
      </c>
      <c r="G397" s="2">
        <v>1316.90002441406</v>
      </c>
      <c r="H397" s="2">
        <v>1320.19995117187</v>
      </c>
      <c r="I397">
        <v>313</v>
      </c>
      <c r="J397" s="2">
        <f ca="1">IFERROR((Tabla3[[#This Row],[Close]]-OFFSET(Tabla3[[#This Row],[Close]],-1,0))/OFFSET(Tabla3[[#This Row],[Close]],-1,0),"")</f>
        <v>6.3060698496000614E-3</v>
      </c>
      <c r="K397" s="2">
        <f ca="1">IFERROR(AVERAGE(OFFSET(Tabla3[[#This Row],[Close]],-6,0,7)),"")</f>
        <v>1307.2285505022285</v>
      </c>
      <c r="L397" s="2">
        <f ca="1">IFERROR(_xlfn.STDEV.S(OFFSET(Tabla3[[#This Row],[Close]],-29,0,30)),"")</f>
        <v>20.075716155456067</v>
      </c>
    </row>
    <row r="398" spans="1:12" x14ac:dyDescent="0.3">
      <c r="A398" s="1">
        <v>42983</v>
      </c>
      <c r="B398" s="3">
        <f>YEAR(Tabla3[[#This Row],[Date]])</f>
        <v>2017</v>
      </c>
      <c r="C398" s="1" t="str">
        <f>+TEXT(Tabla3[[#This Row],[Date]],"mmm")</f>
        <v>sept</v>
      </c>
      <c r="D398" s="2">
        <v>1339.19995117187</v>
      </c>
      <c r="E398" s="2">
        <v>1339.19995117187</v>
      </c>
      <c r="F398" s="2">
        <v>1339.19995117187</v>
      </c>
      <c r="G398" s="2">
        <v>1328.59997558593</v>
      </c>
      <c r="H398" s="2">
        <v>1335.19995117187</v>
      </c>
      <c r="I398">
        <v>39</v>
      </c>
      <c r="J398" s="2">
        <f ca="1">IFERROR((Tabla3[[#This Row],[Close]]-OFFSET(Tabla3[[#This Row],[Close]],-1,0))/OFFSET(Tabla3[[#This Row],[Close]],-1,0),"")</f>
        <v>1.1098490880989052E-2</v>
      </c>
      <c r="K398" s="2">
        <f ca="1">IFERROR(AVERAGE(OFFSET(Tabla3[[#This Row],[Close]],-6,0,7)),"")</f>
        <v>1314.7571149553528</v>
      </c>
      <c r="L398" s="2">
        <f ca="1">IFERROR(_xlfn.STDEV.S(OFFSET(Tabla3[[#This Row],[Close]],-29,0,30)),"")</f>
        <v>22.177342661604378</v>
      </c>
    </row>
    <row r="399" spans="1:12" x14ac:dyDescent="0.3">
      <c r="A399" s="1">
        <v>42984</v>
      </c>
      <c r="B399" s="3">
        <f>YEAR(Tabla3[[#This Row],[Date]])</f>
        <v>2017</v>
      </c>
      <c r="C399" s="1" t="str">
        <f>+TEXT(Tabla3[[#This Row],[Date]],"mmm")</f>
        <v>sept</v>
      </c>
      <c r="D399" s="2">
        <v>1333.90002441406</v>
      </c>
      <c r="E399" s="2">
        <v>1333.90002441406</v>
      </c>
      <c r="F399" s="2">
        <v>1340.30004882812</v>
      </c>
      <c r="G399" s="2">
        <v>1332.59997558593</v>
      </c>
      <c r="H399" s="2">
        <v>1340</v>
      </c>
      <c r="I399">
        <v>20</v>
      </c>
      <c r="J399" s="2">
        <f ca="1">IFERROR((Tabla3[[#This Row],[Close]]-OFFSET(Tabla3[[#This Row],[Close]],-1,0))/OFFSET(Tabla3[[#This Row],[Close]],-1,0),"")</f>
        <v>-3.9575320721691228E-3</v>
      </c>
      <c r="K399" s="2">
        <f ca="1">IFERROR(AVERAGE(OFFSET(Tabla3[[#This Row],[Close]],-6,0,7)),"")</f>
        <v>1320.6714041573614</v>
      </c>
      <c r="L399" s="2">
        <f ca="1">IFERROR(_xlfn.STDEV.S(OFFSET(Tabla3[[#This Row],[Close]],-29,0,30)),"")</f>
        <v>23.244851178526854</v>
      </c>
    </row>
    <row r="400" spans="1:12" x14ac:dyDescent="0.3">
      <c r="A400" s="1">
        <v>42985</v>
      </c>
      <c r="B400" s="3">
        <f>YEAR(Tabla3[[#This Row],[Date]])</f>
        <v>2017</v>
      </c>
      <c r="C400" s="1" t="str">
        <f>+TEXT(Tabla3[[#This Row],[Date]],"mmm")</f>
        <v>sept</v>
      </c>
      <c r="D400" s="2">
        <v>1345.09997558593</v>
      </c>
      <c r="E400" s="2">
        <v>1345.09997558593</v>
      </c>
      <c r="F400" s="2">
        <v>1349</v>
      </c>
      <c r="G400" s="2">
        <v>1336.40002441406</v>
      </c>
      <c r="H400" s="2">
        <v>1336.40002441406</v>
      </c>
      <c r="I400">
        <v>26</v>
      </c>
      <c r="J400" s="2">
        <f ca="1">IFERROR((Tabla3[[#This Row],[Close]]-OFFSET(Tabla3[[#This Row],[Close]],-1,0))/OFFSET(Tabla3[[#This Row],[Close]],-1,0),"")</f>
        <v>8.3963947573880444E-3</v>
      </c>
      <c r="K400" s="2">
        <f ca="1">IFERROR(AVERAGE(OFFSET(Tabla3[[#This Row],[Close]],-6,0,7)),"")</f>
        <v>1325.7285505022269</v>
      </c>
      <c r="L400" s="2">
        <f ca="1">IFERROR(_xlfn.STDEV.S(OFFSET(Tabla3[[#This Row],[Close]],-29,0,30)),"")</f>
        <v>24.606569933208249</v>
      </c>
    </row>
    <row r="401" spans="1:12" x14ac:dyDescent="0.3">
      <c r="A401" s="1">
        <v>42986</v>
      </c>
      <c r="B401" s="3">
        <f>YEAR(Tabla3[[#This Row],[Date]])</f>
        <v>2017</v>
      </c>
      <c r="C401" s="1" t="str">
        <f>+TEXT(Tabla3[[#This Row],[Date]],"mmm")</f>
        <v>sept</v>
      </c>
      <c r="D401" s="2">
        <v>1346</v>
      </c>
      <c r="E401" s="2">
        <v>1346</v>
      </c>
      <c r="F401" s="2">
        <v>1355.80004882812</v>
      </c>
      <c r="G401" s="2">
        <v>1345.59997558593</v>
      </c>
      <c r="H401" s="2">
        <v>1351</v>
      </c>
      <c r="I401">
        <v>37</v>
      </c>
      <c r="J401" s="2">
        <f ca="1">IFERROR((Tabla3[[#This Row],[Close]]-OFFSET(Tabla3[[#This Row],[Close]],-1,0))/OFFSET(Tabla3[[#This Row],[Close]],-1,0),"")</f>
        <v>6.6911339707515026E-4</v>
      </c>
      <c r="K401" s="2">
        <f ca="1">IFERROR(AVERAGE(OFFSET(Tabla3[[#This Row],[Close]],-6,0,7)),"")</f>
        <v>1330.4285539899513</v>
      </c>
      <c r="L401" s="2">
        <f ca="1">IFERROR(_xlfn.STDEV.S(OFFSET(Tabla3[[#This Row],[Close]],-29,0,30)),"")</f>
        <v>26.080728260901409</v>
      </c>
    </row>
    <row r="402" spans="1:12" x14ac:dyDescent="0.3">
      <c r="A402" s="1">
        <v>42989</v>
      </c>
      <c r="B402" s="3">
        <f>YEAR(Tabla3[[#This Row],[Date]])</f>
        <v>2017</v>
      </c>
      <c r="C402" s="1" t="str">
        <f>+TEXT(Tabla3[[#This Row],[Date]],"mmm")</f>
        <v>sept</v>
      </c>
      <c r="D402" s="2">
        <v>1331</v>
      </c>
      <c r="E402" s="2">
        <v>1331</v>
      </c>
      <c r="F402" s="2">
        <v>1331</v>
      </c>
      <c r="G402" s="2">
        <v>1327.30004882812</v>
      </c>
      <c r="H402" s="2">
        <v>1331</v>
      </c>
      <c r="I402">
        <v>9</v>
      </c>
      <c r="J402" s="2">
        <f ca="1">IFERROR((Tabla3[[#This Row],[Close]]-OFFSET(Tabla3[[#This Row],[Close]],-1,0))/OFFSET(Tabla3[[#This Row],[Close]],-1,0),"")</f>
        <v>-1.1144130757800892E-2</v>
      </c>
      <c r="K402" s="2">
        <f ca="1">IFERROR(AVERAGE(OFFSET(Tabla3[[#This Row],[Close]],-6,0,7)),"")</f>
        <v>1333.6999860491044</v>
      </c>
      <c r="L402" s="2">
        <f ca="1">IFERROR(_xlfn.STDEV.S(OFFSET(Tabla3[[#This Row],[Close]],-29,0,30)),"")</f>
        <v>26.650292187749383</v>
      </c>
    </row>
    <row r="403" spans="1:12" x14ac:dyDescent="0.3">
      <c r="A403" s="1">
        <v>42990</v>
      </c>
      <c r="B403" s="3">
        <f>YEAR(Tabla3[[#This Row],[Date]])</f>
        <v>2017</v>
      </c>
      <c r="C403" s="1" t="str">
        <f>+TEXT(Tabla3[[#This Row],[Date]],"mmm")</f>
        <v>sept</v>
      </c>
      <c r="D403" s="2">
        <v>1328</v>
      </c>
      <c r="E403" s="2">
        <v>1328</v>
      </c>
      <c r="F403" s="2">
        <v>1328</v>
      </c>
      <c r="G403" s="2">
        <v>1325.19995117187</v>
      </c>
      <c r="H403" s="2">
        <v>1327</v>
      </c>
      <c r="I403">
        <v>15</v>
      </c>
      <c r="J403" s="2">
        <f ca="1">IFERROR((Tabla3[[#This Row],[Close]]-OFFSET(Tabla3[[#This Row],[Close]],-1,0))/OFFSET(Tabla3[[#This Row],[Close]],-1,0),"")</f>
        <v>-2.2539444027047332E-3</v>
      </c>
      <c r="K403" s="2">
        <f ca="1">IFERROR(AVERAGE(OFFSET(Tabla3[[#This Row],[Close]],-6,0,7)),"")</f>
        <v>1335.3857073102658</v>
      </c>
      <c r="L403" s="2">
        <f ca="1">IFERROR(_xlfn.STDEV.S(OFFSET(Tabla3[[#This Row],[Close]],-29,0,30)),"")</f>
        <v>26.84738207808579</v>
      </c>
    </row>
    <row r="404" spans="1:12" x14ac:dyDescent="0.3">
      <c r="A404" s="1">
        <v>42991</v>
      </c>
      <c r="B404" s="3">
        <f>YEAR(Tabla3[[#This Row],[Date]])</f>
        <v>2017</v>
      </c>
      <c r="C404" s="1" t="str">
        <f>+TEXT(Tabla3[[#This Row],[Date]],"mmm")</f>
        <v>sept</v>
      </c>
      <c r="D404" s="2">
        <v>1323.40002441406</v>
      </c>
      <c r="E404" s="2">
        <v>1323.40002441406</v>
      </c>
      <c r="F404" s="2">
        <v>1323.40002441406</v>
      </c>
      <c r="G404" s="2">
        <v>1323.40002441406</v>
      </c>
      <c r="H404" s="2">
        <v>1323.40002441406</v>
      </c>
      <c r="I404">
        <v>16</v>
      </c>
      <c r="J404" s="2">
        <f ca="1">IFERROR((Tabla3[[#This Row],[Close]]-OFFSET(Tabla3[[#This Row],[Close]],-1,0))/OFFSET(Tabla3[[#This Row],[Close]],-1,0),"")</f>
        <v>-3.4638370376054227E-3</v>
      </c>
      <c r="K404" s="2">
        <f ca="1">IFERROR(AVERAGE(OFFSET(Tabla3[[#This Row],[Close]],-6,0,7)),"")</f>
        <v>1335.2285679408458</v>
      </c>
      <c r="L404" s="2">
        <f ca="1">IFERROR(_xlfn.STDEV.S(OFFSET(Tabla3[[#This Row],[Close]],-29,0,30)),"")</f>
        <v>26.933371609881025</v>
      </c>
    </row>
    <row r="405" spans="1:12" x14ac:dyDescent="0.3">
      <c r="A405" s="1">
        <v>42992</v>
      </c>
      <c r="B405" s="3">
        <f>YEAR(Tabla3[[#This Row],[Date]])</f>
        <v>2017</v>
      </c>
      <c r="C405" s="1" t="str">
        <f>+TEXT(Tabla3[[#This Row],[Date]],"mmm")</f>
        <v>sept</v>
      </c>
      <c r="D405" s="2">
        <v>1324.69995117187</v>
      </c>
      <c r="E405" s="2">
        <v>1324.69995117187</v>
      </c>
      <c r="F405" s="2">
        <v>1329.30004882812</v>
      </c>
      <c r="G405" s="2">
        <v>1319.59997558593</v>
      </c>
      <c r="H405" s="2">
        <v>1319.59997558593</v>
      </c>
      <c r="I405">
        <v>316</v>
      </c>
      <c r="J405" s="2">
        <f ca="1">IFERROR((Tabla3[[#This Row],[Close]]-OFFSET(Tabla3[[#This Row],[Close]],-1,0))/OFFSET(Tabla3[[#This Row],[Close]],-1,0),"")</f>
        <v>9.8226290904410867E-4</v>
      </c>
      <c r="K405" s="2">
        <f ca="1">IFERROR(AVERAGE(OFFSET(Tabla3[[#This Row],[Close]],-6,0,7)),"")</f>
        <v>1333.1571393694171</v>
      </c>
      <c r="L405" s="2">
        <f ca="1">IFERROR(_xlfn.STDEV.S(OFFSET(Tabla3[[#This Row],[Close]],-29,0,30)),"")</f>
        <v>26.92264647752577</v>
      </c>
    </row>
    <row r="406" spans="1:12" x14ac:dyDescent="0.3">
      <c r="A406" s="1">
        <v>42993</v>
      </c>
      <c r="B406" s="3">
        <f>YEAR(Tabla3[[#This Row],[Date]])</f>
        <v>2017</v>
      </c>
      <c r="C406" s="1" t="str">
        <f>+TEXT(Tabla3[[#This Row],[Date]],"mmm")</f>
        <v>sept</v>
      </c>
      <c r="D406" s="2">
        <v>1320.40002441406</v>
      </c>
      <c r="E406" s="2">
        <v>1320.40002441406</v>
      </c>
      <c r="F406" s="2">
        <v>1321.19995117187</v>
      </c>
      <c r="G406" s="2">
        <v>1319.80004882812</v>
      </c>
      <c r="H406" s="2">
        <v>1320.59997558593</v>
      </c>
      <c r="I406">
        <v>15</v>
      </c>
      <c r="J406" s="2">
        <f ca="1">IFERROR((Tabla3[[#This Row],[Close]]-OFFSET(Tabla3[[#This Row],[Close]],-1,0))/OFFSET(Tabla3[[#This Row],[Close]],-1,0),"")</f>
        <v>-3.2459627963344851E-3</v>
      </c>
      <c r="K406" s="2">
        <f ca="1">IFERROR(AVERAGE(OFFSET(Tabla3[[#This Row],[Close]],-6,0,7)),"")</f>
        <v>1331.2285679408458</v>
      </c>
      <c r="L406" s="2">
        <f ca="1">IFERROR(_xlfn.STDEV.S(OFFSET(Tabla3[[#This Row],[Close]],-29,0,30)),"")</f>
        <v>26.510784918489698</v>
      </c>
    </row>
    <row r="407" spans="1:12" x14ac:dyDescent="0.3">
      <c r="A407" s="1">
        <v>42996</v>
      </c>
      <c r="B407" s="3">
        <f>YEAR(Tabla3[[#This Row],[Date]])</f>
        <v>2017</v>
      </c>
      <c r="C407" s="1" t="str">
        <f>+TEXT(Tabla3[[#This Row],[Date]],"mmm")</f>
        <v>sept</v>
      </c>
      <c r="D407" s="2">
        <v>1306.30004882812</v>
      </c>
      <c r="E407" s="2">
        <v>1306.30004882812</v>
      </c>
      <c r="F407" s="2">
        <v>1310.40002441406</v>
      </c>
      <c r="G407" s="2">
        <v>1306</v>
      </c>
      <c r="H407" s="2">
        <v>1309.80004882812</v>
      </c>
      <c r="I407">
        <v>129</v>
      </c>
      <c r="J407" s="2">
        <f ca="1">IFERROR((Tabla3[[#This Row],[Close]]-OFFSET(Tabla3[[#This Row],[Close]],-1,0))/OFFSET(Tabla3[[#This Row],[Close]],-1,0),"")</f>
        <v>-1.0678563560461155E-2</v>
      </c>
      <c r="K407" s="2">
        <f ca="1">IFERROR(AVERAGE(OFFSET(Tabla3[[#This Row],[Close]],-6,0,7)),"")</f>
        <v>1325.6857212611587</v>
      </c>
      <c r="L407" s="2">
        <f ca="1">IFERROR(_xlfn.STDEV.S(OFFSET(Tabla3[[#This Row],[Close]],-29,0,30)),"")</f>
        <v>25.261170622916623</v>
      </c>
    </row>
    <row r="408" spans="1:12" x14ac:dyDescent="0.3">
      <c r="A408" s="1">
        <v>42997</v>
      </c>
      <c r="B408" s="3">
        <f>YEAR(Tabla3[[#This Row],[Date]])</f>
        <v>2017</v>
      </c>
      <c r="C408" s="1" t="str">
        <f>+TEXT(Tabla3[[#This Row],[Date]],"mmm")</f>
        <v>sept</v>
      </c>
      <c r="D408" s="2">
        <v>1306.19995117187</v>
      </c>
      <c r="E408" s="2">
        <v>1306.19995117187</v>
      </c>
      <c r="F408" s="2">
        <v>1310.30004882812</v>
      </c>
      <c r="G408" s="2">
        <v>1305.09997558593</v>
      </c>
      <c r="H408" s="2">
        <v>1307.90002441406</v>
      </c>
      <c r="I408">
        <v>20</v>
      </c>
      <c r="J408" s="2">
        <f ca="1">IFERROR((Tabla3[[#This Row],[Close]]-OFFSET(Tabla3[[#This Row],[Close]],-1,0))/OFFSET(Tabla3[[#This Row],[Close]],-1,0),"")</f>
        <v>-7.6626848739535353E-5</v>
      </c>
      <c r="K408" s="2">
        <f ca="1">IFERROR(AVERAGE(OFFSET(Tabla3[[#This Row],[Close]],-6,0,7)),"")</f>
        <v>1319.999999999997</v>
      </c>
      <c r="L408" s="2">
        <f ca="1">IFERROR(_xlfn.STDEV.S(OFFSET(Tabla3[[#This Row],[Close]],-29,0,30)),"")</f>
        <v>23.82863521066685</v>
      </c>
    </row>
    <row r="409" spans="1:12" x14ac:dyDescent="0.3">
      <c r="A409" s="1">
        <v>42998</v>
      </c>
      <c r="B409" s="3">
        <f>YEAR(Tabla3[[#This Row],[Date]])</f>
        <v>2017</v>
      </c>
      <c r="C409" s="1" t="str">
        <f>+TEXT(Tabla3[[#This Row],[Date]],"mmm")</f>
        <v>sept</v>
      </c>
      <c r="D409" s="2">
        <v>1312</v>
      </c>
      <c r="E409" s="2">
        <v>1312</v>
      </c>
      <c r="F409" s="2">
        <v>1312</v>
      </c>
      <c r="G409" s="2">
        <v>1298.69995117187</v>
      </c>
      <c r="H409" s="2">
        <v>1312</v>
      </c>
      <c r="I409">
        <v>12</v>
      </c>
      <c r="J409" s="2">
        <f ca="1">IFERROR((Tabla3[[#This Row],[Close]]-OFFSET(Tabla3[[#This Row],[Close]],-1,0))/OFFSET(Tabla3[[#This Row],[Close]],-1,0),"")</f>
        <v>4.4403989013523017E-3</v>
      </c>
      <c r="K409" s="2">
        <f ca="1">IFERROR(AVERAGE(OFFSET(Tabla3[[#This Row],[Close]],-6,0,7)),"")</f>
        <v>1317.2857142857115</v>
      </c>
      <c r="L409" s="2">
        <f ca="1">IFERROR(_xlfn.STDEV.S(OFFSET(Tabla3[[#This Row],[Close]],-29,0,30)),"")</f>
        <v>22.077021465701492</v>
      </c>
    </row>
    <row r="410" spans="1:12" x14ac:dyDescent="0.3">
      <c r="A410" s="1">
        <v>42999</v>
      </c>
      <c r="B410" s="3">
        <f>YEAR(Tabla3[[#This Row],[Date]])</f>
        <v>2017</v>
      </c>
      <c r="C410" s="1" t="str">
        <f>+TEXT(Tabla3[[#This Row],[Date]],"mmm")</f>
        <v>sept</v>
      </c>
      <c r="D410" s="2">
        <v>1290.59997558593</v>
      </c>
      <c r="E410" s="2">
        <v>1290.59997558593</v>
      </c>
      <c r="F410" s="2">
        <v>1304.09997558593</v>
      </c>
      <c r="G410" s="2">
        <v>1290.30004882812</v>
      </c>
      <c r="H410" s="2">
        <v>1299.09997558593</v>
      </c>
      <c r="I410">
        <v>336</v>
      </c>
      <c r="J410" s="2">
        <f ca="1">IFERROR((Tabla3[[#This Row],[Close]]-OFFSET(Tabla3[[#This Row],[Close]],-1,0))/OFFSET(Tabla3[[#This Row],[Close]],-1,0),"")</f>
        <v>-1.631099421804116E-2</v>
      </c>
      <c r="K410" s="2">
        <f ca="1">IFERROR(AVERAGE(OFFSET(Tabla3[[#This Row],[Close]],-6,0,7)),"")</f>
        <v>1311.94285365513</v>
      </c>
      <c r="L410" s="2">
        <f ca="1">IFERROR(_xlfn.STDEV.S(OFFSET(Tabla3[[#This Row],[Close]],-29,0,30)),"")</f>
        <v>21.390365711980088</v>
      </c>
    </row>
    <row r="411" spans="1:12" x14ac:dyDescent="0.3">
      <c r="A411" s="1">
        <v>43000</v>
      </c>
      <c r="B411" s="3">
        <f>YEAR(Tabla3[[#This Row],[Date]])</f>
        <v>2017</v>
      </c>
      <c r="C411" s="1" t="str">
        <f>+TEXT(Tabla3[[#This Row],[Date]],"mmm")</f>
        <v>sept</v>
      </c>
      <c r="D411" s="2">
        <v>1293.30004882812</v>
      </c>
      <c r="E411" s="2">
        <v>1293.30004882812</v>
      </c>
      <c r="F411" s="2">
        <v>1295.69995117187</v>
      </c>
      <c r="G411" s="2">
        <v>1293.30004882812</v>
      </c>
      <c r="H411" s="2">
        <v>1295</v>
      </c>
      <c r="I411">
        <v>209</v>
      </c>
      <c r="J411" s="2">
        <f ca="1">IFERROR((Tabla3[[#This Row],[Close]]-OFFSET(Tabla3[[#This Row],[Close]],-1,0))/OFFSET(Tabla3[[#This Row],[Close]],-1,0),"")</f>
        <v>2.0921069992769627E-3</v>
      </c>
      <c r="K411" s="2">
        <f ca="1">IFERROR(AVERAGE(OFFSET(Tabla3[[#This Row],[Close]],-6,0,7)),"")</f>
        <v>1307.642857142853</v>
      </c>
      <c r="L411" s="2">
        <f ca="1">IFERROR(_xlfn.STDEV.S(OFFSET(Tabla3[[#This Row],[Close]],-29,0,30)),"")</f>
        <v>21.104574789171366</v>
      </c>
    </row>
    <row r="412" spans="1:12" x14ac:dyDescent="0.3">
      <c r="A412" s="1">
        <v>43003</v>
      </c>
      <c r="B412" s="3">
        <f>YEAR(Tabla3[[#This Row],[Date]])</f>
        <v>2017</v>
      </c>
      <c r="C412" s="1" t="str">
        <f>+TEXT(Tabla3[[#This Row],[Date]],"mmm")</f>
        <v>sept</v>
      </c>
      <c r="D412" s="2">
        <v>1306.80004882812</v>
      </c>
      <c r="E412" s="2">
        <v>1306.80004882812</v>
      </c>
      <c r="F412" s="2">
        <v>1309.19995117187</v>
      </c>
      <c r="G412" s="2">
        <v>1291</v>
      </c>
      <c r="H412" s="2">
        <v>1293.09997558593</v>
      </c>
      <c r="I412">
        <v>51</v>
      </c>
      <c r="J412" s="2">
        <f ca="1">IFERROR((Tabla3[[#This Row],[Close]]-OFFSET(Tabla3[[#This Row],[Close]],-1,0))/OFFSET(Tabla3[[#This Row],[Close]],-1,0),"")</f>
        <v>1.0438412967070224E-2</v>
      </c>
      <c r="K412" s="2">
        <f ca="1">IFERROR(AVERAGE(OFFSET(Tabla3[[#This Row],[Close]],-6,0,7)),"")</f>
        <v>1305.0857282366028</v>
      </c>
      <c r="L412" s="2">
        <f ca="1">IFERROR(_xlfn.STDEV.S(OFFSET(Tabla3[[#This Row],[Close]],-29,0,30)),"")</f>
        <v>20.787885961679184</v>
      </c>
    </row>
    <row r="413" spans="1:12" x14ac:dyDescent="0.3">
      <c r="A413" s="1">
        <v>43004</v>
      </c>
      <c r="B413" s="3">
        <f>YEAR(Tabla3[[#This Row],[Date]])</f>
        <v>2017</v>
      </c>
      <c r="C413" s="1" t="str">
        <f>+TEXT(Tabla3[[#This Row],[Date]],"mmm")</f>
        <v>sept</v>
      </c>
      <c r="D413" s="2">
        <v>1297</v>
      </c>
      <c r="E413" s="2">
        <v>1297</v>
      </c>
      <c r="F413" s="2">
        <v>1305.59997558593</v>
      </c>
      <c r="G413" s="2">
        <v>1297</v>
      </c>
      <c r="H413" s="2">
        <v>1304.5</v>
      </c>
      <c r="I413">
        <v>39</v>
      </c>
      <c r="J413" s="2">
        <f ca="1">IFERROR((Tabla3[[#This Row],[Close]]-OFFSET(Tabla3[[#This Row],[Close]],-1,0))/OFFSET(Tabla3[[#This Row],[Close]],-1,0),"")</f>
        <v>-7.4992718564008661E-3</v>
      </c>
      <c r="K413" s="2">
        <f ca="1">IFERROR(AVERAGE(OFFSET(Tabla3[[#This Row],[Close]],-6,0,7)),"")</f>
        <v>1301.7428676060229</v>
      </c>
      <c r="L413" s="2">
        <f ca="1">IFERROR(_xlfn.STDEV.S(OFFSET(Tabla3[[#This Row],[Close]],-29,0,30)),"")</f>
        <v>20.418266299537773</v>
      </c>
    </row>
    <row r="414" spans="1:12" x14ac:dyDescent="0.3">
      <c r="A414" s="1">
        <v>43005</v>
      </c>
      <c r="B414" s="3">
        <f>YEAR(Tabla3[[#This Row],[Date]])</f>
        <v>2017</v>
      </c>
      <c r="C414" s="1" t="str">
        <f>+TEXT(Tabla3[[#This Row],[Date]],"mmm")</f>
        <v>sept</v>
      </c>
      <c r="D414" s="2">
        <v>1283.40002441406</v>
      </c>
      <c r="E414" s="2">
        <v>1283.40002441406</v>
      </c>
      <c r="F414" s="2">
        <v>1283.40002441406</v>
      </c>
      <c r="G414" s="2">
        <v>1283.40002441406</v>
      </c>
      <c r="H414" s="2">
        <v>1283.40002441406</v>
      </c>
      <c r="I414">
        <v>19488</v>
      </c>
      <c r="J414" s="2">
        <f ca="1">IFERROR((Tabla3[[#This Row],[Close]]-OFFSET(Tabla3[[#This Row],[Close]],-1,0))/OFFSET(Tabla3[[#This Row],[Close]],-1,0),"")</f>
        <v>-1.0485717491087124E-2</v>
      </c>
      <c r="K414" s="2">
        <f ca="1">IFERROR(AVERAGE(OFFSET(Tabla3[[#This Row],[Close]],-6,0,7)),"")</f>
        <v>1298.4714355468714</v>
      </c>
      <c r="L414" s="2">
        <f ca="1">IFERROR(_xlfn.STDEV.S(OFFSET(Tabla3[[#This Row],[Close]],-29,0,30)),"")</f>
        <v>19.926155196077492</v>
      </c>
    </row>
    <row r="415" spans="1:12" x14ac:dyDescent="0.3">
      <c r="A415" s="1">
        <v>43006</v>
      </c>
      <c r="B415" s="3">
        <f>YEAR(Tabla3[[#This Row],[Date]])</f>
        <v>2017</v>
      </c>
      <c r="C415" s="1" t="str">
        <f>+TEXT(Tabla3[[#This Row],[Date]],"mmm")</f>
        <v>sept</v>
      </c>
      <c r="D415" s="2">
        <v>1285.5</v>
      </c>
      <c r="E415" s="2">
        <v>1285.5</v>
      </c>
      <c r="F415" s="2">
        <v>1288</v>
      </c>
      <c r="G415" s="2">
        <v>1277</v>
      </c>
      <c r="H415" s="2">
        <v>1283.09997558593</v>
      </c>
      <c r="I415">
        <v>5226</v>
      </c>
      <c r="J415" s="2">
        <f ca="1">IFERROR((Tabla3[[#This Row],[Close]]-OFFSET(Tabla3[[#This Row],[Close]],-1,0))/OFFSET(Tabla3[[#This Row],[Close]],-1,0),"")</f>
        <v>1.6362595807949676E-3</v>
      </c>
      <c r="K415" s="2">
        <f ca="1">IFERROR(AVERAGE(OFFSET(Tabla3[[#This Row],[Close]],-6,0,7)),"")</f>
        <v>1295.5142996651757</v>
      </c>
      <c r="L415" s="2">
        <f ca="1">IFERROR(_xlfn.STDEV.S(OFFSET(Tabla3[[#This Row],[Close]],-29,0,30)),"")</f>
        <v>19.515128006597358</v>
      </c>
    </row>
    <row r="416" spans="1:12" x14ac:dyDescent="0.3">
      <c r="A416" s="1">
        <v>43007</v>
      </c>
      <c r="B416" s="3">
        <f>YEAR(Tabla3[[#This Row],[Date]])</f>
        <v>2017</v>
      </c>
      <c r="C416" s="1" t="str">
        <f>+TEXT(Tabla3[[#This Row],[Date]],"mmm")</f>
        <v>sept</v>
      </c>
      <c r="D416" s="2">
        <v>1281.5</v>
      </c>
      <c r="E416" s="2">
        <v>1281.5</v>
      </c>
      <c r="F416" s="2">
        <v>1289.40002441406</v>
      </c>
      <c r="G416" s="2">
        <v>1281.5</v>
      </c>
      <c r="H416" s="2">
        <v>1284.19995117187</v>
      </c>
      <c r="I416">
        <v>492</v>
      </c>
      <c r="J416" s="2">
        <f ca="1">IFERROR((Tabla3[[#This Row],[Close]]-OFFSET(Tabla3[[#This Row],[Close]],-1,0))/OFFSET(Tabla3[[#This Row],[Close]],-1,0),"")</f>
        <v>-3.1116297160637884E-3</v>
      </c>
      <c r="K416" s="2">
        <f ca="1">IFERROR(AVERAGE(OFFSET(Tabla3[[#This Row],[Close]],-6,0,7)),"")</f>
        <v>1291.1571568080326</v>
      </c>
      <c r="L416" s="2">
        <f ca="1">IFERROR(_xlfn.STDEV.S(OFFSET(Tabla3[[#This Row],[Close]],-29,0,30)),"")</f>
        <v>19.727355825515467</v>
      </c>
    </row>
    <row r="417" spans="1:12" x14ac:dyDescent="0.3">
      <c r="A417" s="1">
        <v>43010</v>
      </c>
      <c r="B417" s="3">
        <f>YEAR(Tabla3[[#This Row],[Date]])</f>
        <v>2017</v>
      </c>
      <c r="C417" s="1" t="str">
        <f>+TEXT(Tabla3[[#This Row],[Date]],"mmm")</f>
        <v>oct</v>
      </c>
      <c r="D417" s="2">
        <v>1272.69995117187</v>
      </c>
      <c r="E417" s="2">
        <v>1272.69995117187</v>
      </c>
      <c r="F417" s="2">
        <v>1276.09997558593</v>
      </c>
      <c r="G417" s="2">
        <v>1270.40002441406</v>
      </c>
      <c r="H417" s="2">
        <v>1275</v>
      </c>
      <c r="I417">
        <v>136</v>
      </c>
      <c r="J417" s="2">
        <f ca="1">IFERROR((Tabla3[[#This Row],[Close]]-OFFSET(Tabla3[[#This Row],[Close]],-1,0))/OFFSET(Tabla3[[#This Row],[Close]],-1,0),"")</f>
        <v>-6.8669908920249729E-3</v>
      </c>
      <c r="K417" s="2">
        <f ca="1">IFERROR(AVERAGE(OFFSET(Tabla3[[#This Row],[Close]],-6,0,7)),"")</f>
        <v>1288.6000104631671</v>
      </c>
      <c r="L417" s="2">
        <f ca="1">IFERROR(_xlfn.STDEV.S(OFFSET(Tabla3[[#This Row],[Close]],-29,0,30)),"")</f>
        <v>20.377813312317009</v>
      </c>
    </row>
    <row r="418" spans="1:12" x14ac:dyDescent="0.3">
      <c r="A418" s="1">
        <v>43011</v>
      </c>
      <c r="B418" s="3">
        <f>YEAR(Tabla3[[#This Row],[Date]])</f>
        <v>2017</v>
      </c>
      <c r="C418" s="1" t="str">
        <f>+TEXT(Tabla3[[#This Row],[Date]],"mmm")</f>
        <v>oct</v>
      </c>
      <c r="D418" s="2">
        <v>1271.5</v>
      </c>
      <c r="E418" s="2">
        <v>1271.5</v>
      </c>
      <c r="F418" s="2">
        <v>1273.30004882812</v>
      </c>
      <c r="G418" s="2">
        <v>1268.59997558593</v>
      </c>
      <c r="H418" s="2">
        <v>1269.69995117187</v>
      </c>
      <c r="I418">
        <v>192</v>
      </c>
      <c r="J418" s="2">
        <f ca="1">IFERROR((Tabla3[[#This Row],[Close]]-OFFSET(Tabla3[[#This Row],[Close]],-1,0))/OFFSET(Tabla3[[#This Row],[Close]],-1,0),"")</f>
        <v>-9.4283901776307368E-4</v>
      </c>
      <c r="K418" s="2">
        <f ca="1">IFERROR(AVERAGE(OFFSET(Tabla3[[#This Row],[Close]],-6,0,7)),"")</f>
        <v>1285.4857177734357</v>
      </c>
      <c r="L418" s="2">
        <f ca="1">IFERROR(_xlfn.STDEV.S(OFFSET(Tabla3[[#This Row],[Close]],-29,0,30)),"")</f>
        <v>21.229035217772001</v>
      </c>
    </row>
    <row r="419" spans="1:12" x14ac:dyDescent="0.3">
      <c r="A419" s="1">
        <v>43012</v>
      </c>
      <c r="B419" s="3">
        <f>YEAR(Tabla3[[#This Row],[Date]])</f>
        <v>2017</v>
      </c>
      <c r="C419" s="1" t="str">
        <f>+TEXT(Tabla3[[#This Row],[Date]],"mmm")</f>
        <v>oct</v>
      </c>
      <c r="D419" s="2">
        <v>1273.69995117187</v>
      </c>
      <c r="E419" s="2">
        <v>1273.69995117187</v>
      </c>
      <c r="F419" s="2">
        <v>1280.80004882812</v>
      </c>
      <c r="G419" s="2">
        <v>1270</v>
      </c>
      <c r="H419" s="2">
        <v>1273.80004882812</v>
      </c>
      <c r="I419">
        <v>218</v>
      </c>
      <c r="J419" s="2">
        <f ca="1">IFERROR((Tabla3[[#This Row],[Close]]-OFFSET(Tabla3[[#This Row],[Close]],-1,0))/OFFSET(Tabla3[[#This Row],[Close]],-1,0),"")</f>
        <v>1.7302014721745952E-3</v>
      </c>
      <c r="K419" s="2">
        <f ca="1">IFERROR(AVERAGE(OFFSET(Tabla3[[#This Row],[Close]],-6,0,7)),"")</f>
        <v>1280.7571323939715</v>
      </c>
      <c r="L419" s="2">
        <f ca="1">IFERROR(_xlfn.STDEV.S(OFFSET(Tabla3[[#This Row],[Close]],-29,0,30)),"")</f>
        <v>21.738565941108828</v>
      </c>
    </row>
    <row r="420" spans="1:12" x14ac:dyDescent="0.3">
      <c r="A420" s="1">
        <v>43013</v>
      </c>
      <c r="B420" s="3">
        <f>YEAR(Tabla3[[#This Row],[Date]])</f>
        <v>2017</v>
      </c>
      <c r="C420" s="1" t="str">
        <f>+TEXT(Tabla3[[#This Row],[Date]],"mmm")</f>
        <v>oct</v>
      </c>
      <c r="D420" s="2">
        <v>1269.90002441406</v>
      </c>
      <c r="E420" s="2">
        <v>1269.90002441406</v>
      </c>
      <c r="F420" s="2">
        <v>1277.80004882812</v>
      </c>
      <c r="G420" s="2">
        <v>1267.59997558593</v>
      </c>
      <c r="H420" s="2">
        <v>1277.80004882812</v>
      </c>
      <c r="I420">
        <v>36</v>
      </c>
      <c r="J420" s="2">
        <f ca="1">IFERROR((Tabla3[[#This Row],[Close]]-OFFSET(Tabla3[[#This Row],[Close]],-1,0))/OFFSET(Tabla3[[#This Row],[Close]],-1,0),"")</f>
        <v>-2.9833767005438519E-3</v>
      </c>
      <c r="K420" s="2">
        <f ca="1">IFERROR(AVERAGE(OFFSET(Tabla3[[#This Row],[Close]],-6,0,7)),"")</f>
        <v>1276.8857073102658</v>
      </c>
      <c r="L420" s="2">
        <f ca="1">IFERROR(_xlfn.STDEV.S(OFFSET(Tabla3[[#This Row],[Close]],-29,0,30)),"")</f>
        <v>22.547506232547597</v>
      </c>
    </row>
    <row r="421" spans="1:12" x14ac:dyDescent="0.3">
      <c r="A421" s="1">
        <v>43014</v>
      </c>
      <c r="B421" s="3">
        <f>YEAR(Tabla3[[#This Row],[Date]])</f>
        <v>2017</v>
      </c>
      <c r="C421" s="1" t="str">
        <f>+TEXT(Tabla3[[#This Row],[Date]],"mmm")</f>
        <v>oct</v>
      </c>
      <c r="D421" s="2">
        <v>1271.59997558593</v>
      </c>
      <c r="E421" s="2">
        <v>1271.59997558593</v>
      </c>
      <c r="F421" s="2">
        <v>1272</v>
      </c>
      <c r="G421" s="2">
        <v>1260.5</v>
      </c>
      <c r="H421" s="2">
        <v>1267.59997558593</v>
      </c>
      <c r="I421">
        <v>46</v>
      </c>
      <c r="J421" s="2">
        <f ca="1">IFERROR((Tabla3[[#This Row],[Close]]-OFFSET(Tabla3[[#This Row],[Close]],-1,0))/OFFSET(Tabla3[[#This Row],[Close]],-1,0),"")</f>
        <v>1.3386496095662067E-3</v>
      </c>
      <c r="K421" s="2">
        <f ca="1">IFERROR(AVERAGE(OFFSET(Tabla3[[#This Row],[Close]],-6,0,7)),"")</f>
        <v>1275.1999860491039</v>
      </c>
      <c r="L421" s="2">
        <f ca="1">IFERROR(_xlfn.STDEV.S(OFFSET(Tabla3[[#This Row],[Close]],-29,0,30)),"")</f>
        <v>23.157360927184456</v>
      </c>
    </row>
    <row r="422" spans="1:12" x14ac:dyDescent="0.3">
      <c r="A422" s="1">
        <v>43017</v>
      </c>
      <c r="B422" s="3">
        <f>YEAR(Tabla3[[#This Row],[Date]])</f>
        <v>2017</v>
      </c>
      <c r="C422" s="1" t="str">
        <f>+TEXT(Tabla3[[#This Row],[Date]],"mmm")</f>
        <v>oct</v>
      </c>
      <c r="D422" s="2">
        <v>1281.80004882812</v>
      </c>
      <c r="E422" s="2">
        <v>1281.80004882812</v>
      </c>
      <c r="F422" s="2">
        <v>1284</v>
      </c>
      <c r="G422" s="2">
        <v>1279</v>
      </c>
      <c r="H422" s="2">
        <v>1280.59997558593</v>
      </c>
      <c r="I422">
        <v>19</v>
      </c>
      <c r="J422" s="2">
        <f ca="1">IFERROR((Tabla3[[#This Row],[Close]]-OFFSET(Tabla3[[#This Row],[Close]],-1,0))/OFFSET(Tabla3[[#This Row],[Close]],-1,0),"")</f>
        <v>8.0214481267900269E-3</v>
      </c>
      <c r="K422" s="2">
        <f ca="1">IFERROR(AVERAGE(OFFSET(Tabla3[[#This Row],[Close]],-6,0,7)),"")</f>
        <v>1274.6714215959785</v>
      </c>
      <c r="L422" s="2">
        <f ca="1">IFERROR(_xlfn.STDEV.S(OFFSET(Tabla3[[#This Row],[Close]],-29,0,30)),"")</f>
        <v>23.451813738379155</v>
      </c>
    </row>
    <row r="423" spans="1:12" x14ac:dyDescent="0.3">
      <c r="A423" s="1">
        <v>43018</v>
      </c>
      <c r="B423" s="3">
        <f>YEAR(Tabla3[[#This Row],[Date]])</f>
        <v>2017</v>
      </c>
      <c r="C423" s="1" t="str">
        <f>+TEXT(Tabla3[[#This Row],[Date]],"mmm")</f>
        <v>oct</v>
      </c>
      <c r="D423" s="2">
        <v>1290.59997558593</v>
      </c>
      <c r="E423" s="2">
        <v>1290.59997558593</v>
      </c>
      <c r="F423" s="2">
        <v>1293</v>
      </c>
      <c r="G423" s="2">
        <v>1281.69995117187</v>
      </c>
      <c r="H423" s="2">
        <v>1282.59997558593</v>
      </c>
      <c r="I423">
        <v>18</v>
      </c>
      <c r="J423" s="2">
        <f ca="1">IFERROR((Tabla3[[#This Row],[Close]]-OFFSET(Tabla3[[#This Row],[Close]],-1,0))/OFFSET(Tabla3[[#This Row],[Close]],-1,0),"")</f>
        <v>6.8652882061092857E-3</v>
      </c>
      <c r="K423" s="2">
        <f ca="1">IFERROR(AVERAGE(OFFSET(Tabla3[[#This Row],[Close]],-6,0,7)),"")</f>
        <v>1275.9714181082543</v>
      </c>
      <c r="L423" s="2">
        <f ca="1">IFERROR(_xlfn.STDEV.S(OFFSET(Tabla3[[#This Row],[Close]],-29,0,30)),"")</f>
        <v>23.594654644844969</v>
      </c>
    </row>
    <row r="424" spans="1:12" x14ac:dyDescent="0.3">
      <c r="A424" s="1">
        <v>43019</v>
      </c>
      <c r="B424" s="3">
        <f>YEAR(Tabla3[[#This Row],[Date]])</f>
        <v>2017</v>
      </c>
      <c r="C424" s="1" t="str">
        <f>+TEXT(Tabla3[[#This Row],[Date]],"mmm")</f>
        <v>oct</v>
      </c>
      <c r="D424" s="2">
        <v>1285.80004882812</v>
      </c>
      <c r="E424" s="2">
        <v>1285.80004882812</v>
      </c>
      <c r="F424" s="2">
        <v>1292</v>
      </c>
      <c r="G424" s="2">
        <v>1284.90002441406</v>
      </c>
      <c r="H424" s="2">
        <v>1287.30004882812</v>
      </c>
      <c r="I424">
        <v>21</v>
      </c>
      <c r="J424" s="2">
        <f ca="1">IFERROR((Tabla3[[#This Row],[Close]]-OFFSET(Tabla3[[#This Row],[Close]],-1,0))/OFFSET(Tabla3[[#This Row],[Close]],-1,0),"")</f>
        <v>-3.7191436917785783E-3</v>
      </c>
      <c r="K424" s="2">
        <f ca="1">IFERROR(AVERAGE(OFFSET(Tabla3[[#This Row],[Close]],-6,0,7)),"")</f>
        <v>1277.8428606305756</v>
      </c>
      <c r="L424" s="2">
        <f ca="1">IFERROR(_xlfn.STDEV.S(OFFSET(Tabla3[[#This Row],[Close]],-29,0,30)),"")</f>
        <v>23.794428171233847</v>
      </c>
    </row>
    <row r="425" spans="1:12" x14ac:dyDescent="0.3">
      <c r="A425" s="1">
        <v>43020</v>
      </c>
      <c r="B425" s="3">
        <f>YEAR(Tabla3[[#This Row],[Date]])</f>
        <v>2017</v>
      </c>
      <c r="C425" s="1" t="str">
        <f>+TEXT(Tabla3[[#This Row],[Date]],"mmm")</f>
        <v>oct</v>
      </c>
      <c r="D425" s="2">
        <v>1293.30004882812</v>
      </c>
      <c r="E425" s="2">
        <v>1293.30004882812</v>
      </c>
      <c r="F425" s="2">
        <v>1294.5</v>
      </c>
      <c r="G425" s="2">
        <v>1289.30004882812</v>
      </c>
      <c r="H425" s="2">
        <v>1291.5</v>
      </c>
      <c r="I425">
        <v>14</v>
      </c>
      <c r="J425" s="2">
        <f ca="1">IFERROR((Tabla3[[#This Row],[Close]]-OFFSET(Tabla3[[#This Row],[Close]],-1,0))/OFFSET(Tabla3[[#This Row],[Close]],-1,0),"")</f>
        <v>5.832944248863197E-3</v>
      </c>
      <c r="K425" s="2">
        <f ca="1">IFERROR(AVERAGE(OFFSET(Tabla3[[#This Row],[Close]],-6,0,7)),"")</f>
        <v>1280.957153320307</v>
      </c>
      <c r="L425" s="2">
        <f ca="1">IFERROR(_xlfn.STDEV.S(OFFSET(Tabla3[[#This Row],[Close]],-29,0,30)),"")</f>
        <v>23.860324922754714</v>
      </c>
    </row>
    <row r="426" spans="1:12" x14ac:dyDescent="0.3">
      <c r="A426" s="1">
        <v>43021</v>
      </c>
      <c r="B426" s="3">
        <f>YEAR(Tabla3[[#This Row],[Date]])</f>
        <v>2017</v>
      </c>
      <c r="C426" s="1" t="str">
        <f>+TEXT(Tabla3[[#This Row],[Date]],"mmm")</f>
        <v>oct</v>
      </c>
      <c r="D426" s="2">
        <v>1301.5</v>
      </c>
      <c r="E426" s="2">
        <v>1301.5</v>
      </c>
      <c r="F426" s="2">
        <v>1301.69995117187</v>
      </c>
      <c r="G426" s="2">
        <v>1291.69995117187</v>
      </c>
      <c r="H426" s="2">
        <v>1293.30004882812</v>
      </c>
      <c r="I426">
        <v>74</v>
      </c>
      <c r="J426" s="2">
        <f ca="1">IFERROR((Tabla3[[#This Row],[Close]]-OFFSET(Tabla3[[#This Row],[Close]],-1,0))/OFFSET(Tabla3[[#This Row],[Close]],-1,0),"")</f>
        <v>6.3403316031033245E-3</v>
      </c>
      <c r="K426" s="2">
        <f ca="1">IFERROR(AVERAGE(OFFSET(Tabla3[[#This Row],[Close]],-6,0,7)),"")</f>
        <v>1284.9285888671827</v>
      </c>
      <c r="L426" s="2">
        <f ca="1">IFERROR(_xlfn.STDEV.S(OFFSET(Tabla3[[#This Row],[Close]],-29,0,30)),"")</f>
        <v>23.741806838137087</v>
      </c>
    </row>
    <row r="427" spans="1:12" x14ac:dyDescent="0.3">
      <c r="A427" s="1">
        <v>43024</v>
      </c>
      <c r="B427" s="3">
        <f>YEAR(Tabla3[[#This Row],[Date]])</f>
        <v>2017</v>
      </c>
      <c r="C427" s="1" t="str">
        <f>+TEXT(Tabla3[[#This Row],[Date]],"mmm")</f>
        <v>oct</v>
      </c>
      <c r="D427" s="2">
        <v>1299.90002441406</v>
      </c>
      <c r="E427" s="2">
        <v>1299.90002441406</v>
      </c>
      <c r="F427" s="2">
        <v>1303.80004882812</v>
      </c>
      <c r="G427" s="2">
        <v>1291.90002441406</v>
      </c>
      <c r="H427" s="2">
        <v>1302</v>
      </c>
      <c r="I427">
        <v>173</v>
      </c>
      <c r="J427" s="2">
        <f ca="1">IFERROR((Tabla3[[#This Row],[Close]]-OFFSET(Tabla3[[#This Row],[Close]],-1,0))/OFFSET(Tabla3[[#This Row],[Close]],-1,0),"")</f>
        <v>-1.2293319907337695E-3</v>
      </c>
      <c r="K427" s="2">
        <f ca="1">IFERROR(AVERAGE(OFFSET(Tabla3[[#This Row],[Close]],-6,0,7)),"")</f>
        <v>1289.2143031528972</v>
      </c>
      <c r="L427" s="2">
        <f ca="1">IFERROR(_xlfn.STDEV.S(OFFSET(Tabla3[[#This Row],[Close]],-29,0,30)),"")</f>
        <v>23.397380028010527</v>
      </c>
    </row>
    <row r="428" spans="1:12" x14ac:dyDescent="0.3">
      <c r="A428" s="1">
        <v>43025</v>
      </c>
      <c r="B428" s="3">
        <f>YEAR(Tabla3[[#This Row],[Date]])</f>
        <v>2017</v>
      </c>
      <c r="C428" s="1" t="str">
        <f>+TEXT(Tabla3[[#This Row],[Date]],"mmm")</f>
        <v>oct</v>
      </c>
      <c r="D428" s="2">
        <v>1283</v>
      </c>
      <c r="E428" s="2">
        <v>1283</v>
      </c>
      <c r="F428" s="2">
        <v>1295.09997558593</v>
      </c>
      <c r="G428" s="2">
        <v>1283</v>
      </c>
      <c r="H428" s="2">
        <v>1295.09997558593</v>
      </c>
      <c r="I428">
        <v>571</v>
      </c>
      <c r="J428" s="2">
        <f ca="1">IFERROR((Tabla3[[#This Row],[Close]]-OFFSET(Tabla3[[#This Row],[Close]],-1,0))/OFFSET(Tabla3[[#This Row],[Close]],-1,0),"")</f>
        <v>-1.3001018614241366E-2</v>
      </c>
      <c r="K428" s="2">
        <f ca="1">IFERROR(AVERAGE(OFFSET(Tabla3[[#This Row],[Close]],-6,0,7)),"")</f>
        <v>1290.8428780691927</v>
      </c>
      <c r="L428" s="2">
        <f ca="1">IFERROR(_xlfn.STDEV.S(OFFSET(Tabla3[[#This Row],[Close]],-29,0,30)),"")</f>
        <v>22.569658607336148</v>
      </c>
    </row>
    <row r="429" spans="1:12" x14ac:dyDescent="0.3">
      <c r="A429" s="1">
        <v>43026</v>
      </c>
      <c r="B429" s="3">
        <f>YEAR(Tabla3[[#This Row],[Date]])</f>
        <v>2017</v>
      </c>
      <c r="C429" s="1" t="str">
        <f>+TEXT(Tabla3[[#This Row],[Date]],"mmm")</f>
        <v>oct</v>
      </c>
      <c r="D429" s="2">
        <v>1279.90002441406</v>
      </c>
      <c r="E429" s="2">
        <v>1279.90002441406</v>
      </c>
      <c r="F429" s="2">
        <v>1279.90002441406</v>
      </c>
      <c r="G429" s="2">
        <v>1279.90002441406</v>
      </c>
      <c r="H429" s="2">
        <v>1279.90002441406</v>
      </c>
      <c r="I429">
        <v>163</v>
      </c>
      <c r="J429" s="2">
        <f ca="1">IFERROR((Tabla3[[#This Row],[Close]]-OFFSET(Tabla3[[#This Row],[Close]],-1,0))/OFFSET(Tabla3[[#This Row],[Close]],-1,0),"")</f>
        <v>-2.4161929742322688E-3</v>
      </c>
      <c r="K429" s="2">
        <f ca="1">IFERROR(AVERAGE(OFFSET(Tabla3[[#This Row],[Close]],-6,0,7)),"")</f>
        <v>1290.5714460100412</v>
      </c>
      <c r="L429" s="2">
        <f ca="1">IFERROR(_xlfn.STDEV.S(OFFSET(Tabla3[[#This Row],[Close]],-29,0,30)),"")</f>
        <v>21.946119828692289</v>
      </c>
    </row>
    <row r="430" spans="1:12" x14ac:dyDescent="0.3">
      <c r="A430" s="1">
        <v>43027</v>
      </c>
      <c r="B430" s="3">
        <f>YEAR(Tabla3[[#This Row],[Date]])</f>
        <v>2017</v>
      </c>
      <c r="C430" s="1" t="str">
        <f>+TEXT(Tabla3[[#This Row],[Date]],"mmm")</f>
        <v>oct</v>
      </c>
      <c r="D430" s="2">
        <v>1286.90002441406</v>
      </c>
      <c r="E430" s="2">
        <v>1286.90002441406</v>
      </c>
      <c r="F430" s="2">
        <v>1286.90002441406</v>
      </c>
      <c r="G430" s="2">
        <v>1285.09997558593</v>
      </c>
      <c r="H430" s="2">
        <v>1286.40002441406</v>
      </c>
      <c r="I430">
        <v>134</v>
      </c>
      <c r="J430" s="2">
        <f ca="1">IFERROR((Tabla3[[#This Row],[Close]]-OFFSET(Tabla3[[#This Row],[Close]],-1,0))/OFFSET(Tabla3[[#This Row],[Close]],-1,0),"")</f>
        <v>5.4691771751505429E-3</v>
      </c>
      <c r="K430" s="2">
        <f ca="1">IFERROR(AVERAGE(OFFSET(Tabla3[[#This Row],[Close]],-6,0,7)),"")</f>
        <v>1290.0428815569171</v>
      </c>
      <c r="L430" s="2">
        <f ca="1">IFERROR(_xlfn.STDEV.S(OFFSET(Tabla3[[#This Row],[Close]],-29,0,30)),"")</f>
        <v>20.191206307803078</v>
      </c>
    </row>
    <row r="431" spans="1:12" x14ac:dyDescent="0.3">
      <c r="A431" s="1">
        <v>43028</v>
      </c>
      <c r="B431" s="3">
        <f>YEAR(Tabla3[[#This Row],[Date]])</f>
        <v>2017</v>
      </c>
      <c r="C431" s="1" t="str">
        <f>+TEXT(Tabla3[[#This Row],[Date]],"mmm")</f>
        <v>oct</v>
      </c>
      <c r="D431" s="2">
        <v>1277.40002441406</v>
      </c>
      <c r="E431" s="2">
        <v>1277.40002441406</v>
      </c>
      <c r="F431" s="2">
        <v>1279.59997558593</v>
      </c>
      <c r="G431" s="2">
        <v>1277.40002441406</v>
      </c>
      <c r="H431" s="2">
        <v>1279.59997558593</v>
      </c>
      <c r="I431">
        <v>304</v>
      </c>
      <c r="J431" s="2">
        <f ca="1">IFERROR((Tabla3[[#This Row],[Close]]-OFFSET(Tabla3[[#This Row],[Close]],-1,0))/OFFSET(Tabla3[[#This Row],[Close]],-1,0),"")</f>
        <v>-7.3820808297252591E-3</v>
      </c>
      <c r="K431" s="2">
        <f ca="1">IFERROR(AVERAGE(OFFSET(Tabla3[[#This Row],[Close]],-6,0,7)),"")</f>
        <v>1288.8428780691943</v>
      </c>
      <c r="L431" s="2">
        <f ca="1">IFERROR(_xlfn.STDEV.S(OFFSET(Tabla3[[#This Row],[Close]],-29,0,30)),"")</f>
        <v>18.189793418055284</v>
      </c>
    </row>
    <row r="432" spans="1:12" x14ac:dyDescent="0.3">
      <c r="A432" s="1">
        <v>43031</v>
      </c>
      <c r="B432" s="3">
        <f>YEAR(Tabla3[[#This Row],[Date]])</f>
        <v>2017</v>
      </c>
      <c r="C432" s="1" t="str">
        <f>+TEXT(Tabla3[[#This Row],[Date]],"mmm")</f>
        <v>oct</v>
      </c>
      <c r="D432" s="2">
        <v>1277.69995117187</v>
      </c>
      <c r="E432" s="2">
        <v>1277.69995117187</v>
      </c>
      <c r="F432" s="2">
        <v>1280.80004882812</v>
      </c>
      <c r="G432" s="2">
        <v>1271.5</v>
      </c>
      <c r="H432" s="2">
        <v>1274.69995117187</v>
      </c>
      <c r="I432">
        <v>115</v>
      </c>
      <c r="J432" s="2">
        <f ca="1">IFERROR((Tabla3[[#This Row],[Close]]-OFFSET(Tabla3[[#This Row],[Close]],-1,0))/OFFSET(Tabla3[[#This Row],[Close]],-1,0),"")</f>
        <v>2.3479470179873724E-4</v>
      </c>
      <c r="K432" s="2">
        <f ca="1">IFERROR(AVERAGE(OFFSET(Tabla3[[#This Row],[Close]],-6,0,7)),"")</f>
        <v>1286.6142926897298</v>
      </c>
      <c r="L432" s="2">
        <f ca="1">IFERROR(_xlfn.STDEV.S(OFFSET(Tabla3[[#This Row],[Close]],-29,0,30)),"")</f>
        <v>17.050934699963125</v>
      </c>
    </row>
    <row r="433" spans="1:12" x14ac:dyDescent="0.3">
      <c r="A433" s="1">
        <v>43032</v>
      </c>
      <c r="B433" s="3">
        <f>YEAR(Tabla3[[#This Row],[Date]])</f>
        <v>2017</v>
      </c>
      <c r="C433" s="1" t="str">
        <f>+TEXT(Tabla3[[#This Row],[Date]],"mmm")</f>
        <v>oct</v>
      </c>
      <c r="D433" s="2">
        <v>1275</v>
      </c>
      <c r="E433" s="2">
        <v>1275</v>
      </c>
      <c r="F433" s="2">
        <v>1275.5</v>
      </c>
      <c r="G433" s="2">
        <v>1273.69995117187</v>
      </c>
      <c r="H433" s="2">
        <v>1275.5</v>
      </c>
      <c r="I433">
        <v>111</v>
      </c>
      <c r="J433" s="2">
        <f ca="1">IFERROR((Tabla3[[#This Row],[Close]]-OFFSET(Tabla3[[#This Row],[Close]],-1,0))/OFFSET(Tabla3[[#This Row],[Close]],-1,0),"")</f>
        <v>-2.1131339712376755E-3</v>
      </c>
      <c r="K433" s="2">
        <f ca="1">IFERROR(AVERAGE(OFFSET(Tabla3[[#This Row],[Close]],-6,0,7)),"")</f>
        <v>1282.8285784040156</v>
      </c>
      <c r="L433" s="2">
        <f ca="1">IFERROR(_xlfn.STDEV.S(OFFSET(Tabla3[[#This Row],[Close]],-29,0,30)),"")</f>
        <v>15.961437855430788</v>
      </c>
    </row>
    <row r="434" spans="1:12" x14ac:dyDescent="0.3">
      <c r="A434" s="1">
        <v>43033</v>
      </c>
      <c r="B434" s="3">
        <f>YEAR(Tabla3[[#This Row],[Date]])</f>
        <v>2017</v>
      </c>
      <c r="C434" s="1" t="str">
        <f>+TEXT(Tabla3[[#This Row],[Date]],"mmm")</f>
        <v>oct</v>
      </c>
      <c r="D434" s="2">
        <v>1275.40002441406</v>
      </c>
      <c r="E434" s="2">
        <v>1275.40002441406</v>
      </c>
      <c r="F434" s="2">
        <v>1275.40002441406</v>
      </c>
      <c r="G434" s="2">
        <v>1269.90002441406</v>
      </c>
      <c r="H434" s="2">
        <v>1269.90002441406</v>
      </c>
      <c r="I434">
        <v>105</v>
      </c>
      <c r="J434" s="2">
        <f ca="1">IFERROR((Tabla3[[#This Row],[Close]]-OFFSET(Tabla3[[#This Row],[Close]],-1,0))/OFFSET(Tabla3[[#This Row],[Close]],-1,0),"")</f>
        <v>3.1374463847843052E-4</v>
      </c>
      <c r="K434" s="2">
        <f ca="1">IFERROR(AVERAGE(OFFSET(Tabla3[[#This Row],[Close]],-6,0,7)),"")</f>
        <v>1279.3285784040158</v>
      </c>
      <c r="L434" s="2">
        <f ca="1">IFERROR(_xlfn.STDEV.S(OFFSET(Tabla3[[#This Row],[Close]],-29,0,30)),"")</f>
        <v>14.952356125137904</v>
      </c>
    </row>
    <row r="435" spans="1:12" x14ac:dyDescent="0.3">
      <c r="A435" s="1">
        <v>43034</v>
      </c>
      <c r="B435" s="3">
        <f>YEAR(Tabla3[[#This Row],[Date]])</f>
        <v>2017</v>
      </c>
      <c r="C435" s="1" t="str">
        <f>+TEXT(Tabla3[[#This Row],[Date]],"mmm")</f>
        <v>oct</v>
      </c>
      <c r="D435" s="2">
        <v>1266.30004882812</v>
      </c>
      <c r="E435" s="2">
        <v>1266.30004882812</v>
      </c>
      <c r="F435" s="2">
        <v>1273.5</v>
      </c>
      <c r="G435" s="2">
        <v>1264.69995117187</v>
      </c>
      <c r="H435" s="2">
        <v>1273.5</v>
      </c>
      <c r="I435">
        <v>39</v>
      </c>
      <c r="J435" s="2">
        <f ca="1">IFERROR((Tabla3[[#This Row],[Close]]-OFFSET(Tabla3[[#This Row],[Close]],-1,0))/OFFSET(Tabla3[[#This Row],[Close]],-1,0),"")</f>
        <v>-7.1349971865655882E-3</v>
      </c>
      <c r="K435" s="2">
        <f ca="1">IFERROR(AVERAGE(OFFSET(Tabla3[[#This Row],[Close]],-6,0,7)),"")</f>
        <v>1276.942871093747</v>
      </c>
      <c r="L435" s="2">
        <f ca="1">IFERROR(_xlfn.STDEV.S(OFFSET(Tabla3[[#This Row],[Close]],-29,0,30)),"")</f>
        <v>13.935030617521496</v>
      </c>
    </row>
    <row r="436" spans="1:12" x14ac:dyDescent="0.3">
      <c r="A436" s="1">
        <v>43035</v>
      </c>
      <c r="B436" s="3">
        <f>YEAR(Tabla3[[#This Row],[Date]])</f>
        <v>2017</v>
      </c>
      <c r="C436" s="1" t="str">
        <f>+TEXT(Tabla3[[#This Row],[Date]],"mmm")</f>
        <v>oct</v>
      </c>
      <c r="D436" s="2">
        <v>1268.5</v>
      </c>
      <c r="E436" s="2">
        <v>1268.5</v>
      </c>
      <c r="F436" s="2">
        <v>1268.5</v>
      </c>
      <c r="G436" s="2">
        <v>1267.09997558593</v>
      </c>
      <c r="H436" s="2">
        <v>1268.40002441406</v>
      </c>
      <c r="I436">
        <v>567</v>
      </c>
      <c r="J436" s="2">
        <f ca="1">IFERROR((Tabla3[[#This Row],[Close]]-OFFSET(Tabla3[[#This Row],[Close]],-1,0))/OFFSET(Tabla3[[#This Row],[Close]],-1,0),"")</f>
        <v>1.737306394259336E-3</v>
      </c>
      <c r="K436" s="2">
        <f ca="1">IFERROR(AVERAGE(OFFSET(Tabla3[[#This Row],[Close]],-6,0,7)),"")</f>
        <v>1275.3142961774527</v>
      </c>
      <c r="L436" s="2">
        <f ca="1">IFERROR(_xlfn.STDEV.S(OFFSET(Tabla3[[#This Row],[Close]],-29,0,30)),"")</f>
        <v>12.854817285848455</v>
      </c>
    </row>
    <row r="437" spans="1:12" x14ac:dyDescent="0.3">
      <c r="A437" s="1">
        <v>43038</v>
      </c>
      <c r="B437" s="3">
        <f>YEAR(Tabla3[[#This Row],[Date]])</f>
        <v>2017</v>
      </c>
      <c r="C437" s="1" t="str">
        <f>+TEXT(Tabla3[[#This Row],[Date]],"mmm")</f>
        <v>oct</v>
      </c>
      <c r="D437" s="2">
        <v>1274.09997558593</v>
      </c>
      <c r="E437" s="2">
        <v>1274.09997558593</v>
      </c>
      <c r="F437" s="2">
        <v>1274.09997558593</v>
      </c>
      <c r="G437" s="2">
        <v>1267.90002441406</v>
      </c>
      <c r="H437" s="2">
        <v>1270</v>
      </c>
      <c r="I437">
        <v>222</v>
      </c>
      <c r="J437" s="2">
        <f ca="1">IFERROR((Tabla3[[#This Row],[Close]]-OFFSET(Tabla3[[#This Row],[Close]],-1,0))/OFFSET(Tabla3[[#This Row],[Close]],-1,0),"")</f>
        <v>4.414643741371696E-3</v>
      </c>
      <c r="K437" s="2">
        <f ca="1">IFERROR(AVERAGE(OFFSET(Tabla3[[#This Row],[Close]],-6,0,7)),"")</f>
        <v>1273.4857177734343</v>
      </c>
      <c r="L437" s="2">
        <f ca="1">IFERROR(_xlfn.STDEV.S(OFFSET(Tabla3[[#This Row],[Close]],-29,0,30)),"")</f>
        <v>12.394243734899215</v>
      </c>
    </row>
    <row r="438" spans="1:12" x14ac:dyDescent="0.3">
      <c r="A438" s="1">
        <v>43039</v>
      </c>
      <c r="B438" s="3">
        <f>YEAR(Tabla3[[#This Row],[Date]])</f>
        <v>2017</v>
      </c>
      <c r="C438" s="1" t="str">
        <f>+TEXT(Tabla3[[#This Row],[Date]],"mmm")</f>
        <v>oct</v>
      </c>
      <c r="D438" s="2">
        <v>1267</v>
      </c>
      <c r="E438" s="2">
        <v>1267</v>
      </c>
      <c r="F438" s="2">
        <v>1274.59997558593</v>
      </c>
      <c r="G438" s="2">
        <v>1266.09997558593</v>
      </c>
      <c r="H438" s="2">
        <v>1273.09997558593</v>
      </c>
      <c r="I438">
        <v>235</v>
      </c>
      <c r="J438" s="2">
        <f ca="1">IFERROR((Tabla3[[#This Row],[Close]]-OFFSET(Tabla3[[#This Row],[Close]],-1,0))/OFFSET(Tabla3[[#This Row],[Close]],-1,0),"")</f>
        <v>-5.572541968431384E-3</v>
      </c>
      <c r="K438" s="2">
        <f ca="1">IFERROR(AVERAGE(OFFSET(Tabla3[[#This Row],[Close]],-6,0,7)),"")</f>
        <v>1271.999999999997</v>
      </c>
      <c r="L438" s="2">
        <f ca="1">IFERROR(_xlfn.STDEV.S(OFFSET(Tabla3[[#This Row],[Close]],-29,0,30)),"")</f>
        <v>12.082037235290857</v>
      </c>
    </row>
    <row r="439" spans="1:12" x14ac:dyDescent="0.3">
      <c r="A439" s="1">
        <v>43040</v>
      </c>
      <c r="B439" s="3">
        <f>YEAR(Tabla3[[#This Row],[Date]])</f>
        <v>2017</v>
      </c>
      <c r="C439" s="1" t="str">
        <f>+TEXT(Tabla3[[#This Row],[Date]],"mmm")</f>
        <v>nov</v>
      </c>
      <c r="D439" s="2">
        <v>1274.09997558593</v>
      </c>
      <c r="E439" s="2">
        <v>1274.09997558593</v>
      </c>
      <c r="F439" s="2">
        <v>1274.80004882812</v>
      </c>
      <c r="G439" s="2">
        <v>1270.30004882812</v>
      </c>
      <c r="H439" s="2">
        <v>1272.19995117187</v>
      </c>
      <c r="I439">
        <v>78</v>
      </c>
      <c r="J439" s="2">
        <f ca="1">IFERROR((Tabla3[[#This Row],[Close]]-OFFSET(Tabla3[[#This Row],[Close]],-1,0))/OFFSET(Tabla3[[#This Row],[Close]],-1,0),"")</f>
        <v>5.6037692075217018E-3</v>
      </c>
      <c r="K439" s="2">
        <f ca="1">IFERROR(AVERAGE(OFFSET(Tabla3[[#This Row],[Close]],-6,0,7)),"")</f>
        <v>1271.4857177734343</v>
      </c>
      <c r="L439" s="2">
        <f ca="1">IFERROR(_xlfn.STDEV.S(OFFSET(Tabla3[[#This Row],[Close]],-29,0,30)),"")</f>
        <v>10.879781452990809</v>
      </c>
    </row>
    <row r="440" spans="1:12" x14ac:dyDescent="0.3">
      <c r="A440" s="1">
        <v>43041</v>
      </c>
      <c r="B440" s="3">
        <f>YEAR(Tabla3[[#This Row],[Date]])</f>
        <v>2017</v>
      </c>
      <c r="C440" s="1" t="str">
        <f>+TEXT(Tabla3[[#This Row],[Date]],"mmm")</f>
        <v>nov</v>
      </c>
      <c r="D440" s="2">
        <v>1274.90002441406</v>
      </c>
      <c r="E440" s="2">
        <v>1274.90002441406</v>
      </c>
      <c r="F440" s="2">
        <v>1274.90002441406</v>
      </c>
      <c r="G440" s="2">
        <v>1274.90002441406</v>
      </c>
      <c r="H440" s="2">
        <v>1274.90002441406</v>
      </c>
      <c r="I440">
        <v>70</v>
      </c>
      <c r="J440" s="2">
        <f ca="1">IFERROR((Tabla3[[#This Row],[Close]]-OFFSET(Tabla3[[#This Row],[Close]],-1,0))/OFFSET(Tabla3[[#This Row],[Close]],-1,0),"")</f>
        <v>6.2793253548417793E-4</v>
      </c>
      <c r="K440" s="2">
        <f ca="1">IFERROR(AVERAGE(OFFSET(Tabla3[[#This Row],[Close]],-6,0,7)),"")</f>
        <v>1271.4714355468716</v>
      </c>
      <c r="L440" s="2">
        <f ca="1">IFERROR(_xlfn.STDEV.S(OFFSET(Tabla3[[#This Row],[Close]],-29,0,30)),"")</f>
        <v>10.822156443043022</v>
      </c>
    </row>
    <row r="441" spans="1:12" x14ac:dyDescent="0.3">
      <c r="A441" s="1">
        <v>43042</v>
      </c>
      <c r="B441" s="3">
        <f>YEAR(Tabla3[[#This Row],[Date]])</f>
        <v>2017</v>
      </c>
      <c r="C441" s="1" t="str">
        <f>+TEXT(Tabla3[[#This Row],[Date]],"mmm")</f>
        <v>nov</v>
      </c>
      <c r="D441" s="2">
        <v>1266.5</v>
      </c>
      <c r="E441" s="2">
        <v>1266.5</v>
      </c>
      <c r="F441" s="2">
        <v>1267.90002441406</v>
      </c>
      <c r="G441" s="2">
        <v>1265.30004882812</v>
      </c>
      <c r="H441" s="2">
        <v>1265.30004882812</v>
      </c>
      <c r="I441">
        <v>75</v>
      </c>
      <c r="J441" s="2">
        <f ca="1">IFERROR((Tabla3[[#This Row],[Close]]-OFFSET(Tabla3[[#This Row],[Close]],-1,0))/OFFSET(Tabla3[[#This Row],[Close]],-1,0),"")</f>
        <v>-6.588771082595769E-3</v>
      </c>
      <c r="K441" s="2">
        <f ca="1">IFERROR(AVERAGE(OFFSET(Tabla3[[#This Row],[Close]],-6,0,7)),"")</f>
        <v>1270.2000034877201</v>
      </c>
      <c r="L441" s="2">
        <f ca="1">IFERROR(_xlfn.STDEV.S(OFFSET(Tabla3[[#This Row],[Close]],-29,0,30)),"")</f>
        <v>10.906084265095261</v>
      </c>
    </row>
    <row r="442" spans="1:12" x14ac:dyDescent="0.3">
      <c r="A442" s="1">
        <v>43045</v>
      </c>
      <c r="B442" s="3">
        <f>YEAR(Tabla3[[#This Row],[Date]])</f>
        <v>2017</v>
      </c>
      <c r="C442" s="1" t="str">
        <f>+TEXT(Tabla3[[#This Row],[Date]],"mmm")</f>
        <v>nov</v>
      </c>
      <c r="D442" s="2">
        <v>1279.40002441406</v>
      </c>
      <c r="E442" s="2">
        <v>1279.40002441406</v>
      </c>
      <c r="F442" s="2">
        <v>1280.5</v>
      </c>
      <c r="G442" s="2">
        <v>1269</v>
      </c>
      <c r="H442" s="2">
        <v>1269</v>
      </c>
      <c r="I442">
        <v>128</v>
      </c>
      <c r="J442" s="2">
        <f ca="1">IFERROR((Tabla3[[#This Row],[Close]]-OFFSET(Tabla3[[#This Row],[Close]],-1,0))/OFFSET(Tabla3[[#This Row],[Close]],-1,0),"")</f>
        <v>1.0185570007153573E-2</v>
      </c>
      <c r="K442" s="2">
        <f ca="1">IFERROR(AVERAGE(OFFSET(Tabla3[[#This Row],[Close]],-6,0,7)),"")</f>
        <v>1272.0714285714257</v>
      </c>
      <c r="L442" s="2">
        <f ca="1">IFERROR(_xlfn.STDEV.S(OFFSET(Tabla3[[#This Row],[Close]],-29,0,30)),"")</f>
        <v>9.7034332704055029</v>
      </c>
    </row>
    <row r="443" spans="1:12" x14ac:dyDescent="0.3">
      <c r="A443" s="1">
        <v>43046</v>
      </c>
      <c r="B443" s="3">
        <f>YEAR(Tabla3[[#This Row],[Date]])</f>
        <v>2017</v>
      </c>
      <c r="C443" s="1" t="str">
        <f>+TEXT(Tabla3[[#This Row],[Date]],"mmm")</f>
        <v>nov</v>
      </c>
      <c r="D443" s="2">
        <v>1273.69995117187</v>
      </c>
      <c r="E443" s="2">
        <v>1273.69995117187</v>
      </c>
      <c r="F443" s="2">
        <v>1276.80004882812</v>
      </c>
      <c r="G443" s="2">
        <v>1270.40002441406</v>
      </c>
      <c r="H443" s="2">
        <v>1276.80004882812</v>
      </c>
      <c r="I443">
        <v>11</v>
      </c>
      <c r="J443" s="2">
        <f ca="1">IFERROR((Tabla3[[#This Row],[Close]]-OFFSET(Tabla3[[#This Row],[Close]],-1,0))/OFFSET(Tabla3[[#This Row],[Close]],-1,0),"")</f>
        <v>-4.4552705435506948E-3</v>
      </c>
      <c r="K443" s="2">
        <f ca="1">IFERROR(AVERAGE(OFFSET(Tabla3[[#This Row],[Close]],-6,0,7)),"")</f>
        <v>1272.8142787388356</v>
      </c>
      <c r="L443" s="2">
        <f ca="1">IFERROR(_xlfn.STDEV.S(OFFSET(Tabla3[[#This Row],[Close]],-29,0,30)),"")</f>
        <v>9.1747009567456388</v>
      </c>
    </row>
    <row r="444" spans="1:12" x14ac:dyDescent="0.3">
      <c r="A444" s="1">
        <v>43047</v>
      </c>
      <c r="B444" s="3">
        <f>YEAR(Tabla3[[#This Row],[Date]])</f>
        <v>2017</v>
      </c>
      <c r="C444" s="1" t="str">
        <f>+TEXT(Tabla3[[#This Row],[Date]],"mmm")</f>
        <v>nov</v>
      </c>
      <c r="D444" s="2">
        <v>1281.59997558593</v>
      </c>
      <c r="E444" s="2">
        <v>1281.59997558593</v>
      </c>
      <c r="F444" s="2">
        <v>1284.90002441406</v>
      </c>
      <c r="G444" s="2">
        <v>1274.69995117187</v>
      </c>
      <c r="H444" s="2">
        <v>1275.90002441406</v>
      </c>
      <c r="I444">
        <v>15</v>
      </c>
      <c r="J444" s="2">
        <f ca="1">IFERROR((Tabla3[[#This Row],[Close]]-OFFSET(Tabla3[[#This Row],[Close]],-1,0))/OFFSET(Tabla3[[#This Row],[Close]],-1,0),"")</f>
        <v>6.2024218551563629E-3</v>
      </c>
      <c r="K444" s="2">
        <f ca="1">IFERROR(AVERAGE(OFFSET(Tabla3[[#This Row],[Close]],-6,0,7)),"")</f>
        <v>1273.8857073102643</v>
      </c>
      <c r="L444" s="2">
        <f ca="1">IFERROR(_xlfn.STDEV.S(OFFSET(Tabla3[[#This Row],[Close]],-29,0,30)),"")</f>
        <v>9.1490919736068186</v>
      </c>
    </row>
    <row r="445" spans="1:12" x14ac:dyDescent="0.3">
      <c r="A445" s="1">
        <v>43048</v>
      </c>
      <c r="B445" s="3">
        <f>YEAR(Tabla3[[#This Row],[Date]])</f>
        <v>2017</v>
      </c>
      <c r="C445" s="1" t="str">
        <f>+TEXT(Tabla3[[#This Row],[Date]],"mmm")</f>
        <v>nov</v>
      </c>
      <c r="D445" s="2">
        <v>1285.59997558593</v>
      </c>
      <c r="E445" s="2">
        <v>1285.59997558593</v>
      </c>
      <c r="F445" s="2">
        <v>1286.90002441406</v>
      </c>
      <c r="G445" s="2">
        <v>1279.69995117187</v>
      </c>
      <c r="H445" s="2">
        <v>1279.69995117187</v>
      </c>
      <c r="I445">
        <v>18</v>
      </c>
      <c r="J445" s="2">
        <f ca="1">IFERROR((Tabla3[[#This Row],[Close]]-OFFSET(Tabla3[[#This Row],[Close]],-1,0))/OFFSET(Tabla3[[#This Row],[Close]],-1,0),"")</f>
        <v>3.1210986861725356E-3</v>
      </c>
      <c r="K445" s="2">
        <f ca="1">IFERROR(AVERAGE(OFFSET(Tabla3[[#This Row],[Close]],-6,0,7)),"")</f>
        <v>1276.5428466796827</v>
      </c>
      <c r="L445" s="2">
        <f ca="1">IFERROR(_xlfn.STDEV.S(OFFSET(Tabla3[[#This Row],[Close]],-29,0,30)),"")</f>
        <v>9.1516758654534609</v>
      </c>
    </row>
    <row r="446" spans="1:12" x14ac:dyDescent="0.3">
      <c r="A446" s="1">
        <v>43049</v>
      </c>
      <c r="B446" s="3">
        <f>YEAR(Tabla3[[#This Row],[Date]])</f>
        <v>2017</v>
      </c>
      <c r="C446" s="1" t="str">
        <f>+TEXT(Tabla3[[#This Row],[Date]],"mmm")</f>
        <v>nov</v>
      </c>
      <c r="D446" s="2">
        <v>1272.40002441406</v>
      </c>
      <c r="E446" s="2">
        <v>1272.40002441406</v>
      </c>
      <c r="F446" s="2">
        <v>1283.5</v>
      </c>
      <c r="G446" s="2">
        <v>1272.40002441406</v>
      </c>
      <c r="H446" s="2">
        <v>1283.5</v>
      </c>
      <c r="I446">
        <v>10</v>
      </c>
      <c r="J446" s="2">
        <f ca="1">IFERROR((Tabla3[[#This Row],[Close]]-OFFSET(Tabla3[[#This Row],[Close]],-1,0))/OFFSET(Tabla3[[#This Row],[Close]],-1,0),"")</f>
        <v>-1.0267541554560109E-2</v>
      </c>
      <c r="K446" s="2">
        <f ca="1">IFERROR(AVERAGE(OFFSET(Tabla3[[#This Row],[Close]],-6,0,7)),"")</f>
        <v>1276.2999965122729</v>
      </c>
      <c r="L446" s="2">
        <f ca="1">IFERROR(_xlfn.STDEV.S(OFFSET(Tabla3[[#This Row],[Close]],-29,0,30)),"")</f>
        <v>9.2060887530071565</v>
      </c>
    </row>
    <row r="447" spans="1:12" x14ac:dyDescent="0.3">
      <c r="A447" s="1">
        <v>43052</v>
      </c>
      <c r="B447" s="3">
        <f>YEAR(Tabla3[[#This Row],[Date]])</f>
        <v>2017</v>
      </c>
      <c r="C447" s="1" t="str">
        <f>+TEXT(Tabla3[[#This Row],[Date]],"mmm")</f>
        <v>nov</v>
      </c>
      <c r="D447" s="2">
        <v>1277.30004882812</v>
      </c>
      <c r="E447" s="2">
        <v>1277.30004882812</v>
      </c>
      <c r="F447" s="2">
        <v>1277.30004882812</v>
      </c>
      <c r="G447" s="2">
        <v>1277</v>
      </c>
      <c r="H447" s="2">
        <v>1277.30004882812</v>
      </c>
      <c r="I447">
        <v>3</v>
      </c>
      <c r="J447" s="2">
        <f ca="1">IFERROR((Tabla3[[#This Row],[Close]]-OFFSET(Tabla3[[#This Row],[Close]],-1,0))/OFFSET(Tabla3[[#This Row],[Close]],-1,0),"")</f>
        <v>3.8510093681556313E-3</v>
      </c>
      <c r="K447" s="2">
        <f ca="1">IFERROR(AVERAGE(OFFSET(Tabla3[[#This Row],[Close]],-6,0,7)),"")</f>
        <v>1276.6428571428528</v>
      </c>
      <c r="L447" s="2">
        <f ca="1">IFERROR(_xlfn.STDEV.S(OFFSET(Tabla3[[#This Row],[Close]],-29,0,30)),"")</f>
        <v>9.1461617837601619</v>
      </c>
    </row>
    <row r="448" spans="1:12" x14ac:dyDescent="0.3">
      <c r="A448" s="1">
        <v>43053</v>
      </c>
      <c r="B448" s="3">
        <f>YEAR(Tabla3[[#This Row],[Date]])</f>
        <v>2017</v>
      </c>
      <c r="C448" s="1" t="str">
        <f>+TEXT(Tabla3[[#This Row],[Date]],"mmm")</f>
        <v>nov</v>
      </c>
      <c r="D448" s="2">
        <v>1281.5</v>
      </c>
      <c r="E448" s="2">
        <v>1281.5</v>
      </c>
      <c r="F448" s="2">
        <v>1281.5</v>
      </c>
      <c r="G448" s="2">
        <v>1276.90002441406</v>
      </c>
      <c r="H448" s="2">
        <v>1276.90002441406</v>
      </c>
      <c r="I448">
        <v>4</v>
      </c>
      <c r="J448" s="2">
        <f ca="1">IFERROR((Tabla3[[#This Row],[Close]]-OFFSET(Tabla3[[#This Row],[Close]],-1,0))/OFFSET(Tabla3[[#This Row],[Close]],-1,0),"")</f>
        <v>3.2881476640772987E-3</v>
      </c>
      <c r="K448" s="2">
        <f ca="1">IFERROR(AVERAGE(OFFSET(Tabla3[[#This Row],[Close]],-6,0,7)),"")</f>
        <v>1278.7857142857101</v>
      </c>
      <c r="L448" s="2">
        <f ca="1">IFERROR(_xlfn.STDEV.S(OFFSET(Tabla3[[#This Row],[Close]],-29,0,30)),"")</f>
        <v>9.0624573662436134</v>
      </c>
    </row>
    <row r="449" spans="1:12" x14ac:dyDescent="0.3">
      <c r="A449" s="1">
        <v>43054</v>
      </c>
      <c r="B449" s="3">
        <f>YEAR(Tabla3[[#This Row],[Date]])</f>
        <v>2017</v>
      </c>
      <c r="C449" s="1" t="str">
        <f>+TEXT(Tabla3[[#This Row],[Date]],"mmm")</f>
        <v>nov</v>
      </c>
      <c r="D449" s="2">
        <v>1276.5</v>
      </c>
      <c r="E449" s="2">
        <v>1276.5</v>
      </c>
      <c r="F449" s="2">
        <v>1284.69995117187</v>
      </c>
      <c r="G449" s="2">
        <v>1275.90002441406</v>
      </c>
      <c r="H449" s="2">
        <v>1281.40002441406</v>
      </c>
      <c r="I449">
        <v>13</v>
      </c>
      <c r="J449" s="2">
        <f ca="1">IFERROR((Tabla3[[#This Row],[Close]]-OFFSET(Tabla3[[#This Row],[Close]],-1,0))/OFFSET(Tabla3[[#This Row],[Close]],-1,0),"")</f>
        <v>-3.9016777214202106E-3</v>
      </c>
      <c r="K449" s="2">
        <f ca="1">IFERROR(AVERAGE(OFFSET(Tabla3[[#This Row],[Close]],-6,0,7)),"")</f>
        <v>1278.3714250837015</v>
      </c>
      <c r="L449" s="2">
        <f ca="1">IFERROR(_xlfn.STDEV.S(OFFSET(Tabla3[[#This Row],[Close]],-29,0,30)),"")</f>
        <v>9.0216304412101351</v>
      </c>
    </row>
    <row r="450" spans="1:12" x14ac:dyDescent="0.3">
      <c r="A450" s="1">
        <v>43055</v>
      </c>
      <c r="B450" s="3">
        <f>YEAR(Tabla3[[#This Row],[Date]])</f>
        <v>2017</v>
      </c>
      <c r="C450" s="1" t="str">
        <f>+TEXT(Tabla3[[#This Row],[Date]],"mmm")</f>
        <v>nov</v>
      </c>
      <c r="D450" s="2">
        <v>1277.40002441406</v>
      </c>
      <c r="E450" s="2">
        <v>1277.40002441406</v>
      </c>
      <c r="F450" s="2">
        <v>1277.5</v>
      </c>
      <c r="G450" s="2">
        <v>1277.40002441406</v>
      </c>
      <c r="H450" s="2">
        <v>1277.5</v>
      </c>
      <c r="I450">
        <v>43</v>
      </c>
      <c r="J450" s="2">
        <f ca="1">IFERROR((Tabla3[[#This Row],[Close]]-OFFSET(Tabla3[[#This Row],[Close]],-1,0))/OFFSET(Tabla3[[#This Row],[Close]],-1,0),"")</f>
        <v>7.0507200474735523E-4</v>
      </c>
      <c r="K450" s="2">
        <f ca="1">IFERROR(AVERAGE(OFFSET(Tabla3[[#This Row],[Close]],-6,0,7)),"")</f>
        <v>1278.9000069754431</v>
      </c>
      <c r="L450" s="2">
        <f ca="1">IFERROR(_xlfn.STDEV.S(OFFSET(Tabla3[[#This Row],[Close]],-29,0,30)),"")</f>
        <v>8.864166365033963</v>
      </c>
    </row>
    <row r="451" spans="1:12" x14ac:dyDescent="0.3">
      <c r="A451" s="1">
        <v>43056</v>
      </c>
      <c r="B451" s="3">
        <f>YEAR(Tabla3[[#This Row],[Date]])</f>
        <v>2017</v>
      </c>
      <c r="C451" s="1" t="str">
        <f>+TEXT(Tabla3[[#This Row],[Date]],"mmm")</f>
        <v>nov</v>
      </c>
      <c r="D451" s="2">
        <v>1295.80004882812</v>
      </c>
      <c r="E451" s="2">
        <v>1295.80004882812</v>
      </c>
      <c r="F451" s="2">
        <v>1295.80004882812</v>
      </c>
      <c r="G451" s="2">
        <v>1288.30004882812</v>
      </c>
      <c r="H451" s="2">
        <v>1288.30004882812</v>
      </c>
      <c r="I451">
        <v>1</v>
      </c>
      <c r="J451" s="2">
        <f ca="1">IFERROR((Tabla3[[#This Row],[Close]]-OFFSET(Tabla3[[#This Row],[Close]],-1,0))/OFFSET(Tabla3[[#This Row],[Close]],-1,0),"")</f>
        <v>1.4404277487390876E-2</v>
      </c>
      <c r="K451" s="2">
        <f ca="1">IFERROR(AVERAGE(OFFSET(Tabla3[[#This Row],[Close]],-6,0,7)),"")</f>
        <v>1280.9285888671843</v>
      </c>
      <c r="L451" s="2">
        <f ca="1">IFERROR(_xlfn.STDEV.S(OFFSET(Tabla3[[#This Row],[Close]],-29,0,30)),"")</f>
        <v>9.2399831246004442</v>
      </c>
    </row>
    <row r="452" spans="1:12" x14ac:dyDescent="0.3">
      <c r="A452" s="1">
        <v>43059</v>
      </c>
      <c r="B452" s="3">
        <f>YEAR(Tabla3[[#This Row],[Date]])</f>
        <v>2017</v>
      </c>
      <c r="C452" s="1" t="str">
        <f>+TEXT(Tabla3[[#This Row],[Date]],"mmm")</f>
        <v>nov</v>
      </c>
      <c r="D452" s="2">
        <v>1274.59997558593</v>
      </c>
      <c r="E452" s="2">
        <v>1274.59997558593</v>
      </c>
      <c r="F452" s="2">
        <v>1275.90002441406</v>
      </c>
      <c r="G452" s="2">
        <v>1274.59997558593</v>
      </c>
      <c r="H452" s="2">
        <v>1274.59997558593</v>
      </c>
      <c r="I452">
        <v>1</v>
      </c>
      <c r="J452" s="2">
        <f ca="1">IFERROR((Tabla3[[#This Row],[Close]]-OFFSET(Tabla3[[#This Row],[Close]],-1,0))/OFFSET(Tabla3[[#This Row],[Close]],-1,0),"")</f>
        <v>-1.6360605373770952E-2</v>
      </c>
      <c r="K452" s="2">
        <f ca="1">IFERROR(AVERAGE(OFFSET(Tabla3[[#This Row],[Close]],-6,0,7)),"")</f>
        <v>1279.3571602957559</v>
      </c>
      <c r="L452" s="2">
        <f ca="1">IFERROR(_xlfn.STDEV.S(OFFSET(Tabla3[[#This Row],[Close]],-29,0,30)),"")</f>
        <v>9.2857279316706887</v>
      </c>
    </row>
    <row r="453" spans="1:12" x14ac:dyDescent="0.3">
      <c r="A453" s="1">
        <v>43060</v>
      </c>
      <c r="B453" s="3">
        <f>YEAR(Tabla3[[#This Row],[Date]])</f>
        <v>2017</v>
      </c>
      <c r="C453" s="1" t="str">
        <f>+TEXT(Tabla3[[#This Row],[Date]],"mmm")</f>
        <v>nov</v>
      </c>
      <c r="D453" s="2">
        <v>1281.09997558593</v>
      </c>
      <c r="E453" s="2">
        <v>1281.09997558593</v>
      </c>
      <c r="F453" s="2">
        <v>1281.09997558593</v>
      </c>
      <c r="G453" s="2">
        <v>1281.09997558593</v>
      </c>
      <c r="H453" s="2">
        <v>1281.09997558593</v>
      </c>
      <c r="I453">
        <v>4</v>
      </c>
      <c r="J453" s="2">
        <f ca="1">IFERROR((Tabla3[[#This Row],[Close]]-OFFSET(Tabla3[[#This Row],[Close]],-1,0))/OFFSET(Tabla3[[#This Row],[Close]],-1,0),"")</f>
        <v>5.0996392001435341E-3</v>
      </c>
      <c r="K453" s="2">
        <f ca="1">IFERROR(AVERAGE(OFFSET(Tabla3[[#This Row],[Close]],-6,0,7)),"")</f>
        <v>1280.6000104631657</v>
      </c>
      <c r="L453" s="2">
        <f ca="1">IFERROR(_xlfn.STDEV.S(OFFSET(Tabla3[[#This Row],[Close]],-29,0,30)),"")</f>
        <v>9.0635809505538241</v>
      </c>
    </row>
    <row r="454" spans="1:12" x14ac:dyDescent="0.3">
      <c r="A454" s="1">
        <v>43061</v>
      </c>
      <c r="B454" s="3">
        <f>YEAR(Tabla3[[#This Row],[Date]])</f>
        <v>2017</v>
      </c>
      <c r="C454" s="1" t="str">
        <f>+TEXT(Tabla3[[#This Row],[Date]],"mmm")</f>
        <v>nov</v>
      </c>
      <c r="D454" s="2">
        <v>1291.59997558593</v>
      </c>
      <c r="E454" s="2">
        <v>1291.59997558593</v>
      </c>
      <c r="F454" s="2">
        <v>1291.59997558593</v>
      </c>
      <c r="G454" s="2">
        <v>1282.90002441406</v>
      </c>
      <c r="H454" s="2">
        <v>1284.69995117187</v>
      </c>
      <c r="I454">
        <v>4</v>
      </c>
      <c r="J454" s="2">
        <f ca="1">IFERROR((Tabla3[[#This Row],[Close]]-OFFSET(Tabla3[[#This Row],[Close]],-1,0))/OFFSET(Tabla3[[#This Row],[Close]],-1,0),"")</f>
        <v>8.1960816486610806E-3</v>
      </c>
      <c r="K454" s="2">
        <f ca="1">IFERROR(AVERAGE(OFFSET(Tabla3[[#This Row],[Close]],-6,0,7)),"")</f>
        <v>1282.642857142853</v>
      </c>
      <c r="L454" s="2">
        <f ca="1">IFERROR(_xlfn.STDEV.S(OFFSET(Tabla3[[#This Row],[Close]],-29,0,30)),"")</f>
        <v>9.2629255253288463</v>
      </c>
    </row>
    <row r="455" spans="1:12" x14ac:dyDescent="0.3">
      <c r="A455" s="1">
        <v>43063</v>
      </c>
      <c r="B455" s="3">
        <f>YEAR(Tabla3[[#This Row],[Date]])</f>
        <v>2017</v>
      </c>
      <c r="C455" s="1" t="str">
        <f>+TEXT(Tabla3[[#This Row],[Date]],"mmm")</f>
        <v>nov</v>
      </c>
      <c r="D455" s="2">
        <v>1286.69995117187</v>
      </c>
      <c r="E455" s="2">
        <v>1286.69995117187</v>
      </c>
      <c r="F455" s="2">
        <v>1286.69995117187</v>
      </c>
      <c r="G455" s="2">
        <v>1286.69995117187</v>
      </c>
      <c r="H455" s="2">
        <v>1286.69995117187</v>
      </c>
      <c r="I455">
        <v>0</v>
      </c>
      <c r="J455" s="2">
        <f ca="1">IFERROR((Tabla3[[#This Row],[Close]]-OFFSET(Tabla3[[#This Row],[Close]],-1,0))/OFFSET(Tabla3[[#This Row],[Close]],-1,0),"")</f>
        <v>-3.7937631671424578E-3</v>
      </c>
      <c r="K455" s="2">
        <f ca="1">IFERROR(AVERAGE(OFFSET(Tabla3[[#This Row],[Close]],-6,0,7)),"")</f>
        <v>1283.3857073102629</v>
      </c>
      <c r="L455" s="2">
        <f ca="1">IFERROR(_xlfn.STDEV.S(OFFSET(Tabla3[[#This Row],[Close]],-29,0,30)),"")</f>
        <v>9.0025932891214371</v>
      </c>
    </row>
    <row r="456" spans="1:12" x14ac:dyDescent="0.3">
      <c r="A456" s="1">
        <v>43066</v>
      </c>
      <c r="B456" s="3">
        <f>YEAR(Tabla3[[#This Row],[Date]])</f>
        <v>2017</v>
      </c>
      <c r="C456" s="1" t="str">
        <f>+TEXT(Tabla3[[#This Row],[Date]],"mmm")</f>
        <v>nov</v>
      </c>
      <c r="D456" s="2">
        <v>1293.80004882812</v>
      </c>
      <c r="E456" s="2">
        <v>1293.80004882812</v>
      </c>
      <c r="F456" s="2">
        <v>1293.80004882812</v>
      </c>
      <c r="G456" s="2">
        <v>1293.80004882812</v>
      </c>
      <c r="H456" s="2">
        <v>1293.80004882812</v>
      </c>
      <c r="I456">
        <v>1</v>
      </c>
      <c r="J456" s="2">
        <f ca="1">IFERROR((Tabla3[[#This Row],[Close]]-OFFSET(Tabla3[[#This Row],[Close]],-1,0))/OFFSET(Tabla3[[#This Row],[Close]],-1,0),"")</f>
        <v>5.5180678679466353E-3</v>
      </c>
      <c r="K456" s="2">
        <f ca="1">IFERROR(AVERAGE(OFFSET(Tabla3[[#This Row],[Close]],-6,0,7)),"")</f>
        <v>1285.8571428571372</v>
      </c>
      <c r="L456" s="2">
        <f ca="1">IFERROR(_xlfn.STDEV.S(OFFSET(Tabla3[[#This Row],[Close]],-29,0,30)),"")</f>
        <v>8.444537806304508</v>
      </c>
    </row>
    <row r="457" spans="1:12" x14ac:dyDescent="0.3">
      <c r="A457" s="1">
        <v>43067</v>
      </c>
      <c r="B457" s="3">
        <f>YEAR(Tabla3[[#This Row],[Date]])</f>
        <v>2017</v>
      </c>
      <c r="C457" s="1" t="str">
        <f>+TEXT(Tabla3[[#This Row],[Date]],"mmm")</f>
        <v>nov</v>
      </c>
      <c r="D457" s="2">
        <v>1294.69995117187</v>
      </c>
      <c r="E457" s="2">
        <v>1294.69995117187</v>
      </c>
      <c r="F457" s="2">
        <v>1294.69995117187</v>
      </c>
      <c r="G457" s="2">
        <v>1294.69995117187</v>
      </c>
      <c r="H457" s="2">
        <v>1294.69995117187</v>
      </c>
      <c r="I457">
        <v>275442</v>
      </c>
      <c r="J457" s="2">
        <f ca="1">IFERROR((Tabla3[[#This Row],[Close]]-OFFSET(Tabla3[[#This Row],[Close]],-1,0))/OFFSET(Tabla3[[#This Row],[Close]],-1,0),"")</f>
        <v>6.9554978341908465E-4</v>
      </c>
      <c r="K457" s="2">
        <f ca="1">IFERROR(AVERAGE(OFFSET(Tabla3[[#This Row],[Close]],-6,0,7)),"")</f>
        <v>1288.3285609653956</v>
      </c>
      <c r="L457" s="2">
        <f ca="1">IFERROR(_xlfn.STDEV.S(OFFSET(Tabla3[[#This Row],[Close]],-29,0,30)),"")</f>
        <v>8.0488033511937154</v>
      </c>
    </row>
    <row r="458" spans="1:12" x14ac:dyDescent="0.3">
      <c r="A458" s="1">
        <v>43068</v>
      </c>
      <c r="B458" s="3">
        <f>YEAR(Tabla3[[#This Row],[Date]])</f>
        <v>2017</v>
      </c>
      <c r="C458" s="1" t="str">
        <f>+TEXT(Tabla3[[#This Row],[Date]],"mmm")</f>
        <v>nov</v>
      </c>
      <c r="D458" s="2">
        <v>1282.09997558593</v>
      </c>
      <c r="E458" s="2">
        <v>1282.09997558593</v>
      </c>
      <c r="F458" s="2">
        <v>1296.19995117187</v>
      </c>
      <c r="G458" s="2">
        <v>1281.09997558593</v>
      </c>
      <c r="H458" s="2">
        <v>1293.40002441406</v>
      </c>
      <c r="I458">
        <v>47244</v>
      </c>
      <c r="J458" s="2">
        <f ca="1">IFERROR((Tabla3[[#This Row],[Close]]-OFFSET(Tabla3[[#This Row],[Close]],-1,0))/OFFSET(Tabla3[[#This Row],[Close]],-1,0),"")</f>
        <v>-9.7319657535596595E-3</v>
      </c>
      <c r="K458" s="2">
        <f ca="1">IFERROR(AVERAGE(OFFSET(Tabla3[[#This Row],[Close]],-6,0,7)),"")</f>
        <v>1286.3714076450829</v>
      </c>
      <c r="L458" s="2">
        <f ca="1">IFERROR(_xlfn.STDEV.S(OFFSET(Tabla3[[#This Row],[Close]],-29,0,30)),"")</f>
        <v>8.0350968826291105</v>
      </c>
    </row>
    <row r="459" spans="1:12" x14ac:dyDescent="0.3">
      <c r="A459" s="1">
        <v>43069</v>
      </c>
      <c r="B459" s="3">
        <f>YEAR(Tabla3[[#This Row],[Date]])</f>
        <v>2017</v>
      </c>
      <c r="C459" s="1" t="str">
        <f>+TEXT(Tabla3[[#This Row],[Date]],"mmm")</f>
        <v>nov</v>
      </c>
      <c r="D459" s="2">
        <v>1273.19995117187</v>
      </c>
      <c r="E459" s="2">
        <v>1273.19995117187</v>
      </c>
      <c r="F459" s="2">
        <v>1284.5</v>
      </c>
      <c r="G459" s="2">
        <v>1269.69995117187</v>
      </c>
      <c r="H459" s="2">
        <v>1283.09997558593</v>
      </c>
      <c r="I459">
        <v>3049</v>
      </c>
      <c r="J459" s="2">
        <f ca="1">IFERROR((Tabla3[[#This Row],[Close]]-OFFSET(Tabla3[[#This Row],[Close]],-1,0))/OFFSET(Tabla3[[#This Row],[Close]],-1,0),"")</f>
        <v>-6.9417553884537093E-3</v>
      </c>
      <c r="K459" s="2">
        <f ca="1">IFERROR(AVERAGE(OFFSET(Tabla3[[#This Row],[Close]],-6,0,7)),"")</f>
        <v>1286.1714041573598</v>
      </c>
      <c r="L459" s="2">
        <f ca="1">IFERROR(_xlfn.STDEV.S(OFFSET(Tabla3[[#This Row],[Close]],-29,0,30)),"")</f>
        <v>8.101578169211491</v>
      </c>
    </row>
    <row r="460" spans="1:12" x14ac:dyDescent="0.3">
      <c r="A460" s="1">
        <v>43070</v>
      </c>
      <c r="B460" s="3">
        <f>YEAR(Tabla3[[#This Row],[Date]])</f>
        <v>2017</v>
      </c>
      <c r="C460" s="1" t="str">
        <f>+TEXT(Tabla3[[#This Row],[Date]],"mmm")</f>
        <v>dic</v>
      </c>
      <c r="D460" s="2">
        <v>1278.80004882812</v>
      </c>
      <c r="E460" s="2">
        <v>1278.80004882812</v>
      </c>
      <c r="F460" s="2">
        <v>1288.59997558593</v>
      </c>
      <c r="G460" s="2">
        <v>1271</v>
      </c>
      <c r="H460" s="2">
        <v>1274.09997558593</v>
      </c>
      <c r="I460">
        <v>823</v>
      </c>
      <c r="J460" s="2">
        <f ca="1">IFERROR((Tabla3[[#This Row],[Close]]-OFFSET(Tabla3[[#This Row],[Close]],-1,0))/OFFSET(Tabla3[[#This Row],[Close]],-1,0),"")</f>
        <v>4.3984431911857965E-3</v>
      </c>
      <c r="K460" s="2">
        <f ca="1">IFERROR(AVERAGE(OFFSET(Tabla3[[#This Row],[Close]],-6,0,7)),"")</f>
        <v>1285.8428431919585</v>
      </c>
      <c r="L460" s="2">
        <f ca="1">IFERROR(_xlfn.STDEV.S(OFFSET(Tabla3[[#This Row],[Close]],-29,0,30)),"")</f>
        <v>7.9545824490070256</v>
      </c>
    </row>
    <row r="461" spans="1:12" x14ac:dyDescent="0.3">
      <c r="A461" s="1">
        <v>43073</v>
      </c>
      <c r="B461" s="3">
        <f>YEAR(Tabla3[[#This Row],[Date]])</f>
        <v>2017</v>
      </c>
      <c r="C461" s="1" t="str">
        <f>+TEXT(Tabla3[[#This Row],[Date]],"mmm")</f>
        <v>dic</v>
      </c>
      <c r="D461" s="2">
        <v>1274.30004882812</v>
      </c>
      <c r="E461" s="2">
        <v>1274.30004882812</v>
      </c>
      <c r="F461" s="2">
        <v>1276.09997558593</v>
      </c>
      <c r="G461" s="2">
        <v>1270.30004882812</v>
      </c>
      <c r="H461" s="2">
        <v>1272.5</v>
      </c>
      <c r="I461">
        <v>850</v>
      </c>
      <c r="J461" s="2">
        <f ca="1">IFERROR((Tabla3[[#This Row],[Close]]-OFFSET(Tabla3[[#This Row],[Close]],-1,0))/OFFSET(Tabla3[[#This Row],[Close]],-1,0),"")</f>
        <v>-3.5189238568795462E-3</v>
      </c>
      <c r="K461" s="2">
        <f ca="1">IFERROR(AVERAGE(OFFSET(Tabla3[[#This Row],[Close]],-6,0,7)),"")</f>
        <v>1283.3714250836999</v>
      </c>
      <c r="L461" s="2">
        <f ca="1">IFERROR(_xlfn.STDEV.S(OFFSET(Tabla3[[#This Row],[Close]],-29,0,30)),"")</f>
        <v>7.9892889111510392</v>
      </c>
    </row>
    <row r="462" spans="1:12" x14ac:dyDescent="0.3">
      <c r="A462" s="1">
        <v>43074</v>
      </c>
      <c r="B462" s="3">
        <f>YEAR(Tabla3[[#This Row],[Date]])</f>
        <v>2017</v>
      </c>
      <c r="C462" s="1" t="str">
        <f>+TEXT(Tabla3[[#This Row],[Date]],"mmm")</f>
        <v>dic</v>
      </c>
      <c r="D462" s="2">
        <v>1261.59997558593</v>
      </c>
      <c r="E462" s="2">
        <v>1261.59997558593</v>
      </c>
      <c r="F462" s="2">
        <v>1275.80004882812</v>
      </c>
      <c r="G462" s="2">
        <v>1260</v>
      </c>
      <c r="H462" s="2">
        <v>1275.40002441406</v>
      </c>
      <c r="I462">
        <v>1499</v>
      </c>
      <c r="J462" s="2">
        <f ca="1">IFERROR((Tabla3[[#This Row],[Close]]-OFFSET(Tabla3[[#This Row],[Close]],-1,0))/OFFSET(Tabla3[[#This Row],[Close]],-1,0),"")</f>
        <v>-9.9663130782026762E-3</v>
      </c>
      <c r="K462" s="2">
        <f ca="1">IFERROR(AVERAGE(OFFSET(Tabla3[[#This Row],[Close]],-6,0,7)),"")</f>
        <v>1279.7857142857085</v>
      </c>
      <c r="L462" s="2">
        <f ca="1">IFERROR(_xlfn.STDEV.S(OFFSET(Tabla3[[#This Row],[Close]],-29,0,30)),"")</f>
        <v>8.5575424844165386</v>
      </c>
    </row>
    <row r="463" spans="1:12" x14ac:dyDescent="0.3">
      <c r="A463" s="1">
        <v>43075</v>
      </c>
      <c r="B463" s="3">
        <f>YEAR(Tabla3[[#This Row],[Date]])</f>
        <v>2017</v>
      </c>
      <c r="C463" s="1" t="str">
        <f>+TEXT(Tabla3[[#This Row],[Date]],"mmm")</f>
        <v>dic</v>
      </c>
      <c r="D463" s="2">
        <v>1262.80004882812</v>
      </c>
      <c r="E463" s="2">
        <v>1262.80004882812</v>
      </c>
      <c r="F463" s="2">
        <v>1267.80004882812</v>
      </c>
      <c r="G463" s="2">
        <v>1261.59997558593</v>
      </c>
      <c r="H463" s="2">
        <v>1264.90002441406</v>
      </c>
      <c r="I463">
        <v>373</v>
      </c>
      <c r="J463" s="2">
        <f ca="1">IFERROR((Tabla3[[#This Row],[Close]]-OFFSET(Tabla3[[#This Row],[Close]],-1,0))/OFFSET(Tabla3[[#This Row],[Close]],-1,0),"")</f>
        <v>9.5123118691615874E-4</v>
      </c>
      <c r="K463" s="2">
        <f ca="1">IFERROR(AVERAGE(OFFSET(Tabla3[[#This Row],[Close]],-6,0,7)),"")</f>
        <v>1275.3571428571372</v>
      </c>
      <c r="L463" s="2">
        <f ca="1">IFERROR(_xlfn.STDEV.S(OFFSET(Tabla3[[#This Row],[Close]],-29,0,30)),"")</f>
        <v>8.9772350102744394</v>
      </c>
    </row>
    <row r="464" spans="1:12" x14ac:dyDescent="0.3">
      <c r="A464" s="1">
        <v>43076</v>
      </c>
      <c r="B464" s="3">
        <f>YEAR(Tabla3[[#This Row],[Date]])</f>
        <v>2017</v>
      </c>
      <c r="C464" s="1" t="str">
        <f>+TEXT(Tabla3[[#This Row],[Date]],"mmm")</f>
        <v>dic</v>
      </c>
      <c r="D464" s="2">
        <v>1249.80004882812</v>
      </c>
      <c r="E464" s="2">
        <v>1249.80004882812</v>
      </c>
      <c r="F464" s="2">
        <v>1262.40002441406</v>
      </c>
      <c r="G464" s="2">
        <v>1243.90002441406</v>
      </c>
      <c r="H464" s="2">
        <v>1262.30004882812</v>
      </c>
      <c r="I464">
        <v>358</v>
      </c>
      <c r="J464" s="2">
        <f ca="1">IFERROR((Tabla3[[#This Row],[Close]]-OFFSET(Tabla3[[#This Row],[Close]],-1,0))/OFFSET(Tabla3[[#This Row],[Close]],-1,0),"")</f>
        <v>-1.0294583067259156E-2</v>
      </c>
      <c r="K464" s="2">
        <f ca="1">IFERROR(AVERAGE(OFFSET(Tabla3[[#This Row],[Close]],-6,0,7)),"")</f>
        <v>1268.9428710937443</v>
      </c>
      <c r="L464" s="2">
        <f ca="1">IFERROR(_xlfn.STDEV.S(OFFSET(Tabla3[[#This Row],[Close]],-29,0,30)),"")</f>
        <v>10.297744250854389</v>
      </c>
    </row>
    <row r="465" spans="1:12" x14ac:dyDescent="0.3">
      <c r="A465" s="1">
        <v>43077</v>
      </c>
      <c r="B465" s="3">
        <f>YEAR(Tabla3[[#This Row],[Date]])</f>
        <v>2017</v>
      </c>
      <c r="C465" s="1" t="str">
        <f>+TEXT(Tabla3[[#This Row],[Date]],"mmm")</f>
        <v>dic</v>
      </c>
      <c r="D465" s="2">
        <v>1245.19995117187</v>
      </c>
      <c r="E465" s="2">
        <v>1245.19995117187</v>
      </c>
      <c r="F465" s="2">
        <v>1249.30004882812</v>
      </c>
      <c r="G465" s="2">
        <v>1241.5</v>
      </c>
      <c r="H465" s="2">
        <v>1246.30004882812</v>
      </c>
      <c r="I465">
        <v>157</v>
      </c>
      <c r="J465" s="2">
        <f ca="1">IFERROR((Tabla3[[#This Row],[Close]]-OFFSET(Tabla3[[#This Row],[Close]],-1,0))/OFFSET(Tabla3[[#This Row],[Close]],-1,0),"")</f>
        <v>-3.6806668879260326E-3</v>
      </c>
      <c r="K465" s="2">
        <f ca="1">IFERROR(AVERAGE(OFFSET(Tabla3[[#This Row],[Close]],-6,0,7)),"")</f>
        <v>1263.6714390345928</v>
      </c>
      <c r="L465" s="2">
        <f ca="1">IFERROR(_xlfn.STDEV.S(OFFSET(Tabla3[[#This Row],[Close]],-29,0,30)),"")</f>
        <v>11.655802559182968</v>
      </c>
    </row>
    <row r="466" spans="1:12" x14ac:dyDescent="0.3">
      <c r="A466" s="1">
        <v>43080</v>
      </c>
      <c r="B466" s="3">
        <f>YEAR(Tabla3[[#This Row],[Date]])</f>
        <v>2017</v>
      </c>
      <c r="C466" s="1" t="str">
        <f>+TEXT(Tabla3[[#This Row],[Date]],"mmm")</f>
        <v>dic</v>
      </c>
      <c r="D466" s="2">
        <v>1243.69995117187</v>
      </c>
      <c r="E466" s="2">
        <v>1243.69995117187</v>
      </c>
      <c r="F466" s="2">
        <v>1249.19995117187</v>
      </c>
      <c r="G466" s="2">
        <v>1239.90002441406</v>
      </c>
      <c r="H466" s="2">
        <v>1248.40002441406</v>
      </c>
      <c r="I466">
        <v>146</v>
      </c>
      <c r="J466" s="2">
        <f ca="1">IFERROR((Tabla3[[#This Row],[Close]]-OFFSET(Tabla3[[#This Row],[Close]],-1,0))/OFFSET(Tabla3[[#This Row],[Close]],-1,0),"")</f>
        <v>-1.2046258101667407E-3</v>
      </c>
      <c r="K466" s="2">
        <f ca="1">IFERROR(AVERAGE(OFFSET(Tabla3[[#This Row],[Close]],-6,0,7)),"")</f>
        <v>1259.457153320307</v>
      </c>
      <c r="L466" s="2">
        <f ca="1">IFERROR(_xlfn.STDEV.S(OFFSET(Tabla3[[#This Row],[Close]],-29,0,30)),"")</f>
        <v>12.999727611379868</v>
      </c>
    </row>
    <row r="467" spans="1:12" x14ac:dyDescent="0.3">
      <c r="A467" s="1">
        <v>43081</v>
      </c>
      <c r="B467" s="3">
        <f>YEAR(Tabla3[[#This Row],[Date]])</f>
        <v>2017</v>
      </c>
      <c r="C467" s="1" t="str">
        <f>+TEXT(Tabla3[[#This Row],[Date]],"mmm")</f>
        <v>dic</v>
      </c>
      <c r="D467" s="2">
        <v>1238.5</v>
      </c>
      <c r="E467" s="2">
        <v>1238.5</v>
      </c>
      <c r="F467" s="2">
        <v>1244.40002441406</v>
      </c>
      <c r="G467" s="2">
        <v>1236.5</v>
      </c>
      <c r="H467" s="2">
        <v>1241.30004882812</v>
      </c>
      <c r="I467">
        <v>692</v>
      </c>
      <c r="J467" s="2">
        <f ca="1">IFERROR((Tabla3[[#This Row],[Close]]-OFFSET(Tabla3[[#This Row],[Close]],-1,0))/OFFSET(Tabla3[[#This Row],[Close]],-1,0),"")</f>
        <v>-4.1810335097065571E-3</v>
      </c>
      <c r="K467" s="2">
        <f ca="1">IFERROR(AVERAGE(OFFSET(Tabla3[[#This Row],[Close]],-6,0,7)),"")</f>
        <v>1253.7000034877185</v>
      </c>
      <c r="L467" s="2">
        <f ca="1">IFERROR(_xlfn.STDEV.S(OFFSET(Tabla3[[#This Row],[Close]],-29,0,30)),"")</f>
        <v>14.614896893518956</v>
      </c>
    </row>
    <row r="468" spans="1:12" x14ac:dyDescent="0.3">
      <c r="A468" s="1">
        <v>43082</v>
      </c>
      <c r="B468" s="3">
        <f>YEAR(Tabla3[[#This Row],[Date]])</f>
        <v>2017</v>
      </c>
      <c r="C468" s="1" t="str">
        <f>+TEXT(Tabla3[[#This Row],[Date]],"mmm")</f>
        <v>dic</v>
      </c>
      <c r="D468" s="2">
        <v>1245.40002441406</v>
      </c>
      <c r="E468" s="2">
        <v>1245.40002441406</v>
      </c>
      <c r="F468" s="2">
        <v>1254.5</v>
      </c>
      <c r="G468" s="2">
        <v>1239.80004882812</v>
      </c>
      <c r="H468" s="2">
        <v>1241.90002441406</v>
      </c>
      <c r="I468">
        <v>349</v>
      </c>
      <c r="J468" s="2">
        <f ca="1">IFERROR((Tabla3[[#This Row],[Close]]-OFFSET(Tabla3[[#This Row],[Close]],-1,0))/OFFSET(Tabla3[[#This Row],[Close]],-1,0),"")</f>
        <v>5.5712752636737977E-3</v>
      </c>
      <c r="K468" s="2">
        <f ca="1">IFERROR(AVERAGE(OFFSET(Tabla3[[#This Row],[Close]],-6,0,7)),"")</f>
        <v>1249.5714285714243</v>
      </c>
      <c r="L468" s="2">
        <f ca="1">IFERROR(_xlfn.STDEV.S(OFFSET(Tabla3[[#This Row],[Close]],-29,0,30)),"")</f>
        <v>15.472105823264299</v>
      </c>
    </row>
    <row r="469" spans="1:12" x14ac:dyDescent="0.3">
      <c r="A469" s="1">
        <v>43083</v>
      </c>
      <c r="B469" s="3">
        <f>YEAR(Tabla3[[#This Row],[Date]])</f>
        <v>2017</v>
      </c>
      <c r="C469" s="1" t="str">
        <f>+TEXT(Tabla3[[#This Row],[Date]],"mmm")</f>
        <v>dic</v>
      </c>
      <c r="D469" s="2">
        <v>1253.80004882812</v>
      </c>
      <c r="E469" s="2">
        <v>1253.80004882812</v>
      </c>
      <c r="F469" s="2">
        <v>1257.69995117187</v>
      </c>
      <c r="G469" s="2">
        <v>1250.30004882812</v>
      </c>
      <c r="H469" s="2">
        <v>1252.90002441406</v>
      </c>
      <c r="I469">
        <v>139</v>
      </c>
      <c r="J469" s="2">
        <f ca="1">IFERROR((Tabla3[[#This Row],[Close]]-OFFSET(Tabla3[[#This Row],[Close]],-1,0))/OFFSET(Tabla3[[#This Row],[Close]],-1,0),"")</f>
        <v>6.7448404122298538E-3</v>
      </c>
      <c r="K469" s="2">
        <f ca="1">IFERROR(AVERAGE(OFFSET(Tabla3[[#This Row],[Close]],-6,0,7)),"")</f>
        <v>1248.4571533203086</v>
      </c>
      <c r="L469" s="2">
        <f ca="1">IFERROR(_xlfn.STDEV.S(OFFSET(Tabla3[[#This Row],[Close]],-29,0,30)),"")</f>
        <v>15.868112594363863</v>
      </c>
    </row>
    <row r="470" spans="1:12" x14ac:dyDescent="0.3">
      <c r="A470" s="1">
        <v>43084</v>
      </c>
      <c r="B470" s="3">
        <f>YEAR(Tabla3[[#This Row],[Date]])</f>
        <v>2017</v>
      </c>
      <c r="C470" s="1" t="str">
        <f>+TEXT(Tabla3[[#This Row],[Date]],"mmm")</f>
        <v>dic</v>
      </c>
      <c r="D470" s="2">
        <v>1254.30004882812</v>
      </c>
      <c r="E470" s="2">
        <v>1254.30004882812</v>
      </c>
      <c r="F470" s="2">
        <v>1260.30004882812</v>
      </c>
      <c r="G470" s="2">
        <v>1253.09997558593</v>
      </c>
      <c r="H470" s="2">
        <v>1253.09997558593</v>
      </c>
      <c r="I470">
        <v>578</v>
      </c>
      <c r="J470" s="2">
        <f ca="1">IFERROR((Tabla3[[#This Row],[Close]]-OFFSET(Tabla3[[#This Row],[Close]],-1,0))/OFFSET(Tabla3[[#This Row],[Close]],-1,0),"")</f>
        <v>3.9878766990584445E-4</v>
      </c>
      <c r="K470" s="2">
        <f ca="1">IFERROR(AVERAGE(OFFSET(Tabla3[[#This Row],[Close]],-6,0,7)),"")</f>
        <v>1247.2428676060229</v>
      </c>
      <c r="L470" s="2">
        <f ca="1">IFERROR(_xlfn.STDEV.S(OFFSET(Tabla3[[#This Row],[Close]],-29,0,30)),"")</f>
        <v>16.201835211549447</v>
      </c>
    </row>
    <row r="471" spans="1:12" x14ac:dyDescent="0.3">
      <c r="A471" s="1">
        <v>43087</v>
      </c>
      <c r="B471" s="3">
        <f>YEAR(Tabla3[[#This Row],[Date]])</f>
        <v>2017</v>
      </c>
      <c r="C471" s="1" t="str">
        <f>+TEXT(Tabla3[[#This Row],[Date]],"mmm")</f>
        <v>dic</v>
      </c>
      <c r="D471" s="2">
        <v>1262.19995117187</v>
      </c>
      <c r="E471" s="2">
        <v>1262.19995117187</v>
      </c>
      <c r="F471" s="2">
        <v>1262.40002441406</v>
      </c>
      <c r="G471" s="2">
        <v>1255.69995117187</v>
      </c>
      <c r="H471" s="2">
        <v>1256.19995117187</v>
      </c>
      <c r="I471">
        <v>45</v>
      </c>
      <c r="J471" s="2">
        <f ca="1">IFERROR((Tabla3[[#This Row],[Close]]-OFFSET(Tabla3[[#This Row],[Close]],-1,0))/OFFSET(Tabla3[[#This Row],[Close]],-1,0),"")</f>
        <v>6.2982556296085615E-3</v>
      </c>
      <c r="K471" s="2">
        <f ca="1">IFERROR(AVERAGE(OFFSET(Tabla3[[#This Row],[Close]],-6,0,7)),"")</f>
        <v>1249.0142822265584</v>
      </c>
      <c r="L471" s="2">
        <f ca="1">IFERROR(_xlfn.STDEV.S(OFFSET(Tabla3[[#This Row],[Close]],-29,0,30)),"")</f>
        <v>16.269129930993916</v>
      </c>
    </row>
    <row r="472" spans="1:12" x14ac:dyDescent="0.3">
      <c r="A472" s="1">
        <v>43088</v>
      </c>
      <c r="B472" s="3">
        <f>YEAR(Tabla3[[#This Row],[Date]])</f>
        <v>2017</v>
      </c>
      <c r="C472" s="1" t="str">
        <f>+TEXT(Tabla3[[#This Row],[Date]],"mmm")</f>
        <v>dic</v>
      </c>
      <c r="D472" s="2">
        <v>1260.69995117187</v>
      </c>
      <c r="E472" s="2">
        <v>1260.69995117187</v>
      </c>
      <c r="F472" s="2">
        <v>1264.30004882812</v>
      </c>
      <c r="G472" s="2">
        <v>1259.5</v>
      </c>
      <c r="H472" s="2">
        <v>1261.09997558593</v>
      </c>
      <c r="I472">
        <v>329</v>
      </c>
      <c r="J472" s="2">
        <f ca="1">IFERROR((Tabla3[[#This Row],[Close]]-OFFSET(Tabla3[[#This Row],[Close]],-1,0))/OFFSET(Tabla3[[#This Row],[Close]],-1,0),"")</f>
        <v>-1.1884012502197834E-3</v>
      </c>
      <c r="K472" s="2">
        <f ca="1">IFERROR(AVERAGE(OFFSET(Tabla3[[#This Row],[Close]],-6,0,7)),"")</f>
        <v>1251.228567940844</v>
      </c>
      <c r="L472" s="2">
        <f ca="1">IFERROR(_xlfn.STDEV.S(OFFSET(Tabla3[[#This Row],[Close]],-29,0,30)),"")</f>
        <v>16.319982148184</v>
      </c>
    </row>
    <row r="473" spans="1:12" x14ac:dyDescent="0.3">
      <c r="A473" s="1">
        <v>43089</v>
      </c>
      <c r="B473" s="3">
        <f>YEAR(Tabla3[[#This Row],[Date]])</f>
        <v>2017</v>
      </c>
      <c r="C473" s="1" t="str">
        <f>+TEXT(Tabla3[[#This Row],[Date]],"mmm")</f>
        <v>dic</v>
      </c>
      <c r="D473" s="2">
        <v>1266.09997558593</v>
      </c>
      <c r="E473" s="2">
        <v>1266.09997558593</v>
      </c>
      <c r="F473" s="2">
        <v>1266.59997558593</v>
      </c>
      <c r="G473" s="2">
        <v>1261.30004882812</v>
      </c>
      <c r="H473" s="2">
        <v>1261.30004882812</v>
      </c>
      <c r="I473">
        <v>63</v>
      </c>
      <c r="J473" s="2">
        <f ca="1">IFERROR((Tabla3[[#This Row],[Close]]-OFFSET(Tabla3[[#This Row],[Close]],-1,0))/OFFSET(Tabla3[[#This Row],[Close]],-1,0),"")</f>
        <v>4.2833541867281465E-3</v>
      </c>
      <c r="K473" s="2">
        <f ca="1">IFERROR(AVERAGE(OFFSET(Tabla3[[#This Row],[Close]],-6,0,7)),"")</f>
        <v>1254.428571428567</v>
      </c>
      <c r="L473" s="2">
        <f ca="1">IFERROR(_xlfn.STDEV.S(OFFSET(Tabla3[[#This Row],[Close]],-29,0,30)),"")</f>
        <v>16.335979462467346</v>
      </c>
    </row>
    <row r="474" spans="1:12" x14ac:dyDescent="0.3">
      <c r="A474" s="1">
        <v>43090</v>
      </c>
      <c r="B474" s="3">
        <f>YEAR(Tabla3[[#This Row],[Date]])</f>
        <v>2017</v>
      </c>
      <c r="C474" s="1" t="str">
        <f>+TEXT(Tabla3[[#This Row],[Date]],"mmm")</f>
        <v>dic</v>
      </c>
      <c r="D474" s="2">
        <v>1267.30004882812</v>
      </c>
      <c r="E474" s="2">
        <v>1267.30004882812</v>
      </c>
      <c r="F474" s="2">
        <v>1267.40002441406</v>
      </c>
      <c r="G474" s="2">
        <v>1264.30004882812</v>
      </c>
      <c r="H474" s="2">
        <v>1266.40002441406</v>
      </c>
      <c r="I474">
        <v>226</v>
      </c>
      <c r="J474" s="2">
        <f ca="1">IFERROR((Tabla3[[#This Row],[Close]]-OFFSET(Tabla3[[#This Row],[Close]],-1,0))/OFFSET(Tabla3[[#This Row],[Close]],-1,0),"")</f>
        <v>9.4785030039561222E-4</v>
      </c>
      <c r="K474" s="2">
        <f ca="1">IFERROR(AVERAGE(OFFSET(Tabla3[[#This Row],[Close]],-6,0,7)),"")</f>
        <v>1258.5428641182987</v>
      </c>
      <c r="L474" s="2">
        <f ca="1">IFERROR(_xlfn.STDEV.S(OFFSET(Tabla3[[#This Row],[Close]],-29,0,30)),"")</f>
        <v>16.217273069069069</v>
      </c>
    </row>
    <row r="475" spans="1:12" x14ac:dyDescent="0.3">
      <c r="A475" s="1">
        <v>43091</v>
      </c>
      <c r="B475" s="3">
        <f>YEAR(Tabla3[[#This Row],[Date]])</f>
        <v>2017</v>
      </c>
      <c r="C475" s="1" t="str">
        <f>+TEXT(Tabla3[[#This Row],[Date]],"mmm")</f>
        <v>dic</v>
      </c>
      <c r="D475" s="2">
        <v>1275.40002441406</v>
      </c>
      <c r="E475" s="2">
        <v>1275.40002441406</v>
      </c>
      <c r="F475" s="2">
        <v>1276.30004882812</v>
      </c>
      <c r="G475" s="2">
        <v>1266.30004882812</v>
      </c>
      <c r="H475" s="2">
        <v>1266.30004882812</v>
      </c>
      <c r="I475">
        <v>119</v>
      </c>
      <c r="J475" s="2">
        <f ca="1">IFERROR((Tabla3[[#This Row],[Close]]-OFFSET(Tabla3[[#This Row],[Close]],-1,0))/OFFSET(Tabla3[[#This Row],[Close]],-1,0),"")</f>
        <v>6.3915215606833581E-3</v>
      </c>
      <c r="K475" s="2">
        <f ca="1">IFERROR(AVERAGE(OFFSET(Tabla3[[#This Row],[Close]],-6,0,7)),"")</f>
        <v>1262.8285784040129</v>
      </c>
      <c r="L475" s="2">
        <f ca="1">IFERROR(_xlfn.STDEV.S(OFFSET(Tabla3[[#This Row],[Close]],-29,0,30)),"")</f>
        <v>15.990638954753091</v>
      </c>
    </row>
    <row r="476" spans="1:12" x14ac:dyDescent="0.3">
      <c r="A476" s="1">
        <v>43095</v>
      </c>
      <c r="B476" s="3">
        <f>YEAR(Tabla3[[#This Row],[Date]])</f>
        <v>2017</v>
      </c>
      <c r="C476" s="1" t="str">
        <f>+TEXT(Tabla3[[#This Row],[Date]],"mmm")</f>
        <v>dic</v>
      </c>
      <c r="D476" s="2">
        <v>1284.09997558593</v>
      </c>
      <c r="E476" s="2">
        <v>1284.09997558593</v>
      </c>
      <c r="F476" s="2">
        <v>1284.09997558593</v>
      </c>
      <c r="G476" s="2">
        <v>1281.80004882812</v>
      </c>
      <c r="H476" s="2">
        <v>1282.40002441406</v>
      </c>
      <c r="I476">
        <v>84</v>
      </c>
      <c r="J476" s="2">
        <f ca="1">IFERROR((Tabla3[[#This Row],[Close]]-OFFSET(Tabla3[[#This Row],[Close]],-1,0))/OFFSET(Tabla3[[#This Row],[Close]],-1,0),"")</f>
        <v>6.8213509529035021E-3</v>
      </c>
      <c r="K476" s="2">
        <f ca="1">IFERROR(AVERAGE(OFFSET(Tabla3[[#This Row],[Close]],-6,0,7)),"")</f>
        <v>1267.1571393694142</v>
      </c>
      <c r="L476" s="2">
        <f ca="1">IFERROR(_xlfn.STDEV.S(OFFSET(Tabla3[[#This Row],[Close]],-29,0,30)),"")</f>
        <v>16.193755334259201</v>
      </c>
    </row>
    <row r="477" spans="1:12" x14ac:dyDescent="0.3">
      <c r="A477" s="1">
        <v>43096</v>
      </c>
      <c r="B477" s="3">
        <f>YEAR(Tabla3[[#This Row],[Date]])</f>
        <v>2017</v>
      </c>
      <c r="C477" s="1" t="str">
        <f>+TEXT(Tabla3[[#This Row],[Date]],"mmm")</f>
        <v>dic</v>
      </c>
      <c r="D477" s="2">
        <v>1287</v>
      </c>
      <c r="E477" s="2">
        <v>1287</v>
      </c>
      <c r="F477" s="2">
        <v>1287</v>
      </c>
      <c r="G477" s="2">
        <v>1284</v>
      </c>
      <c r="H477" s="2">
        <v>1284</v>
      </c>
      <c r="I477">
        <v>456</v>
      </c>
      <c r="J477" s="2">
        <f ca="1">IFERROR((Tabla3[[#This Row],[Close]]-OFFSET(Tabla3[[#This Row],[Close]],-1,0))/OFFSET(Tabla3[[#This Row],[Close]],-1,0),"")</f>
        <v>2.2584101465672351E-3</v>
      </c>
      <c r="K477" s="2">
        <f ca="1">IFERROR(AVERAGE(OFFSET(Tabla3[[#This Row],[Close]],-6,0,7)),"")</f>
        <v>1271.8285609653972</v>
      </c>
      <c r="L477" s="2">
        <f ca="1">IFERROR(_xlfn.STDEV.S(OFFSET(Tabla3[[#This Row],[Close]],-29,0,30)),"")</f>
        <v>16.432522382390818</v>
      </c>
    </row>
    <row r="478" spans="1:12" x14ac:dyDescent="0.3">
      <c r="A478" s="1">
        <v>43097</v>
      </c>
      <c r="B478" s="3">
        <f>YEAR(Tabla3[[#This Row],[Date]])</f>
        <v>2017</v>
      </c>
      <c r="C478" s="1" t="str">
        <f>+TEXT(Tabla3[[#This Row],[Date]],"mmm")</f>
        <v>dic</v>
      </c>
      <c r="D478" s="2">
        <v>1294.09997558593</v>
      </c>
      <c r="E478" s="2">
        <v>1294.09997558593</v>
      </c>
      <c r="F478" s="2">
        <v>1294.09997558593</v>
      </c>
      <c r="G478" s="2">
        <v>1288.19995117187</v>
      </c>
      <c r="H478" s="2">
        <v>1288.19995117187</v>
      </c>
      <c r="I478">
        <v>245</v>
      </c>
      <c r="J478" s="2">
        <f ca="1">IFERROR((Tabla3[[#This Row],[Close]]-OFFSET(Tabla3[[#This Row],[Close]],-1,0))/OFFSET(Tabla3[[#This Row],[Close]],-1,0),"")</f>
        <v>5.5166865469541545E-3</v>
      </c>
      <c r="K478" s="2">
        <f ca="1">IFERROR(AVERAGE(OFFSET(Tabla3[[#This Row],[Close]],-6,0,7)),"")</f>
        <v>1276.3857073102629</v>
      </c>
      <c r="L478" s="2">
        <f ca="1">IFERROR(_xlfn.STDEV.S(OFFSET(Tabla3[[#This Row],[Close]],-29,0,30)),"")</f>
        <v>16.874049490357418</v>
      </c>
    </row>
    <row r="479" spans="1:12" x14ac:dyDescent="0.3">
      <c r="A479" s="1">
        <v>43098</v>
      </c>
      <c r="B479" s="3">
        <f>YEAR(Tabla3[[#This Row],[Date]])</f>
        <v>2017</v>
      </c>
      <c r="C479" s="1" t="str">
        <f>+TEXT(Tabla3[[#This Row],[Date]],"mmm")</f>
        <v>dic</v>
      </c>
      <c r="D479" s="2">
        <v>1306.30004882812</v>
      </c>
      <c r="E479" s="2">
        <v>1306.30004882812</v>
      </c>
      <c r="F479" s="2">
        <v>1306.30004882812</v>
      </c>
      <c r="G479" s="2">
        <v>1294</v>
      </c>
      <c r="H479" s="2">
        <v>1294.19995117187</v>
      </c>
      <c r="I479">
        <v>65</v>
      </c>
      <c r="J479" s="2">
        <f ca="1">IFERROR((Tabla3[[#This Row],[Close]]-OFFSET(Tabla3[[#This Row],[Close]],-1,0))/OFFSET(Tabla3[[#This Row],[Close]],-1,0),"")</f>
        <v>9.4274580576096303E-3</v>
      </c>
      <c r="K479" s="2">
        <f ca="1">IFERROR(AVERAGE(OFFSET(Tabla3[[#This Row],[Close]],-6,0,7)),"")</f>
        <v>1282.9000069754416</v>
      </c>
      <c r="L479" s="2">
        <f ca="1">IFERROR(_xlfn.STDEV.S(OFFSET(Tabla3[[#This Row],[Close]],-29,0,30)),"")</f>
        <v>18.040519110509464</v>
      </c>
    </row>
    <row r="480" spans="1:12" x14ac:dyDescent="0.3">
      <c r="A480" s="1">
        <v>43102</v>
      </c>
      <c r="B480" s="3">
        <f>YEAR(Tabla3[[#This Row],[Date]])</f>
        <v>2018</v>
      </c>
      <c r="C480" s="1" t="str">
        <f>+TEXT(Tabla3[[#This Row],[Date]],"mmm")</f>
        <v>ene</v>
      </c>
      <c r="D480" s="2">
        <v>1313.69995117187</v>
      </c>
      <c r="E480" s="2">
        <v>1313.69995117187</v>
      </c>
      <c r="F480" s="2">
        <v>1317.59997558593</v>
      </c>
      <c r="G480" s="2">
        <v>1302.30004882812</v>
      </c>
      <c r="H480" s="2">
        <v>1302.30004882812</v>
      </c>
      <c r="I480">
        <v>68</v>
      </c>
      <c r="J480" s="2">
        <f ca="1">IFERROR((Tabla3[[#This Row],[Close]]-OFFSET(Tabla3[[#This Row],[Close]],-1,0))/OFFSET(Tabla3[[#This Row],[Close]],-1,0),"")</f>
        <v>5.6647799641349186E-3</v>
      </c>
      <c r="K480" s="2">
        <f ca="1">IFERROR(AVERAGE(OFFSET(Tabla3[[#This Row],[Close]],-6,0,7)),"")</f>
        <v>1289.7000034877185</v>
      </c>
      <c r="L480" s="2">
        <f ca="1">IFERROR(_xlfn.STDEV.S(OFFSET(Tabla3[[#This Row],[Close]],-29,0,30)),"")</f>
        <v>19.562758741239286</v>
      </c>
    </row>
    <row r="481" spans="1:12" x14ac:dyDescent="0.3">
      <c r="A481" s="1">
        <v>43103</v>
      </c>
      <c r="B481" s="3">
        <f>YEAR(Tabla3[[#This Row],[Date]])</f>
        <v>2018</v>
      </c>
      <c r="C481" s="1" t="str">
        <f>+TEXT(Tabla3[[#This Row],[Date]],"mmm")</f>
        <v>ene</v>
      </c>
      <c r="D481" s="2">
        <v>1316.19995117187</v>
      </c>
      <c r="E481" s="2">
        <v>1316.19995117187</v>
      </c>
      <c r="F481" s="2">
        <v>1320.09997558593</v>
      </c>
      <c r="G481" s="2">
        <v>1312.09997558593</v>
      </c>
      <c r="H481" s="2">
        <v>1320</v>
      </c>
      <c r="I481">
        <v>42</v>
      </c>
      <c r="J481" s="2">
        <f ca="1">IFERROR((Tabla3[[#This Row],[Close]]-OFFSET(Tabla3[[#This Row],[Close]],-1,0))/OFFSET(Tabla3[[#This Row],[Close]],-1,0),"")</f>
        <v>1.9030220696665975E-3</v>
      </c>
      <c r="K481" s="2">
        <f ca="1">IFERROR(AVERAGE(OFFSET(Tabla3[[#This Row],[Close]],-6,0,7)),"")</f>
        <v>1296.6857038225401</v>
      </c>
      <c r="L481" s="2">
        <f ca="1">IFERROR(_xlfn.STDEV.S(OFFSET(Tabla3[[#This Row],[Close]],-29,0,30)),"")</f>
        <v>20.694022265325913</v>
      </c>
    </row>
    <row r="482" spans="1:12" x14ac:dyDescent="0.3">
      <c r="A482" s="1">
        <v>43104</v>
      </c>
      <c r="B482" s="3">
        <f>YEAR(Tabla3[[#This Row],[Date]])</f>
        <v>2018</v>
      </c>
      <c r="C482" s="1" t="str">
        <f>+TEXT(Tabla3[[#This Row],[Date]],"mmm")</f>
        <v>ene</v>
      </c>
      <c r="D482" s="2">
        <v>1319.40002441406</v>
      </c>
      <c r="E482" s="2">
        <v>1319.40002441406</v>
      </c>
      <c r="F482" s="2">
        <v>1322</v>
      </c>
      <c r="G482" s="2">
        <v>1319.40002441406</v>
      </c>
      <c r="H482" s="2">
        <v>1319.40002441406</v>
      </c>
      <c r="I482">
        <v>2</v>
      </c>
      <c r="J482" s="2">
        <f ca="1">IFERROR((Tabla3[[#This Row],[Close]]-OFFSET(Tabla3[[#This Row],[Close]],-1,0))/OFFSET(Tabla3[[#This Row],[Close]],-1,0),"")</f>
        <v>2.431297189565185E-3</v>
      </c>
      <c r="K482" s="2">
        <f ca="1">IFERROR(AVERAGE(OFFSET(Tabla3[[#This Row],[Close]],-6,0,7)),"")</f>
        <v>1302.9714181082543</v>
      </c>
      <c r="L482" s="2">
        <f ca="1">IFERROR(_xlfn.STDEV.S(OFFSET(Tabla3[[#This Row],[Close]],-29,0,30)),"")</f>
        <v>22.295525587430852</v>
      </c>
    </row>
    <row r="483" spans="1:12" x14ac:dyDescent="0.3">
      <c r="A483" s="1">
        <v>43105</v>
      </c>
      <c r="B483" s="3">
        <f>YEAR(Tabla3[[#This Row],[Date]])</f>
        <v>2018</v>
      </c>
      <c r="C483" s="1" t="str">
        <f>+TEXT(Tabla3[[#This Row],[Date]],"mmm")</f>
        <v>ene</v>
      </c>
      <c r="D483" s="2">
        <v>1320.30004882812</v>
      </c>
      <c r="E483" s="2">
        <v>1320.30004882812</v>
      </c>
      <c r="F483" s="2">
        <v>1320.30004882812</v>
      </c>
      <c r="G483" s="2">
        <v>1320.30004882812</v>
      </c>
      <c r="H483" s="2">
        <v>1320.30004882812</v>
      </c>
      <c r="I483">
        <v>1</v>
      </c>
      <c r="J483" s="2">
        <f ca="1">IFERROR((Tabla3[[#This Row],[Close]]-OFFSET(Tabla3[[#This Row],[Close]],-1,0))/OFFSET(Tabla3[[#This Row],[Close]],-1,0),"")</f>
        <v>6.8214673139762596E-4</v>
      </c>
      <c r="K483" s="2">
        <f ca="1">IFERROR(AVERAGE(OFFSET(Tabla3[[#This Row],[Close]],-6,0,7)),"")</f>
        <v>1308.142857142853</v>
      </c>
      <c r="L483" s="2">
        <f ca="1">IFERROR(_xlfn.STDEV.S(OFFSET(Tabla3[[#This Row],[Close]],-29,0,30)),"")</f>
        <v>23.739216373145709</v>
      </c>
    </row>
    <row r="484" spans="1:12" x14ac:dyDescent="0.3">
      <c r="A484" s="1">
        <v>43108</v>
      </c>
      <c r="B484" s="3">
        <f>YEAR(Tabla3[[#This Row],[Date]])</f>
        <v>2018</v>
      </c>
      <c r="C484" s="1" t="str">
        <f>+TEXT(Tabla3[[#This Row],[Date]],"mmm")</f>
        <v>ene</v>
      </c>
      <c r="D484" s="2">
        <v>1318.59997558593</v>
      </c>
      <c r="E484" s="2">
        <v>1318.59997558593</v>
      </c>
      <c r="F484" s="2">
        <v>1319.90002441406</v>
      </c>
      <c r="G484" s="2">
        <v>1314.59997558593</v>
      </c>
      <c r="H484" s="2">
        <v>1319.90002441406</v>
      </c>
      <c r="I484">
        <v>41</v>
      </c>
      <c r="J484" s="2">
        <f ca="1">IFERROR((Tabla3[[#This Row],[Close]]-OFFSET(Tabla3[[#This Row],[Close]],-1,0))/OFFSET(Tabla3[[#This Row],[Close]],-1,0),"")</f>
        <v>-1.2876415809413644E-3</v>
      </c>
      <c r="K484" s="2">
        <f ca="1">IFERROR(AVERAGE(OFFSET(Tabla3[[#This Row],[Close]],-6,0,7)),"")</f>
        <v>1312.6571393694142</v>
      </c>
      <c r="L484" s="2">
        <f ca="1">IFERROR(_xlfn.STDEV.S(OFFSET(Tabla3[[#This Row],[Close]],-29,0,30)),"")</f>
        <v>24.808563699342464</v>
      </c>
    </row>
    <row r="485" spans="1:12" x14ac:dyDescent="0.3">
      <c r="A485" s="1">
        <v>43109</v>
      </c>
      <c r="B485" s="3">
        <f>YEAR(Tabla3[[#This Row],[Date]])</f>
        <v>2018</v>
      </c>
      <c r="C485" s="1" t="str">
        <f>+TEXT(Tabla3[[#This Row],[Date]],"mmm")</f>
        <v>ene</v>
      </c>
      <c r="D485" s="2">
        <v>1311.69995117187</v>
      </c>
      <c r="E485" s="2">
        <v>1311.69995117187</v>
      </c>
      <c r="F485" s="2">
        <v>1311.69995117187</v>
      </c>
      <c r="G485" s="2">
        <v>1309.59997558593</v>
      </c>
      <c r="H485" s="2">
        <v>1309.59997558593</v>
      </c>
      <c r="I485">
        <v>16</v>
      </c>
      <c r="J485" s="2">
        <f ca="1">IFERROR((Tabla3[[#This Row],[Close]]-OFFSET(Tabla3[[#This Row],[Close]],-1,0))/OFFSET(Tabla3[[#This Row],[Close]],-1,0),"")</f>
        <v>-5.2328413027566759E-3</v>
      </c>
      <c r="K485" s="2">
        <f ca="1">IFERROR(AVERAGE(OFFSET(Tabla3[[#This Row],[Close]],-6,0,7)),"")</f>
        <v>1315.1714215959771</v>
      </c>
      <c r="L485" s="2">
        <f ca="1">IFERROR(_xlfn.STDEV.S(OFFSET(Tabla3[[#This Row],[Close]],-29,0,30)),"")</f>
        <v>25.531687153253149</v>
      </c>
    </row>
    <row r="486" spans="1:12" x14ac:dyDescent="0.3">
      <c r="A486" s="1">
        <v>43110</v>
      </c>
      <c r="B486" s="3">
        <f>YEAR(Tabla3[[#This Row],[Date]])</f>
        <v>2018</v>
      </c>
      <c r="C486" s="1" t="str">
        <f>+TEXT(Tabla3[[#This Row],[Date]],"mmm")</f>
        <v>ene</v>
      </c>
      <c r="D486" s="2">
        <v>1317.40002441406</v>
      </c>
      <c r="E486" s="2">
        <v>1317.40002441406</v>
      </c>
      <c r="F486" s="2">
        <v>1320.69995117187</v>
      </c>
      <c r="G486" s="2">
        <v>1315.30004882812</v>
      </c>
      <c r="H486" s="2">
        <v>1320.30004882812</v>
      </c>
      <c r="I486">
        <v>70</v>
      </c>
      <c r="J486" s="2">
        <f ca="1">IFERROR((Tabla3[[#This Row],[Close]]-OFFSET(Tabla3[[#This Row],[Close]],-1,0))/OFFSET(Tabla3[[#This Row],[Close]],-1,0),"")</f>
        <v>4.3455618314977964E-3</v>
      </c>
      <c r="K486" s="2">
        <f ca="1">IFERROR(AVERAGE(OFFSET(Tabla3[[#This Row],[Close]],-6,0,7)),"")</f>
        <v>1316.7571323939685</v>
      </c>
      <c r="L486" s="2">
        <f ca="1">IFERROR(_xlfn.STDEV.S(OFFSET(Tabla3[[#This Row],[Close]],-29,0,30)),"")</f>
        <v>26.369092561797679</v>
      </c>
    </row>
    <row r="487" spans="1:12" x14ac:dyDescent="0.3">
      <c r="A487" s="1">
        <v>43111</v>
      </c>
      <c r="B487" s="3">
        <f>YEAR(Tabla3[[#This Row],[Date]])</f>
        <v>2018</v>
      </c>
      <c r="C487" s="1" t="str">
        <f>+TEXT(Tabla3[[#This Row],[Date]],"mmm")</f>
        <v>ene</v>
      </c>
      <c r="D487" s="2">
        <v>1320.59997558593</v>
      </c>
      <c r="E487" s="2">
        <v>1320.59997558593</v>
      </c>
      <c r="F487" s="2">
        <v>1320.59997558593</v>
      </c>
      <c r="G487" s="2">
        <v>1316.30004882812</v>
      </c>
      <c r="H487" s="2">
        <v>1317.09997558593</v>
      </c>
      <c r="I487">
        <v>9</v>
      </c>
      <c r="J487" s="2">
        <f ca="1">IFERROR((Tabla3[[#This Row],[Close]]-OFFSET(Tabla3[[#This Row],[Close]],-1,0))/OFFSET(Tabla3[[#This Row],[Close]],-1,0),"")</f>
        <v>2.428989762083267E-3</v>
      </c>
      <c r="K487" s="2">
        <f ca="1">IFERROR(AVERAGE(OFFSET(Tabla3[[#This Row],[Close]],-6,0,7)),"")</f>
        <v>1317.7428501674055</v>
      </c>
      <c r="L487" s="2">
        <f ca="1">IFERROR(_xlfn.STDEV.S(OFFSET(Tabla3[[#This Row],[Close]],-29,0,30)),"")</f>
        <v>27.298622821180729</v>
      </c>
    </row>
    <row r="488" spans="1:12" x14ac:dyDescent="0.3">
      <c r="A488" s="1">
        <v>43112</v>
      </c>
      <c r="B488" s="3">
        <f>YEAR(Tabla3[[#This Row],[Date]])</f>
        <v>2018</v>
      </c>
      <c r="C488" s="1" t="str">
        <f>+TEXT(Tabla3[[#This Row],[Date]],"mmm")</f>
        <v>ene</v>
      </c>
      <c r="D488" s="2">
        <v>1333.40002441406</v>
      </c>
      <c r="E488" s="2">
        <v>1333.40002441406</v>
      </c>
      <c r="F488" s="2">
        <v>1338.19995117187</v>
      </c>
      <c r="G488" s="2">
        <v>1327.80004882812</v>
      </c>
      <c r="H488" s="2">
        <v>1327.80004882812</v>
      </c>
      <c r="I488">
        <v>14</v>
      </c>
      <c r="J488" s="2">
        <f ca="1">IFERROR((Tabla3[[#This Row],[Close]]-OFFSET(Tabla3[[#This Row],[Close]],-1,0))/OFFSET(Tabla3[[#This Row],[Close]],-1,0),"")</f>
        <v>9.69260113945619E-3</v>
      </c>
      <c r="K488" s="2">
        <f ca="1">IFERROR(AVERAGE(OFFSET(Tabla3[[#This Row],[Close]],-6,0,7)),"")</f>
        <v>1320.2000034877185</v>
      </c>
      <c r="L488" s="2">
        <f ca="1">IFERROR(_xlfn.STDEV.S(OFFSET(Tabla3[[#This Row],[Close]],-29,0,30)),"")</f>
        <v>28.97973551291145</v>
      </c>
    </row>
    <row r="489" spans="1:12" x14ac:dyDescent="0.3">
      <c r="A489" s="1">
        <v>43116</v>
      </c>
      <c r="B489" s="3">
        <f>YEAR(Tabla3[[#This Row],[Date]])</f>
        <v>2018</v>
      </c>
      <c r="C489" s="1" t="str">
        <f>+TEXT(Tabla3[[#This Row],[Date]],"mmm")</f>
        <v>ene</v>
      </c>
      <c r="D489" s="2">
        <v>1335.40002441406</v>
      </c>
      <c r="E489" s="2">
        <v>1335.40002441406</v>
      </c>
      <c r="F489" s="2">
        <v>1335.40002441406</v>
      </c>
      <c r="G489" s="2">
        <v>1331</v>
      </c>
      <c r="H489" s="2">
        <v>1331.09997558593</v>
      </c>
      <c r="I489">
        <v>13</v>
      </c>
      <c r="J489" s="2">
        <f ca="1">IFERROR((Tabla3[[#This Row],[Close]]-OFFSET(Tabla3[[#This Row],[Close]],-1,0))/OFFSET(Tabla3[[#This Row],[Close]],-1,0),"")</f>
        <v>1.4999249762867419E-3</v>
      </c>
      <c r="K489" s="2">
        <f ca="1">IFERROR(AVERAGE(OFFSET(Tabla3[[#This Row],[Close]],-6,0,7)),"")</f>
        <v>1322.4857177734327</v>
      </c>
      <c r="L489" s="2">
        <f ca="1">IFERROR(_xlfn.STDEV.S(OFFSET(Tabla3[[#This Row],[Close]],-29,0,30)),"")</f>
        <v>30.522511988563096</v>
      </c>
    </row>
    <row r="490" spans="1:12" x14ac:dyDescent="0.3">
      <c r="A490" s="1">
        <v>43117</v>
      </c>
      <c r="B490" s="3">
        <f>YEAR(Tabla3[[#This Row],[Date]])</f>
        <v>2018</v>
      </c>
      <c r="C490" s="1" t="str">
        <f>+TEXT(Tabla3[[#This Row],[Date]],"mmm")</f>
        <v>ene</v>
      </c>
      <c r="D490" s="2">
        <v>1338</v>
      </c>
      <c r="E490" s="2">
        <v>1338</v>
      </c>
      <c r="F490" s="2">
        <v>1338</v>
      </c>
      <c r="G490" s="2">
        <v>1326.80004882812</v>
      </c>
      <c r="H490" s="2">
        <v>1334.40002441406</v>
      </c>
      <c r="I490">
        <v>27</v>
      </c>
      <c r="J490" s="2">
        <f ca="1">IFERROR((Tabla3[[#This Row],[Close]]-OFFSET(Tabla3[[#This Row],[Close]],-1,0))/OFFSET(Tabla3[[#This Row],[Close]],-1,0),"")</f>
        <v>1.9469638598223068E-3</v>
      </c>
      <c r="K490" s="2">
        <f ca="1">IFERROR(AVERAGE(OFFSET(Tabla3[[#This Row],[Close]],-6,0,7)),"")</f>
        <v>1325.0142822265584</v>
      </c>
      <c r="L490" s="2">
        <f ca="1">IFERROR(_xlfn.STDEV.S(OFFSET(Tabla3[[#This Row],[Close]],-29,0,30)),"")</f>
        <v>32.054224557189031</v>
      </c>
    </row>
    <row r="491" spans="1:12" x14ac:dyDescent="0.3">
      <c r="A491" s="1">
        <v>43118</v>
      </c>
      <c r="B491" s="3">
        <f>YEAR(Tabla3[[#This Row],[Date]])</f>
        <v>2018</v>
      </c>
      <c r="C491" s="1" t="str">
        <f>+TEXT(Tabla3[[#This Row],[Date]],"mmm")</f>
        <v>ene</v>
      </c>
      <c r="D491" s="2">
        <v>1326</v>
      </c>
      <c r="E491" s="2">
        <v>1326</v>
      </c>
      <c r="F491" s="2">
        <v>1328.90002441406</v>
      </c>
      <c r="G491" s="2">
        <v>1326</v>
      </c>
      <c r="H491" s="2">
        <v>1328.90002441406</v>
      </c>
      <c r="I491">
        <v>211</v>
      </c>
      <c r="J491" s="2">
        <f ca="1">IFERROR((Tabla3[[#This Row],[Close]]-OFFSET(Tabla3[[#This Row],[Close]],-1,0))/OFFSET(Tabla3[[#This Row],[Close]],-1,0),"")</f>
        <v>-8.9686098654708519E-3</v>
      </c>
      <c r="K491" s="2">
        <f ca="1">IFERROR(AVERAGE(OFFSET(Tabla3[[#This Row],[Close]],-6,0,7)),"")</f>
        <v>1326.0714285714257</v>
      </c>
      <c r="L491" s="2">
        <f ca="1">IFERROR(_xlfn.STDEV.S(OFFSET(Tabla3[[#This Row],[Close]],-29,0,30)),"")</f>
        <v>32.789846434829883</v>
      </c>
    </row>
    <row r="492" spans="1:12" x14ac:dyDescent="0.3">
      <c r="A492" s="1">
        <v>43119</v>
      </c>
      <c r="B492" s="3">
        <f>YEAR(Tabla3[[#This Row],[Date]])</f>
        <v>2018</v>
      </c>
      <c r="C492" s="1" t="str">
        <f>+TEXT(Tabla3[[#This Row],[Date]],"mmm")</f>
        <v>ene</v>
      </c>
      <c r="D492" s="2">
        <v>1331.90002441406</v>
      </c>
      <c r="E492" s="2">
        <v>1331.90002441406</v>
      </c>
      <c r="F492" s="2">
        <v>1333</v>
      </c>
      <c r="G492" s="2">
        <v>1330.09997558593</v>
      </c>
      <c r="H492" s="2">
        <v>1330.09997558593</v>
      </c>
      <c r="I492">
        <v>50</v>
      </c>
      <c r="J492" s="2">
        <f ca="1">IFERROR((Tabla3[[#This Row],[Close]]-OFFSET(Tabla3[[#This Row],[Close]],-1,0))/OFFSET(Tabla3[[#This Row],[Close]],-1,0),"")</f>
        <v>4.4494905083408741E-3</v>
      </c>
      <c r="K492" s="2">
        <f ca="1">IFERROR(AVERAGE(OFFSET(Tabla3[[#This Row],[Close]],-6,0,7)),"")</f>
        <v>1328.95715332031</v>
      </c>
      <c r="L492" s="2">
        <f ca="1">IFERROR(_xlfn.STDEV.S(OFFSET(Tabla3[[#This Row],[Close]],-29,0,30)),"")</f>
        <v>33.372048240297872</v>
      </c>
    </row>
    <row r="493" spans="1:12" x14ac:dyDescent="0.3">
      <c r="A493" s="1">
        <v>43122</v>
      </c>
      <c r="B493" s="3">
        <f>YEAR(Tabla3[[#This Row],[Date]])</f>
        <v>2018</v>
      </c>
      <c r="C493" s="1" t="str">
        <f>+TEXT(Tabla3[[#This Row],[Date]],"mmm")</f>
        <v>ene</v>
      </c>
      <c r="D493" s="2">
        <v>1330.90002441406</v>
      </c>
      <c r="E493" s="2">
        <v>1330.90002441406</v>
      </c>
      <c r="F493" s="2">
        <v>1330.90002441406</v>
      </c>
      <c r="G493" s="2">
        <v>1328.40002441406</v>
      </c>
      <c r="H493" s="2">
        <v>1328.40002441406</v>
      </c>
      <c r="I493">
        <v>162</v>
      </c>
      <c r="J493" s="2">
        <f ca="1">IFERROR((Tabla3[[#This Row],[Close]]-OFFSET(Tabla3[[#This Row],[Close]],-1,0))/OFFSET(Tabla3[[#This Row],[Close]],-1,0),"")</f>
        <v>-7.5080710388899337E-4</v>
      </c>
      <c r="K493" s="2">
        <f ca="1">IFERROR(AVERAGE(OFFSET(Tabla3[[#This Row],[Close]],-6,0,7)),"")</f>
        <v>1330.8857247488813</v>
      </c>
      <c r="L493" s="2">
        <f ca="1">IFERROR(_xlfn.STDEV.S(OFFSET(Tabla3[[#This Row],[Close]],-29,0,30)),"")</f>
        <v>33.773423570331552</v>
      </c>
    </row>
    <row r="494" spans="1:12" x14ac:dyDescent="0.3">
      <c r="A494" s="1">
        <v>43123</v>
      </c>
      <c r="B494" s="3">
        <f>YEAR(Tabla3[[#This Row],[Date]])</f>
        <v>2018</v>
      </c>
      <c r="C494" s="1" t="str">
        <f>+TEXT(Tabla3[[#This Row],[Date]],"mmm")</f>
        <v>ene</v>
      </c>
      <c r="D494" s="2">
        <v>1335.69995117187</v>
      </c>
      <c r="E494" s="2">
        <v>1335.69995117187</v>
      </c>
      <c r="F494" s="2">
        <v>1335.90002441406</v>
      </c>
      <c r="G494" s="2">
        <v>1335.69995117187</v>
      </c>
      <c r="H494" s="2">
        <v>1335.80004882812</v>
      </c>
      <c r="I494">
        <v>47</v>
      </c>
      <c r="J494" s="2">
        <f ca="1">IFERROR((Tabla3[[#This Row],[Close]]-OFFSET(Tabla3[[#This Row],[Close]],-1,0))/OFFSET(Tabla3[[#This Row],[Close]],-1,0),"")</f>
        <v>3.6065269139379627E-3</v>
      </c>
      <c r="K494" s="2">
        <f ca="1">IFERROR(AVERAGE(OFFSET(Tabla3[[#This Row],[Close]],-6,0,7)),"")</f>
        <v>1333.0428641183012</v>
      </c>
      <c r="L494" s="2">
        <f ca="1">IFERROR(_xlfn.STDEV.S(OFFSET(Tabla3[[#This Row],[Close]],-29,0,30)),"")</f>
        <v>33.69190668427202</v>
      </c>
    </row>
    <row r="495" spans="1:12" x14ac:dyDescent="0.3">
      <c r="A495" s="1">
        <v>43124</v>
      </c>
      <c r="B495" s="3">
        <f>YEAR(Tabla3[[#This Row],[Date]])</f>
        <v>2018</v>
      </c>
      <c r="C495" s="1" t="str">
        <f>+TEXT(Tabla3[[#This Row],[Date]],"mmm")</f>
        <v>ene</v>
      </c>
      <c r="D495" s="2">
        <v>1355.90002441406</v>
      </c>
      <c r="E495" s="2">
        <v>1355.90002441406</v>
      </c>
      <c r="F495" s="2">
        <v>1357.19995117187</v>
      </c>
      <c r="G495" s="2">
        <v>1355.90002441406</v>
      </c>
      <c r="H495" s="2">
        <v>1355.90002441406</v>
      </c>
      <c r="I495">
        <v>18</v>
      </c>
      <c r="J495" s="2">
        <f ca="1">IFERROR((Tabla3[[#This Row],[Close]]-OFFSET(Tabla3[[#This Row],[Close]],-1,0))/OFFSET(Tabla3[[#This Row],[Close]],-1,0),"")</f>
        <v>1.5123211784553531E-2</v>
      </c>
      <c r="K495" s="2">
        <f ca="1">IFERROR(AVERAGE(OFFSET(Tabla3[[#This Row],[Close]],-6,0,7)),"")</f>
        <v>1336.2571498325872</v>
      </c>
      <c r="L495" s="2">
        <f ca="1">IFERROR(_xlfn.STDEV.S(OFFSET(Tabla3[[#This Row],[Close]],-29,0,30)),"")</f>
        <v>34.096781018491484</v>
      </c>
    </row>
    <row r="496" spans="1:12" x14ac:dyDescent="0.3">
      <c r="A496" s="1">
        <v>43125</v>
      </c>
      <c r="B496" s="3">
        <f>YEAR(Tabla3[[#This Row],[Date]])</f>
        <v>2018</v>
      </c>
      <c r="C496" s="1" t="str">
        <f>+TEXT(Tabla3[[#This Row],[Date]],"mmm")</f>
        <v>ene</v>
      </c>
      <c r="D496" s="2">
        <v>1362.40002441406</v>
      </c>
      <c r="E496" s="2">
        <v>1362.40002441406</v>
      </c>
      <c r="F496" s="2">
        <v>1362.40002441406</v>
      </c>
      <c r="G496" s="2">
        <v>1346.69995117187</v>
      </c>
      <c r="H496" s="2">
        <v>1356.30004882812</v>
      </c>
      <c r="I496">
        <v>4</v>
      </c>
      <c r="J496" s="2">
        <f ca="1">IFERROR((Tabla3[[#This Row],[Close]]-OFFSET(Tabla3[[#This Row],[Close]],-1,0))/OFFSET(Tabla3[[#This Row],[Close]],-1,0),"")</f>
        <v>4.7938637679492014E-3</v>
      </c>
      <c r="K496" s="2">
        <f ca="1">IFERROR(AVERAGE(OFFSET(Tabla3[[#This Row],[Close]],-6,0,7)),"")</f>
        <v>1340.1142926897298</v>
      </c>
      <c r="L496" s="2">
        <f ca="1">IFERROR(_xlfn.STDEV.S(OFFSET(Tabla3[[#This Row],[Close]],-29,0,30)),"")</f>
        <v>34.368396976126569</v>
      </c>
    </row>
    <row r="497" spans="1:12" x14ac:dyDescent="0.3">
      <c r="A497" s="1">
        <v>43126</v>
      </c>
      <c r="B497" s="3">
        <f>YEAR(Tabla3[[#This Row],[Date]])</f>
        <v>2018</v>
      </c>
      <c r="C497" s="1" t="str">
        <f>+TEXT(Tabla3[[#This Row],[Date]],"mmm")</f>
        <v>ene</v>
      </c>
      <c r="D497" s="2">
        <v>1351.59997558593</v>
      </c>
      <c r="E497" s="2">
        <v>1351.59997558593</v>
      </c>
      <c r="F497" s="2">
        <v>1352</v>
      </c>
      <c r="G497" s="2">
        <v>1350.90002441406</v>
      </c>
      <c r="H497" s="2">
        <v>1351.59997558593</v>
      </c>
      <c r="I497">
        <v>280546</v>
      </c>
      <c r="J497" s="2">
        <f ca="1">IFERROR((Tabla3[[#This Row],[Close]]-OFFSET(Tabla3[[#This Row],[Close]],-1,0))/OFFSET(Tabla3[[#This Row],[Close]],-1,0),"")</f>
        <v>-7.9272230142353965E-3</v>
      </c>
      <c r="K497" s="2">
        <f ca="1">IFERROR(AVERAGE(OFFSET(Tabla3[[#This Row],[Close]],-6,0,7)),"")</f>
        <v>1342.0571463448628</v>
      </c>
      <c r="L497" s="2">
        <f ca="1">IFERROR(_xlfn.STDEV.S(OFFSET(Tabla3[[#This Row],[Close]],-29,0,30)),"")</f>
        <v>33.262164929156889</v>
      </c>
    </row>
    <row r="498" spans="1:12" x14ac:dyDescent="0.3">
      <c r="A498" s="1">
        <v>43130</v>
      </c>
      <c r="B498" s="3">
        <f>YEAR(Tabla3[[#This Row],[Date]])</f>
        <v>2018</v>
      </c>
      <c r="C498" s="1" t="str">
        <f>+TEXT(Tabla3[[#This Row],[Date]],"mmm")</f>
        <v>ene</v>
      </c>
      <c r="D498" s="2">
        <v>1335.40002441406</v>
      </c>
      <c r="E498" s="2">
        <v>1335.40002441406</v>
      </c>
      <c r="F498" s="2">
        <v>1347.80004882812</v>
      </c>
      <c r="G498" s="2">
        <v>1332.80004882812</v>
      </c>
      <c r="H498" s="2">
        <v>1338.69995117187</v>
      </c>
      <c r="I498">
        <v>52100</v>
      </c>
      <c r="J498" s="2">
        <f ca="1">IFERROR((Tabla3[[#This Row],[Close]]-OFFSET(Tabla3[[#This Row],[Close]],-1,0))/OFFSET(Tabla3[[#This Row],[Close]],-1,0),"")</f>
        <v>-1.1985758704121892E-2</v>
      </c>
      <c r="K498" s="2">
        <f ca="1">IFERROR(AVERAGE(OFFSET(Tabla3[[#This Row],[Close]],-6,0,7)),"")</f>
        <v>1343.4000069754427</v>
      </c>
      <c r="L498" s="2">
        <f ca="1">IFERROR(_xlfn.STDEV.S(OFFSET(Tabla3[[#This Row],[Close]],-29,0,30)),"")</f>
        <v>31.574750365694271</v>
      </c>
    </row>
    <row r="499" spans="1:12" x14ac:dyDescent="0.3">
      <c r="A499" s="1">
        <v>43131</v>
      </c>
      <c r="B499" s="3">
        <f>YEAR(Tabla3[[#This Row],[Date]])</f>
        <v>2018</v>
      </c>
      <c r="C499" s="1" t="str">
        <f>+TEXT(Tabla3[[#This Row],[Date]],"mmm")</f>
        <v>ene</v>
      </c>
      <c r="D499" s="2">
        <v>1339</v>
      </c>
      <c r="E499" s="2">
        <v>1339</v>
      </c>
      <c r="F499" s="2">
        <v>1346.90002441406</v>
      </c>
      <c r="G499" s="2">
        <v>1331.80004882812</v>
      </c>
      <c r="H499" s="2">
        <v>1337.5</v>
      </c>
      <c r="I499">
        <v>4881</v>
      </c>
      <c r="J499" s="2">
        <f ca="1">IFERROR((Tabla3[[#This Row],[Close]]-OFFSET(Tabla3[[#This Row],[Close]],-1,0))/OFFSET(Tabla3[[#This Row],[Close]],-1,0),"")</f>
        <v>2.6958031452182876E-3</v>
      </c>
      <c r="K499" s="2">
        <f ca="1">IFERROR(AVERAGE(OFFSET(Tabla3[[#This Row],[Close]],-6,0,7)),"")</f>
        <v>1344.4142892020059</v>
      </c>
      <c r="L499" s="2">
        <f ca="1">IFERROR(_xlfn.STDEV.S(OFFSET(Tabla3[[#This Row],[Close]],-29,0,30)),"")</f>
        <v>30.190906601432687</v>
      </c>
    </row>
    <row r="500" spans="1:12" x14ac:dyDescent="0.3">
      <c r="A500" s="1">
        <v>43132</v>
      </c>
      <c r="B500" s="3">
        <f>YEAR(Tabla3[[#This Row],[Date]])</f>
        <v>2018</v>
      </c>
      <c r="C500" s="1" t="str">
        <f>+TEXT(Tabla3[[#This Row],[Date]],"mmm")</f>
        <v>feb</v>
      </c>
      <c r="D500" s="2">
        <v>1344.30004882812</v>
      </c>
      <c r="E500" s="2">
        <v>1344.30004882812</v>
      </c>
      <c r="F500" s="2">
        <v>1350.59997558593</v>
      </c>
      <c r="G500" s="2">
        <v>1336.80004882812</v>
      </c>
      <c r="H500" s="2">
        <v>1343.80004882812</v>
      </c>
      <c r="I500">
        <v>1680</v>
      </c>
      <c r="J500" s="2">
        <f ca="1">IFERROR((Tabla3[[#This Row],[Close]]-OFFSET(Tabla3[[#This Row],[Close]],-1,0))/OFFSET(Tabla3[[#This Row],[Close]],-1,0),"")</f>
        <v>3.9582142106945467E-3</v>
      </c>
      <c r="K500" s="2">
        <f ca="1">IFERROR(AVERAGE(OFFSET(Tabla3[[#This Row],[Close]],-6,0,7)),"")</f>
        <v>1346.3285784040143</v>
      </c>
      <c r="L500" s="2">
        <f ca="1">IFERROR(_xlfn.STDEV.S(OFFSET(Tabla3[[#This Row],[Close]],-29,0,30)),"")</f>
        <v>28.654447322956656</v>
      </c>
    </row>
    <row r="501" spans="1:12" x14ac:dyDescent="0.3">
      <c r="A501" s="1">
        <v>43133</v>
      </c>
      <c r="B501" s="3">
        <f>YEAR(Tabla3[[#This Row],[Date]])</f>
        <v>2018</v>
      </c>
      <c r="C501" s="1" t="str">
        <f>+TEXT(Tabla3[[#This Row],[Date]],"mmm")</f>
        <v>feb</v>
      </c>
      <c r="D501" s="2">
        <v>1333.69995117187</v>
      </c>
      <c r="E501" s="2">
        <v>1333.69995117187</v>
      </c>
      <c r="F501" s="2">
        <v>1352.09997558593</v>
      </c>
      <c r="G501" s="2">
        <v>1327.69995117187</v>
      </c>
      <c r="H501" s="2">
        <v>1348.5</v>
      </c>
      <c r="I501">
        <v>2841</v>
      </c>
      <c r="J501" s="2">
        <f ca="1">IFERROR((Tabla3[[#This Row],[Close]]-OFFSET(Tabla3[[#This Row],[Close]],-1,0))/OFFSET(Tabla3[[#This Row],[Close]],-1,0),"")</f>
        <v>-7.8852170432415943E-3</v>
      </c>
      <c r="K501" s="2">
        <f ca="1">IFERROR(AVERAGE(OFFSET(Tabla3[[#This Row],[Close]],-6,0,7)),"")</f>
        <v>1346.0428641183</v>
      </c>
      <c r="L501" s="2">
        <f ca="1">IFERROR(_xlfn.STDEV.S(OFFSET(Tabla3[[#This Row],[Close]],-29,0,30)),"")</f>
        <v>27.005902637712214</v>
      </c>
    </row>
    <row r="502" spans="1:12" x14ac:dyDescent="0.3">
      <c r="A502" s="1">
        <v>43136</v>
      </c>
      <c r="B502" s="3">
        <f>YEAR(Tabla3[[#This Row],[Date]])</f>
        <v>2018</v>
      </c>
      <c r="C502" s="1" t="str">
        <f>+TEXT(Tabla3[[#This Row],[Date]],"mmm")</f>
        <v>feb</v>
      </c>
      <c r="D502" s="2">
        <v>1333</v>
      </c>
      <c r="E502" s="2">
        <v>1333</v>
      </c>
      <c r="F502" s="2">
        <v>1340.19995117187</v>
      </c>
      <c r="G502" s="2">
        <v>1329</v>
      </c>
      <c r="H502" s="2">
        <v>1331.09997558593</v>
      </c>
      <c r="I502">
        <v>641</v>
      </c>
      <c r="J502" s="2">
        <f ca="1">IFERROR((Tabla3[[#This Row],[Close]]-OFFSET(Tabla3[[#This Row],[Close]],-1,0))/OFFSET(Tabla3[[#This Row],[Close]],-1,0),"")</f>
        <v>-5.2481907287690757E-4</v>
      </c>
      <c r="K502" s="2">
        <f ca="1">IFERROR(AVERAGE(OFFSET(Tabla3[[#This Row],[Close]],-6,0,7)),"")</f>
        <v>1342.7714320591483</v>
      </c>
      <c r="L502" s="2">
        <f ca="1">IFERROR(_xlfn.STDEV.S(OFFSET(Tabla3[[#This Row],[Close]],-29,0,30)),"")</f>
        <v>24.881689524633231</v>
      </c>
    </row>
    <row r="503" spans="1:12" x14ac:dyDescent="0.3">
      <c r="A503" s="1">
        <v>43137</v>
      </c>
      <c r="B503" s="3">
        <f>YEAR(Tabla3[[#This Row],[Date]])</f>
        <v>2018</v>
      </c>
      <c r="C503" s="1" t="str">
        <f>+TEXT(Tabla3[[#This Row],[Date]],"mmm")</f>
        <v>feb</v>
      </c>
      <c r="D503" s="2">
        <v>1326.09997558593</v>
      </c>
      <c r="E503" s="2">
        <v>1326.09997558593</v>
      </c>
      <c r="F503" s="2">
        <v>1343.69995117187</v>
      </c>
      <c r="G503" s="2">
        <v>1319.5</v>
      </c>
      <c r="H503" s="2">
        <v>1338.19995117187</v>
      </c>
      <c r="I503">
        <v>529</v>
      </c>
      <c r="J503" s="2">
        <f ca="1">IFERROR((Tabla3[[#This Row],[Close]]-OFFSET(Tabla3[[#This Row],[Close]],-1,0))/OFFSET(Tabla3[[#This Row],[Close]],-1,0),"")</f>
        <v>-5.1763123886496652E-3</v>
      </c>
      <c r="K503" s="2">
        <f ca="1">IFERROR(AVERAGE(OFFSET(Tabla3[[#This Row],[Close]],-6,0,7)),"")</f>
        <v>1337.5857107979871</v>
      </c>
      <c r="L503" s="2">
        <f ca="1">IFERROR(_xlfn.STDEV.S(OFFSET(Tabla3[[#This Row],[Close]],-29,0,30)),"")</f>
        <v>22.702462732432114</v>
      </c>
    </row>
    <row r="504" spans="1:12" x14ac:dyDescent="0.3">
      <c r="A504" s="1">
        <v>43138</v>
      </c>
      <c r="B504" s="3">
        <f>YEAR(Tabla3[[#This Row],[Date]])</f>
        <v>2018</v>
      </c>
      <c r="C504" s="1" t="str">
        <f>+TEXT(Tabla3[[#This Row],[Date]],"mmm")</f>
        <v>feb</v>
      </c>
      <c r="D504" s="2">
        <v>1311.59997558593</v>
      </c>
      <c r="E504" s="2">
        <v>1311.59997558593</v>
      </c>
      <c r="F504" s="2">
        <v>1331.09997558593</v>
      </c>
      <c r="G504" s="2">
        <v>1310.5</v>
      </c>
      <c r="H504" s="2">
        <v>1325.40002441406</v>
      </c>
      <c r="I504">
        <v>491</v>
      </c>
      <c r="J504" s="2">
        <f ca="1">IFERROR((Tabla3[[#This Row],[Close]]-OFFSET(Tabla3[[#This Row],[Close]],-1,0))/OFFSET(Tabla3[[#This Row],[Close]],-1,0),"")</f>
        <v>-1.0934318880138169E-2</v>
      </c>
      <c r="K504" s="2">
        <f ca="1">IFERROR(AVERAGE(OFFSET(Tabla3[[#This Row],[Close]],-6,0,7)),"")</f>
        <v>1331.8714250837015</v>
      </c>
      <c r="L504" s="2">
        <f ca="1">IFERROR(_xlfn.STDEV.S(OFFSET(Tabla3[[#This Row],[Close]],-29,0,30)),"")</f>
        <v>20.327606692260041</v>
      </c>
    </row>
    <row r="505" spans="1:12" x14ac:dyDescent="0.3">
      <c r="A505" s="1">
        <v>43139</v>
      </c>
      <c r="B505" s="3">
        <f>YEAR(Tabla3[[#This Row],[Date]])</f>
        <v>2018</v>
      </c>
      <c r="C505" s="1" t="str">
        <f>+TEXT(Tabla3[[#This Row],[Date]],"mmm")</f>
        <v>feb</v>
      </c>
      <c r="D505" s="2">
        <v>1316.90002441406</v>
      </c>
      <c r="E505" s="2">
        <v>1316.90002441406</v>
      </c>
      <c r="F505" s="2">
        <v>1321.09997558593</v>
      </c>
      <c r="G505" s="2">
        <v>1307</v>
      </c>
      <c r="H505" s="2">
        <v>1317.09997558593</v>
      </c>
      <c r="I505">
        <v>459</v>
      </c>
      <c r="J505" s="2">
        <f ca="1">IFERROR((Tabla3[[#This Row],[Close]]-OFFSET(Tabla3[[#This Row],[Close]],-1,0))/OFFSET(Tabla3[[#This Row],[Close]],-1,0),"")</f>
        <v>4.0409034208485064E-3</v>
      </c>
      <c r="K505" s="2">
        <f ca="1">IFERROR(AVERAGE(OFFSET(Tabla3[[#This Row],[Close]],-6,0,7)),"")</f>
        <v>1329.2285679408444</v>
      </c>
      <c r="L505" s="2">
        <f ca="1">IFERROR(_xlfn.STDEV.S(OFFSET(Tabla3[[#This Row],[Close]],-29,0,30)),"")</f>
        <v>18.236319055823031</v>
      </c>
    </row>
    <row r="506" spans="1:12" x14ac:dyDescent="0.3">
      <c r="A506" s="1">
        <v>43140</v>
      </c>
      <c r="B506" s="3">
        <f>YEAR(Tabla3[[#This Row],[Date]])</f>
        <v>2018</v>
      </c>
      <c r="C506" s="1" t="str">
        <f>+TEXT(Tabla3[[#This Row],[Date]],"mmm")</f>
        <v>feb</v>
      </c>
      <c r="D506" s="2">
        <v>1313.09997558593</v>
      </c>
      <c r="E506" s="2">
        <v>1313.09997558593</v>
      </c>
      <c r="F506" s="2">
        <v>1322</v>
      </c>
      <c r="G506" s="2">
        <v>1311.90002441406</v>
      </c>
      <c r="H506" s="2">
        <v>1320.90002441406</v>
      </c>
      <c r="I506">
        <v>451</v>
      </c>
      <c r="J506" s="2">
        <f ca="1">IFERROR((Tabla3[[#This Row],[Close]]-OFFSET(Tabla3[[#This Row],[Close]],-1,0))/OFFSET(Tabla3[[#This Row],[Close]],-1,0),"")</f>
        <v>-2.8856016080801516E-3</v>
      </c>
      <c r="K506" s="2">
        <f ca="1">IFERROR(AVERAGE(OFFSET(Tabla3[[#This Row],[Close]],-6,0,7)),"")</f>
        <v>1325.52856445312</v>
      </c>
      <c r="L506" s="2">
        <f ca="1">IFERROR(_xlfn.STDEV.S(OFFSET(Tabla3[[#This Row],[Close]],-29,0,30)),"")</f>
        <v>16.696006074465217</v>
      </c>
    </row>
    <row r="507" spans="1:12" x14ac:dyDescent="0.3">
      <c r="A507" s="1">
        <v>43143</v>
      </c>
      <c r="B507" s="3">
        <f>YEAR(Tabla3[[#This Row],[Date]])</f>
        <v>2018</v>
      </c>
      <c r="C507" s="1" t="str">
        <f>+TEXT(Tabla3[[#This Row],[Date]],"mmm")</f>
        <v>feb</v>
      </c>
      <c r="D507" s="2">
        <v>1324.19995117187</v>
      </c>
      <c r="E507" s="2">
        <v>1324.19995117187</v>
      </c>
      <c r="F507" s="2">
        <v>1325.5</v>
      </c>
      <c r="G507" s="2">
        <v>1318</v>
      </c>
      <c r="H507" s="2">
        <v>1323.80004882812</v>
      </c>
      <c r="I507">
        <v>140</v>
      </c>
      <c r="J507" s="2">
        <f ca="1">IFERROR((Tabla3[[#This Row],[Close]]-OFFSET(Tabla3[[#This Row],[Close]],-1,0))/OFFSET(Tabla3[[#This Row],[Close]],-1,0),"")</f>
        <v>8.4532600657364135E-3</v>
      </c>
      <c r="K507" s="2">
        <f ca="1">IFERROR(AVERAGE(OFFSET(Tabla3[[#This Row],[Close]],-6,0,7)),"")</f>
        <v>1322.6571219307987</v>
      </c>
      <c r="L507" s="2">
        <f ca="1">IFERROR(_xlfn.STDEV.S(OFFSET(Tabla3[[#This Row],[Close]],-29,0,30)),"")</f>
        <v>14.995454831428715</v>
      </c>
    </row>
    <row r="508" spans="1:12" x14ac:dyDescent="0.3">
      <c r="A508" s="1">
        <v>43144</v>
      </c>
      <c r="B508" s="3">
        <f>YEAR(Tabla3[[#This Row],[Date]])</f>
        <v>2018</v>
      </c>
      <c r="C508" s="1" t="str">
        <f>+TEXT(Tabla3[[#This Row],[Date]],"mmm")</f>
        <v>feb</v>
      </c>
      <c r="D508" s="2">
        <v>1328.09997558593</v>
      </c>
      <c r="E508" s="2">
        <v>1328.09997558593</v>
      </c>
      <c r="F508" s="2">
        <v>1329.59997558593</v>
      </c>
      <c r="G508" s="2">
        <v>1323.40002441406</v>
      </c>
      <c r="H508" s="2">
        <v>1324.5</v>
      </c>
      <c r="I508">
        <v>71</v>
      </c>
      <c r="J508" s="2">
        <f ca="1">IFERROR((Tabla3[[#This Row],[Close]]-OFFSET(Tabla3[[#This Row],[Close]],-1,0))/OFFSET(Tabla3[[#This Row],[Close]],-1,0),"")</f>
        <v>2.9451929903853385E-3</v>
      </c>
      <c r="K508" s="2">
        <f ca="1">IFERROR(AVERAGE(OFFSET(Tabla3[[#This Row],[Close]],-6,0,7)),"")</f>
        <v>1321.8571254185215</v>
      </c>
      <c r="L508" s="2">
        <f ca="1">IFERROR(_xlfn.STDEV.S(OFFSET(Tabla3[[#This Row],[Close]],-29,0,30)),"")</f>
        <v>13.627935484642315</v>
      </c>
    </row>
    <row r="509" spans="1:12" x14ac:dyDescent="0.3">
      <c r="A509" s="1">
        <v>43145</v>
      </c>
      <c r="B509" s="3">
        <f>YEAR(Tabla3[[#This Row],[Date]])</f>
        <v>2018</v>
      </c>
      <c r="C509" s="1" t="str">
        <f>+TEXT(Tabla3[[#This Row],[Date]],"mmm")</f>
        <v>feb</v>
      </c>
      <c r="D509" s="2">
        <v>1355.5</v>
      </c>
      <c r="E509" s="2">
        <v>1355.5</v>
      </c>
      <c r="F509" s="2">
        <v>1355.5</v>
      </c>
      <c r="G509" s="2">
        <v>1324</v>
      </c>
      <c r="H509" s="2">
        <v>1332.80004882812</v>
      </c>
      <c r="I509">
        <v>400</v>
      </c>
      <c r="J509" s="2">
        <f ca="1">IFERROR((Tabla3[[#This Row],[Close]]-OFFSET(Tabla3[[#This Row],[Close]],-1,0))/OFFSET(Tabla3[[#This Row],[Close]],-1,0),"")</f>
        <v>2.0630995345046733E-2</v>
      </c>
      <c r="K509" s="2">
        <f ca="1">IFERROR(AVERAGE(OFFSET(Tabla3[[#This Row],[Close]],-6,0,7)),"")</f>
        <v>1325.0714111328073</v>
      </c>
      <c r="L509" s="2">
        <f ca="1">IFERROR(_xlfn.STDEV.S(OFFSET(Tabla3[[#This Row],[Close]],-29,0,30)),"")</f>
        <v>13.840406482368666</v>
      </c>
    </row>
    <row r="510" spans="1:12" x14ac:dyDescent="0.3">
      <c r="A510" s="1">
        <v>43146</v>
      </c>
      <c r="B510" s="3">
        <f>YEAR(Tabla3[[#This Row],[Date]])</f>
        <v>2018</v>
      </c>
      <c r="C510" s="1" t="str">
        <f>+TEXT(Tabla3[[#This Row],[Date]],"mmm")</f>
        <v>feb</v>
      </c>
      <c r="D510" s="2">
        <v>1352.09997558593</v>
      </c>
      <c r="E510" s="2">
        <v>1352.09997558593</v>
      </c>
      <c r="F510" s="2">
        <v>1355.90002441406</v>
      </c>
      <c r="G510" s="2">
        <v>1349.69995117187</v>
      </c>
      <c r="H510" s="2">
        <v>1352</v>
      </c>
      <c r="I510">
        <v>111</v>
      </c>
      <c r="J510" s="2">
        <f ca="1">IFERROR((Tabla3[[#This Row],[Close]]-OFFSET(Tabla3[[#This Row],[Close]],-1,0))/OFFSET(Tabla3[[#This Row],[Close]],-1,0),"")</f>
        <v>-2.5083175315898216E-3</v>
      </c>
      <c r="K510" s="2">
        <f ca="1">IFERROR(AVERAGE(OFFSET(Tabla3[[#This Row],[Close]],-6,0,7)),"")</f>
        <v>1328.785696847093</v>
      </c>
      <c r="L510" s="2">
        <f ca="1">IFERROR(_xlfn.STDEV.S(OFFSET(Tabla3[[#This Row],[Close]],-29,0,30)),"")</f>
        <v>14.054958967074574</v>
      </c>
    </row>
    <row r="511" spans="1:12" x14ac:dyDescent="0.3">
      <c r="A511" s="1">
        <v>43147</v>
      </c>
      <c r="B511" s="3">
        <f>YEAR(Tabla3[[#This Row],[Date]])</f>
        <v>2018</v>
      </c>
      <c r="C511" s="1" t="str">
        <f>+TEXT(Tabla3[[#This Row],[Date]],"mmm")</f>
        <v>feb</v>
      </c>
      <c r="D511" s="2">
        <v>1353.19995117187</v>
      </c>
      <c r="E511" s="2">
        <v>1353.19995117187</v>
      </c>
      <c r="F511" s="2">
        <v>1361.40002441406</v>
      </c>
      <c r="G511" s="2">
        <v>1344.90002441406</v>
      </c>
      <c r="H511" s="2">
        <v>1354</v>
      </c>
      <c r="I511">
        <v>110</v>
      </c>
      <c r="J511" s="2">
        <f ca="1">IFERROR((Tabla3[[#This Row],[Close]]-OFFSET(Tabla3[[#This Row],[Close]],-1,0))/OFFSET(Tabla3[[#This Row],[Close]],-1,0),"")</f>
        <v>8.1353125197959478E-4</v>
      </c>
      <c r="K511" s="2">
        <f ca="1">IFERROR(AVERAGE(OFFSET(Tabla3[[#This Row],[Close]],-6,0,7)),"")</f>
        <v>1334.7285505022271</v>
      </c>
      <c r="L511" s="2">
        <f ca="1">IFERROR(_xlfn.STDEV.S(OFFSET(Tabla3[[#This Row],[Close]],-29,0,30)),"")</f>
        <v>14.307169133339038</v>
      </c>
    </row>
    <row r="512" spans="1:12" x14ac:dyDescent="0.3">
      <c r="A512" s="1">
        <v>43151</v>
      </c>
      <c r="B512" s="3">
        <f>YEAR(Tabla3[[#This Row],[Date]])</f>
        <v>2018</v>
      </c>
      <c r="C512" s="1" t="str">
        <f>+TEXT(Tabla3[[#This Row],[Date]],"mmm")</f>
        <v>feb</v>
      </c>
      <c r="D512" s="2">
        <v>1328.80004882812</v>
      </c>
      <c r="E512" s="2">
        <v>1328.80004882812</v>
      </c>
      <c r="F512" s="2">
        <v>1350.19995117187</v>
      </c>
      <c r="G512" s="2">
        <v>1328.5</v>
      </c>
      <c r="H512" s="2">
        <v>1348.40002441406</v>
      </c>
      <c r="I512">
        <v>283</v>
      </c>
      <c r="J512" s="2">
        <f ca="1">IFERROR((Tabla3[[#This Row],[Close]]-OFFSET(Tabla3[[#This Row],[Close]],-1,0))/OFFSET(Tabla3[[#This Row],[Close]],-1,0),"")</f>
        <v>-1.8031261619999104E-2</v>
      </c>
      <c r="K512" s="2">
        <f ca="1">IFERROR(AVERAGE(OFFSET(Tabla3[[#This Row],[Close]],-6,0,7)),"")</f>
        <v>1336.4285539899499</v>
      </c>
      <c r="L512" s="2">
        <f ca="1">IFERROR(_xlfn.STDEV.S(OFFSET(Tabla3[[#This Row],[Close]],-29,0,30)),"")</f>
        <v>14.111675153206066</v>
      </c>
    </row>
    <row r="513" spans="1:12" x14ac:dyDescent="0.3">
      <c r="A513" s="1">
        <v>43152</v>
      </c>
      <c r="B513" s="3">
        <f>YEAR(Tabla3[[#This Row],[Date]])</f>
        <v>2018</v>
      </c>
      <c r="C513" s="1" t="str">
        <f>+TEXT(Tabla3[[#This Row],[Date]],"mmm")</f>
        <v>feb</v>
      </c>
      <c r="D513" s="2">
        <v>1330</v>
      </c>
      <c r="E513" s="2">
        <v>1330</v>
      </c>
      <c r="F513" s="2">
        <v>1331.5</v>
      </c>
      <c r="G513" s="2">
        <v>1324.40002441406</v>
      </c>
      <c r="H513" s="2">
        <v>1326.80004882812</v>
      </c>
      <c r="I513">
        <v>119</v>
      </c>
      <c r="J513" s="2">
        <f ca="1">IFERROR((Tabla3[[#This Row],[Close]]-OFFSET(Tabla3[[#This Row],[Close]],-1,0))/OFFSET(Tabla3[[#This Row],[Close]],-1,0),"")</f>
        <v>9.0303366028489341E-4</v>
      </c>
      <c r="K513" s="2">
        <f ca="1">IFERROR(AVERAGE(OFFSET(Tabla3[[#This Row],[Close]],-6,0,7)),"")</f>
        <v>1338.8428431919599</v>
      </c>
      <c r="L513" s="2">
        <f ca="1">IFERROR(_xlfn.STDEV.S(OFFSET(Tabla3[[#This Row],[Close]],-29,0,30)),"")</f>
        <v>13.924648858118928</v>
      </c>
    </row>
    <row r="514" spans="1:12" x14ac:dyDescent="0.3">
      <c r="A514" s="1">
        <v>43153</v>
      </c>
      <c r="B514" s="3">
        <f>YEAR(Tabla3[[#This Row],[Date]])</f>
        <v>2018</v>
      </c>
      <c r="C514" s="1" t="str">
        <f>+TEXT(Tabla3[[#This Row],[Date]],"mmm")</f>
        <v>feb</v>
      </c>
      <c r="D514" s="2">
        <v>1330.59997558593</v>
      </c>
      <c r="E514" s="2">
        <v>1330.59997558593</v>
      </c>
      <c r="F514" s="2">
        <v>1331.40002441406</v>
      </c>
      <c r="G514" s="2">
        <v>1322</v>
      </c>
      <c r="H514" s="2">
        <v>1322</v>
      </c>
      <c r="I514">
        <v>70</v>
      </c>
      <c r="J514" s="2">
        <f ca="1">IFERROR((Tabla3[[#This Row],[Close]]-OFFSET(Tabla3[[#This Row],[Close]],-1,0))/OFFSET(Tabla3[[#This Row],[Close]],-1,0),"")</f>
        <v>4.5110946310526068E-4</v>
      </c>
      <c r="K514" s="2">
        <f ca="1">IFERROR(AVERAGE(OFFSET(Tabla3[[#This Row],[Close]],-6,0,7)),"")</f>
        <v>1339.7571323939685</v>
      </c>
      <c r="L514" s="2">
        <f ca="1">IFERROR(_xlfn.STDEV.S(OFFSET(Tabla3[[#This Row],[Close]],-29,0,30)),"")</f>
        <v>13.662153917822785</v>
      </c>
    </row>
    <row r="515" spans="1:12" x14ac:dyDescent="0.3">
      <c r="A515" s="1">
        <v>43154</v>
      </c>
      <c r="B515" s="3">
        <f>YEAR(Tabla3[[#This Row],[Date]])</f>
        <v>2018</v>
      </c>
      <c r="C515" s="1" t="str">
        <f>+TEXT(Tabla3[[#This Row],[Date]],"mmm")</f>
        <v>feb</v>
      </c>
      <c r="D515" s="2">
        <v>1328.19995117187</v>
      </c>
      <c r="E515" s="2">
        <v>1328.19995117187</v>
      </c>
      <c r="F515" s="2">
        <v>1332.09997558593</v>
      </c>
      <c r="G515" s="2">
        <v>1327.69995117187</v>
      </c>
      <c r="H515" s="2">
        <v>1328</v>
      </c>
      <c r="I515">
        <v>427</v>
      </c>
      <c r="J515" s="2">
        <f ca="1">IFERROR((Tabla3[[#This Row],[Close]]-OFFSET(Tabla3[[#This Row],[Close]],-1,0))/OFFSET(Tabla3[[#This Row],[Close]],-1,0),"")</f>
        <v>-1.803715961292685E-3</v>
      </c>
      <c r="K515" s="2">
        <f ca="1">IFERROR(AVERAGE(OFFSET(Tabla3[[#This Row],[Close]],-6,0,7)),"")</f>
        <v>1339.7714146205315</v>
      </c>
      <c r="L515" s="2">
        <f ca="1">IFERROR(_xlfn.STDEV.S(OFFSET(Tabla3[[#This Row],[Close]],-29,0,30)),"")</f>
        <v>13.071557123695911</v>
      </c>
    </row>
    <row r="516" spans="1:12" x14ac:dyDescent="0.3">
      <c r="A516" s="1">
        <v>43157</v>
      </c>
      <c r="B516" s="3">
        <f>YEAR(Tabla3[[#This Row],[Date]])</f>
        <v>2018</v>
      </c>
      <c r="C516" s="1" t="str">
        <f>+TEXT(Tabla3[[#This Row],[Date]],"mmm")</f>
        <v>feb</v>
      </c>
      <c r="D516" s="2">
        <v>1330.69995117187</v>
      </c>
      <c r="E516" s="2">
        <v>1330.69995117187</v>
      </c>
      <c r="F516" s="2">
        <v>1340.5</v>
      </c>
      <c r="G516" s="2">
        <v>1330.69995117187</v>
      </c>
      <c r="H516" s="2">
        <v>1335</v>
      </c>
      <c r="I516">
        <v>652</v>
      </c>
      <c r="J516" s="2">
        <f ca="1">IFERROR((Tabla3[[#This Row],[Close]]-OFFSET(Tabla3[[#This Row],[Close]],-1,0))/OFFSET(Tabla3[[#This Row],[Close]],-1,0),"")</f>
        <v>1.8822467187973103E-3</v>
      </c>
      <c r="K516" s="2">
        <f ca="1">IFERROR(AVERAGE(OFFSET(Tabla3[[#This Row],[Close]],-6,0,7)),"")</f>
        <v>1336.2285505022269</v>
      </c>
      <c r="L516" s="2">
        <f ca="1">IFERROR(_xlfn.STDEV.S(OFFSET(Tabla3[[#This Row],[Close]],-29,0,30)),"")</f>
        <v>12.706063649934032</v>
      </c>
    </row>
    <row r="517" spans="1:12" x14ac:dyDescent="0.3">
      <c r="A517" s="1">
        <v>43158</v>
      </c>
      <c r="B517" s="3">
        <f>YEAR(Tabla3[[#This Row],[Date]])</f>
        <v>2018</v>
      </c>
      <c r="C517" s="1" t="str">
        <f>+TEXT(Tabla3[[#This Row],[Date]],"mmm")</f>
        <v>feb</v>
      </c>
      <c r="D517" s="2">
        <v>1315.5</v>
      </c>
      <c r="E517" s="2">
        <v>1315.5</v>
      </c>
      <c r="F517" s="2">
        <v>1332.59997558593</v>
      </c>
      <c r="G517" s="2">
        <v>1312.69995117187</v>
      </c>
      <c r="H517" s="2">
        <v>1331.69995117187</v>
      </c>
      <c r="I517">
        <v>710</v>
      </c>
      <c r="J517" s="2">
        <f ca="1">IFERROR((Tabla3[[#This Row],[Close]]-OFFSET(Tabla3[[#This Row],[Close]],-1,0))/OFFSET(Tabla3[[#This Row],[Close]],-1,0),"")</f>
        <v>-1.1422523280687194E-2</v>
      </c>
      <c r="K517" s="2">
        <f ca="1">IFERROR(AVERAGE(OFFSET(Tabla3[[#This Row],[Close]],-6,0,7)),"")</f>
        <v>1330.99998256138</v>
      </c>
      <c r="L517" s="2">
        <f ca="1">IFERROR(_xlfn.STDEV.S(OFFSET(Tabla3[[#This Row],[Close]],-29,0,30)),"")</f>
        <v>12.931172989805836</v>
      </c>
    </row>
    <row r="518" spans="1:12" x14ac:dyDescent="0.3">
      <c r="A518" s="1">
        <v>43159</v>
      </c>
      <c r="B518" s="3">
        <f>YEAR(Tabla3[[#This Row],[Date]])</f>
        <v>2018</v>
      </c>
      <c r="C518" s="1" t="str">
        <f>+TEXT(Tabla3[[#This Row],[Date]],"mmm")</f>
        <v>feb</v>
      </c>
      <c r="D518" s="2">
        <v>1315.5</v>
      </c>
      <c r="E518" s="2">
        <v>1315.5</v>
      </c>
      <c r="F518" s="2">
        <v>1321</v>
      </c>
      <c r="G518" s="2">
        <v>1315.40002441406</v>
      </c>
      <c r="H518" s="2">
        <v>1315.40002441406</v>
      </c>
      <c r="I518">
        <v>58</v>
      </c>
      <c r="J518" s="2">
        <f ca="1">IFERROR((Tabla3[[#This Row],[Close]]-OFFSET(Tabla3[[#This Row],[Close]],-1,0))/OFFSET(Tabla3[[#This Row],[Close]],-1,0),"")</f>
        <v>0</v>
      </c>
      <c r="K518" s="2">
        <f ca="1">IFERROR(AVERAGE(OFFSET(Tabla3[[#This Row],[Close]],-6,0,7)),"")</f>
        <v>1325.6142752511128</v>
      </c>
      <c r="L518" s="2">
        <f ca="1">IFERROR(_xlfn.STDEV.S(OFFSET(Tabla3[[#This Row],[Close]],-29,0,30)),"")</f>
        <v>13.382717401402619</v>
      </c>
    </row>
    <row r="519" spans="1:12" x14ac:dyDescent="0.3">
      <c r="A519" s="1">
        <v>43160</v>
      </c>
      <c r="B519" s="3">
        <f>YEAR(Tabla3[[#This Row],[Date]])</f>
        <v>2018</v>
      </c>
      <c r="C519" s="1" t="str">
        <f>+TEXT(Tabla3[[#This Row],[Date]],"mmm")</f>
        <v>mar</v>
      </c>
      <c r="D519" s="2">
        <v>1302.90002441406</v>
      </c>
      <c r="E519" s="2">
        <v>1302.90002441406</v>
      </c>
      <c r="F519" s="2">
        <v>1318.09997558593</v>
      </c>
      <c r="G519" s="2">
        <v>1301.80004882812</v>
      </c>
      <c r="H519" s="2">
        <v>1310.40002441406</v>
      </c>
      <c r="I519">
        <v>43</v>
      </c>
      <c r="J519" s="2">
        <f ca="1">IFERROR((Tabla3[[#This Row],[Close]]-OFFSET(Tabla3[[#This Row],[Close]],-1,0))/OFFSET(Tabla3[[#This Row],[Close]],-1,0),"")</f>
        <v>-9.5780886248118587E-3</v>
      </c>
      <c r="K519" s="2">
        <f ca="1">IFERROR(AVERAGE(OFFSET(Tabla3[[#This Row],[Close]],-6,0,7)),"")</f>
        <v>1321.9142717633899</v>
      </c>
      <c r="L519" s="2">
        <f ca="1">IFERROR(_xlfn.STDEV.S(OFFSET(Tabla3[[#This Row],[Close]],-29,0,30)),"")</f>
        <v>14.514368168078176</v>
      </c>
    </row>
    <row r="520" spans="1:12" x14ac:dyDescent="0.3">
      <c r="A520" s="1">
        <v>43161</v>
      </c>
      <c r="B520" s="3">
        <f>YEAR(Tabla3[[#This Row],[Date]])</f>
        <v>2018</v>
      </c>
      <c r="C520" s="1" t="str">
        <f>+TEXT(Tabla3[[#This Row],[Date]],"mmm")</f>
        <v>mar</v>
      </c>
      <c r="D520" s="2">
        <v>1321.09997558593</v>
      </c>
      <c r="E520" s="2">
        <v>1321.09997558593</v>
      </c>
      <c r="F520" s="2">
        <v>1323.19995117187</v>
      </c>
      <c r="G520" s="2">
        <v>1314.30004882812</v>
      </c>
      <c r="H520" s="2">
        <v>1314.30004882812</v>
      </c>
      <c r="I520">
        <v>155</v>
      </c>
      <c r="J520" s="2">
        <f ca="1">IFERROR((Tabla3[[#This Row],[Close]]-OFFSET(Tabla3[[#This Row],[Close]],-1,0))/OFFSET(Tabla3[[#This Row],[Close]],-1,0),"")</f>
        <v>1.3968801006090147E-2</v>
      </c>
      <c r="K520" s="2">
        <f ca="1">IFERROR(AVERAGE(OFFSET(Tabla3[[#This Row],[Close]],-6,0,7)),"")</f>
        <v>1320.6428397042368</v>
      </c>
      <c r="L520" s="2">
        <f ca="1">IFERROR(_xlfn.STDEV.S(OFFSET(Tabla3[[#This Row],[Close]],-29,0,30)),"")</f>
        <v>14.628814584276258</v>
      </c>
    </row>
    <row r="521" spans="1:12" x14ac:dyDescent="0.3">
      <c r="A521" s="1">
        <v>43164</v>
      </c>
      <c r="B521" s="3">
        <f>YEAR(Tabla3[[#This Row],[Date]])</f>
        <v>2018</v>
      </c>
      <c r="C521" s="1" t="str">
        <f>+TEXT(Tabla3[[#This Row],[Date]],"mmm")</f>
        <v>mar</v>
      </c>
      <c r="D521" s="2">
        <v>1318.09997558593</v>
      </c>
      <c r="E521" s="2">
        <v>1318.09997558593</v>
      </c>
      <c r="F521" s="2">
        <v>1325.90002441406</v>
      </c>
      <c r="G521" s="2">
        <v>1318.09997558593</v>
      </c>
      <c r="H521" s="2">
        <v>1323.5</v>
      </c>
      <c r="I521">
        <v>18</v>
      </c>
      <c r="J521" s="2">
        <f ca="1">IFERROR((Tabla3[[#This Row],[Close]]-OFFSET(Tabla3[[#This Row],[Close]],-1,0))/OFFSET(Tabla3[[#This Row],[Close]],-1,0),"")</f>
        <v>-2.2708349522672952E-3</v>
      </c>
      <c r="K521" s="2">
        <f ca="1">IFERROR(AVERAGE(OFFSET(Tabla3[[#This Row],[Close]],-6,0,7)),"")</f>
        <v>1318.8571254185229</v>
      </c>
      <c r="L521" s="2">
        <f ca="1">IFERROR(_xlfn.STDEV.S(OFFSET(Tabla3[[#This Row],[Close]],-29,0,30)),"")</f>
        <v>14.812911994838144</v>
      </c>
    </row>
    <row r="522" spans="1:12" x14ac:dyDescent="0.3">
      <c r="A522" s="1">
        <v>43165</v>
      </c>
      <c r="B522" s="3">
        <f>YEAR(Tabla3[[#This Row],[Date]])</f>
        <v>2018</v>
      </c>
      <c r="C522" s="1" t="str">
        <f>+TEXT(Tabla3[[#This Row],[Date]],"mmm")</f>
        <v>mar</v>
      </c>
      <c r="D522" s="2">
        <v>1333.59997558593</v>
      </c>
      <c r="E522" s="2">
        <v>1333.59997558593</v>
      </c>
      <c r="F522" s="2">
        <v>1333.59997558593</v>
      </c>
      <c r="G522" s="2">
        <v>1321.40002441406</v>
      </c>
      <c r="H522" s="2">
        <v>1321.59997558593</v>
      </c>
      <c r="I522">
        <v>18</v>
      </c>
      <c r="J522" s="2">
        <f ca="1">IFERROR((Tabla3[[#This Row],[Close]]-OFFSET(Tabla3[[#This Row],[Close]],-1,0))/OFFSET(Tabla3[[#This Row],[Close]],-1,0),"")</f>
        <v>1.1759350798189525E-2</v>
      </c>
      <c r="K522" s="2">
        <f ca="1">IFERROR(AVERAGE(OFFSET(Tabla3[[#This Row],[Close]],-6,0,7)),"")</f>
        <v>1319.6285574776743</v>
      </c>
      <c r="L522" s="2">
        <f ca="1">IFERROR(_xlfn.STDEV.S(OFFSET(Tabla3[[#This Row],[Close]],-29,0,30)),"")</f>
        <v>14.816295127880249</v>
      </c>
    </row>
    <row r="523" spans="1:12" x14ac:dyDescent="0.3">
      <c r="A523" s="1">
        <v>43166</v>
      </c>
      <c r="B523" s="3">
        <f>YEAR(Tabla3[[#This Row],[Date]])</f>
        <v>2018</v>
      </c>
      <c r="C523" s="1" t="str">
        <f>+TEXT(Tabla3[[#This Row],[Date]],"mmm")</f>
        <v>mar</v>
      </c>
      <c r="D523" s="2">
        <v>1326</v>
      </c>
      <c r="E523" s="2">
        <v>1326</v>
      </c>
      <c r="F523" s="2">
        <v>1338.09997558593</v>
      </c>
      <c r="G523" s="2">
        <v>1326</v>
      </c>
      <c r="H523" s="2">
        <v>1338.09997558593</v>
      </c>
      <c r="I523">
        <v>27</v>
      </c>
      <c r="J523" s="2">
        <f ca="1">IFERROR((Tabla3[[#This Row],[Close]]-OFFSET(Tabla3[[#This Row],[Close]],-1,0))/OFFSET(Tabla3[[#This Row],[Close]],-1,0),"")</f>
        <v>-5.6988420253913652E-3</v>
      </c>
      <c r="K523" s="2">
        <f ca="1">IFERROR(AVERAGE(OFFSET(Tabla3[[#This Row],[Close]],-6,0,7)),"")</f>
        <v>1318.9571358816927</v>
      </c>
      <c r="L523" s="2">
        <f ca="1">IFERROR(_xlfn.STDEV.S(OFFSET(Tabla3[[#This Row],[Close]],-29,0,30)),"")</f>
        <v>14.854923388883385</v>
      </c>
    </row>
    <row r="524" spans="1:12" x14ac:dyDescent="0.3">
      <c r="A524" s="1">
        <v>43167</v>
      </c>
      <c r="B524" s="3">
        <f>YEAR(Tabla3[[#This Row],[Date]])</f>
        <v>2018</v>
      </c>
      <c r="C524" s="1" t="str">
        <f>+TEXT(Tabla3[[#This Row],[Date]],"mmm")</f>
        <v>mar</v>
      </c>
      <c r="D524" s="2">
        <v>1319.90002441406</v>
      </c>
      <c r="E524" s="2">
        <v>1319.90002441406</v>
      </c>
      <c r="F524" s="2">
        <v>1326.80004882812</v>
      </c>
      <c r="G524" s="2">
        <v>1319.30004882812</v>
      </c>
      <c r="H524" s="2">
        <v>1324.80004882812</v>
      </c>
      <c r="I524">
        <v>62</v>
      </c>
      <c r="J524" s="2">
        <f ca="1">IFERROR((Tabla3[[#This Row],[Close]]-OFFSET(Tabla3[[#This Row],[Close]],-1,0))/OFFSET(Tabla3[[#This Row],[Close]],-1,0),"")</f>
        <v>-4.6002832473152344E-3</v>
      </c>
      <c r="K524" s="2">
        <f ca="1">IFERROR(AVERAGE(OFFSET(Tabla3[[#This Row],[Close]],-6,0,7)),"")</f>
        <v>1319.5857107979871</v>
      </c>
      <c r="L524" s="2">
        <f ca="1">IFERROR(_xlfn.STDEV.S(OFFSET(Tabla3[[#This Row],[Close]],-29,0,30)),"")</f>
        <v>14.989890769272687</v>
      </c>
    </row>
    <row r="525" spans="1:12" x14ac:dyDescent="0.3">
      <c r="A525" s="1">
        <v>43168</v>
      </c>
      <c r="B525" s="3">
        <f>YEAR(Tabla3[[#This Row],[Date]])</f>
        <v>2018</v>
      </c>
      <c r="C525" s="1" t="str">
        <f>+TEXT(Tabla3[[#This Row],[Date]],"mmm")</f>
        <v>mar</v>
      </c>
      <c r="D525" s="2">
        <v>1322.40002441406</v>
      </c>
      <c r="E525" s="2">
        <v>1322.40002441406</v>
      </c>
      <c r="F525" s="2">
        <v>1322.40002441406</v>
      </c>
      <c r="G525" s="2">
        <v>1313</v>
      </c>
      <c r="H525" s="2">
        <v>1316.80004882812</v>
      </c>
      <c r="I525">
        <v>88</v>
      </c>
      <c r="J525" s="2">
        <f ca="1">IFERROR((Tabla3[[#This Row],[Close]]-OFFSET(Tabla3[[#This Row],[Close]],-1,0))/OFFSET(Tabla3[[#This Row],[Close]],-1,0),"")</f>
        <v>1.894082850032387E-3</v>
      </c>
      <c r="K525" s="2">
        <f ca="1">IFERROR(AVERAGE(OFFSET(Tabla3[[#This Row],[Close]],-6,0,7)),"")</f>
        <v>1320.5714285714243</v>
      </c>
      <c r="L525" s="2">
        <f ca="1">IFERROR(_xlfn.STDEV.S(OFFSET(Tabla3[[#This Row],[Close]],-29,0,30)),"")</f>
        <v>14.32189155294761</v>
      </c>
    </row>
    <row r="526" spans="1:12" x14ac:dyDescent="0.3">
      <c r="A526" s="1">
        <v>43171</v>
      </c>
      <c r="B526" s="3">
        <f>YEAR(Tabla3[[#This Row],[Date]])</f>
        <v>2018</v>
      </c>
      <c r="C526" s="1" t="str">
        <f>+TEXT(Tabla3[[#This Row],[Date]],"mmm")</f>
        <v>mar</v>
      </c>
      <c r="D526" s="2">
        <v>1319.40002441406</v>
      </c>
      <c r="E526" s="2">
        <v>1319.40002441406</v>
      </c>
      <c r="F526" s="2">
        <v>1319.40002441406</v>
      </c>
      <c r="G526" s="2">
        <v>1319.40002441406</v>
      </c>
      <c r="H526" s="2">
        <v>1319.40002441406</v>
      </c>
      <c r="I526">
        <v>0</v>
      </c>
      <c r="J526" s="2">
        <f ca="1">IFERROR((Tabla3[[#This Row],[Close]]-OFFSET(Tabla3[[#This Row],[Close]],-1,0))/OFFSET(Tabla3[[#This Row],[Close]],-1,0),"")</f>
        <v>-2.2686024989520587E-3</v>
      </c>
      <c r="K526" s="2">
        <f ca="1">IFERROR(AVERAGE(OFFSET(Tabla3[[#This Row],[Close]],-6,0,7)),"")</f>
        <v>1322.928571428567</v>
      </c>
      <c r="L526" s="2">
        <f ca="1">IFERROR(_xlfn.STDEV.S(OFFSET(Tabla3[[#This Row],[Close]],-29,0,30)),"")</f>
        <v>13.0771951444016</v>
      </c>
    </row>
    <row r="527" spans="1:12" x14ac:dyDescent="0.3">
      <c r="A527" s="1">
        <v>43172</v>
      </c>
      <c r="B527" s="3">
        <f>YEAR(Tabla3[[#This Row],[Date]])</f>
        <v>2018</v>
      </c>
      <c r="C527" s="1" t="str">
        <f>+TEXT(Tabla3[[#This Row],[Date]],"mmm")</f>
        <v>mar</v>
      </c>
      <c r="D527" s="2">
        <v>1325.90002441406</v>
      </c>
      <c r="E527" s="2">
        <v>1325.90002441406</v>
      </c>
      <c r="F527" s="2">
        <v>1325.90002441406</v>
      </c>
      <c r="G527" s="2">
        <v>1325.30004882812</v>
      </c>
      <c r="H527" s="2">
        <v>1325.90002441406</v>
      </c>
      <c r="I527">
        <v>13</v>
      </c>
      <c r="J527" s="2">
        <f ca="1">IFERROR((Tabla3[[#This Row],[Close]]-OFFSET(Tabla3[[#This Row],[Close]],-1,0))/OFFSET(Tabla3[[#This Row],[Close]],-1,0),"")</f>
        <v>4.9264816429623933E-3</v>
      </c>
      <c r="K527" s="2">
        <f ca="1">IFERROR(AVERAGE(OFFSET(Tabla3[[#This Row],[Close]],-6,0,7)),"")</f>
        <v>1323.6142926897285</v>
      </c>
      <c r="L527" s="2">
        <f ca="1">IFERROR(_xlfn.STDEV.S(OFFSET(Tabla3[[#This Row],[Close]],-29,0,30)),"")</f>
        <v>12.345508189057419</v>
      </c>
    </row>
    <row r="528" spans="1:12" x14ac:dyDescent="0.3">
      <c r="A528" s="1">
        <v>43173</v>
      </c>
      <c r="B528" s="3">
        <f>YEAR(Tabla3[[#This Row],[Date]])</f>
        <v>2018</v>
      </c>
      <c r="C528" s="1" t="str">
        <f>+TEXT(Tabla3[[#This Row],[Date]],"mmm")</f>
        <v>mar</v>
      </c>
      <c r="D528" s="2">
        <v>1324.40002441406</v>
      </c>
      <c r="E528" s="2">
        <v>1324.40002441406</v>
      </c>
      <c r="F528" s="2">
        <v>1324.40002441406</v>
      </c>
      <c r="G528" s="2">
        <v>1322.19995117187</v>
      </c>
      <c r="H528" s="2">
        <v>1322.19995117187</v>
      </c>
      <c r="I528">
        <v>19</v>
      </c>
      <c r="J528" s="2">
        <f ca="1">IFERROR((Tabla3[[#This Row],[Close]]-OFFSET(Tabla3[[#This Row],[Close]],-1,0))/OFFSET(Tabla3[[#This Row],[Close]],-1,0),"")</f>
        <v>-1.1313070158987877E-3</v>
      </c>
      <c r="K528" s="2">
        <f ca="1">IFERROR(AVERAGE(OFFSET(Tabla3[[#This Row],[Close]],-6,0,7)),"")</f>
        <v>1324.5142996651757</v>
      </c>
      <c r="L528" s="2">
        <f ca="1">IFERROR(_xlfn.STDEV.S(OFFSET(Tabla3[[#This Row],[Close]],-29,0,30)),"")</f>
        <v>12.275976334416111</v>
      </c>
    </row>
    <row r="529" spans="1:12" x14ac:dyDescent="0.3">
      <c r="A529" s="1">
        <v>43174</v>
      </c>
      <c r="B529" s="3">
        <f>YEAR(Tabla3[[#This Row],[Date]])</f>
        <v>2018</v>
      </c>
      <c r="C529" s="1" t="str">
        <f>+TEXT(Tabla3[[#This Row],[Date]],"mmm")</f>
        <v>mar</v>
      </c>
      <c r="D529" s="2">
        <v>1316.80004882812</v>
      </c>
      <c r="E529" s="2">
        <v>1316.80004882812</v>
      </c>
      <c r="F529" s="2">
        <v>1316.80004882812</v>
      </c>
      <c r="G529" s="2">
        <v>1316.80004882812</v>
      </c>
      <c r="H529" s="2">
        <v>1316.80004882812</v>
      </c>
      <c r="I529">
        <v>0</v>
      </c>
      <c r="J529" s="2">
        <f ca="1">IFERROR((Tabla3[[#This Row],[Close]]-OFFSET(Tabla3[[#This Row],[Close]],-1,0))/OFFSET(Tabla3[[#This Row],[Close]],-1,0),"")</f>
        <v>-5.7384290590770538E-3</v>
      </c>
      <c r="K529" s="2">
        <f ca="1">IFERROR(AVERAGE(OFFSET(Tabla3[[#This Row],[Close]],-6,0,7)),"")</f>
        <v>1322.1143101283456</v>
      </c>
      <c r="L529" s="2">
        <f ca="1">IFERROR(_xlfn.STDEV.S(OFFSET(Tabla3[[#This Row],[Close]],-29,0,30)),"")</f>
        <v>12.225359449086307</v>
      </c>
    </row>
    <row r="530" spans="1:12" x14ac:dyDescent="0.3">
      <c r="A530" s="1">
        <v>43175</v>
      </c>
      <c r="B530" s="3">
        <f>YEAR(Tabla3[[#This Row],[Date]])</f>
        <v>2018</v>
      </c>
      <c r="C530" s="1" t="str">
        <f>+TEXT(Tabla3[[#This Row],[Date]],"mmm")</f>
        <v>mar</v>
      </c>
      <c r="D530" s="2">
        <v>1311.30004882812</v>
      </c>
      <c r="E530" s="2">
        <v>1311.30004882812</v>
      </c>
      <c r="F530" s="2">
        <v>1311.30004882812</v>
      </c>
      <c r="G530" s="2">
        <v>1310.09997558593</v>
      </c>
      <c r="H530" s="2">
        <v>1310.09997558593</v>
      </c>
      <c r="I530">
        <v>34</v>
      </c>
      <c r="J530" s="2">
        <f ca="1">IFERROR((Tabla3[[#This Row],[Close]]-OFFSET(Tabla3[[#This Row],[Close]],-1,0))/OFFSET(Tabla3[[#This Row],[Close]],-1,0),"")</f>
        <v>-4.1767920686931167E-3</v>
      </c>
      <c r="K530" s="2">
        <f ca="1">IFERROR(AVERAGE(OFFSET(Tabla3[[#This Row],[Close]],-6,0,7)),"")</f>
        <v>1320.0143171037912</v>
      </c>
      <c r="L530" s="2">
        <f ca="1">IFERROR(_xlfn.STDEV.S(OFFSET(Tabla3[[#This Row],[Close]],-29,0,30)),"")</f>
        <v>12.072681402582715</v>
      </c>
    </row>
    <row r="531" spans="1:12" x14ac:dyDescent="0.3">
      <c r="A531" s="1">
        <v>43178</v>
      </c>
      <c r="B531" s="3">
        <f>YEAR(Tabla3[[#This Row],[Date]])</f>
        <v>2018</v>
      </c>
      <c r="C531" s="1" t="str">
        <f>+TEXT(Tabla3[[#This Row],[Date]],"mmm")</f>
        <v>mar</v>
      </c>
      <c r="D531" s="2">
        <v>1316.80004882812</v>
      </c>
      <c r="E531" s="2">
        <v>1316.80004882812</v>
      </c>
      <c r="F531" s="2">
        <v>1316.90002441406</v>
      </c>
      <c r="G531" s="2">
        <v>1307.30004882812</v>
      </c>
      <c r="H531" s="2">
        <v>1309.40002441406</v>
      </c>
      <c r="I531">
        <v>6</v>
      </c>
      <c r="J531" s="2">
        <f ca="1">IFERROR((Tabla3[[#This Row],[Close]]-OFFSET(Tabla3[[#This Row],[Close]],-1,0))/OFFSET(Tabla3[[#This Row],[Close]],-1,0),"")</f>
        <v>4.194310832913664E-3</v>
      </c>
      <c r="K531" s="2">
        <f ca="1">IFERROR(AVERAGE(OFFSET(Tabla3[[#This Row],[Close]],-6,0,7)),"")</f>
        <v>1319.5714634486571</v>
      </c>
      <c r="L531" s="2">
        <f ca="1">IFERROR(_xlfn.STDEV.S(OFFSET(Tabla3[[#This Row],[Close]],-29,0,30)),"")</f>
        <v>12.076944393444856</v>
      </c>
    </row>
    <row r="532" spans="1:12" x14ac:dyDescent="0.3">
      <c r="A532" s="1">
        <v>43179</v>
      </c>
      <c r="B532" s="3">
        <f>YEAR(Tabla3[[#This Row],[Date]])</f>
        <v>2018</v>
      </c>
      <c r="C532" s="1" t="str">
        <f>+TEXT(Tabla3[[#This Row],[Date]],"mmm")</f>
        <v>mar</v>
      </c>
      <c r="D532" s="2">
        <v>1311.09997558593</v>
      </c>
      <c r="E532" s="2">
        <v>1311.09997558593</v>
      </c>
      <c r="F532" s="2">
        <v>1311.09997558593</v>
      </c>
      <c r="G532" s="2">
        <v>1311.09997558593</v>
      </c>
      <c r="H532" s="2">
        <v>1311.09997558593</v>
      </c>
      <c r="I532">
        <v>4</v>
      </c>
      <c r="J532" s="2">
        <f ca="1">IFERROR((Tabla3[[#This Row],[Close]]-OFFSET(Tabla3[[#This Row],[Close]],-1,0))/OFFSET(Tabla3[[#This Row],[Close]],-1,0),"")</f>
        <v>-4.328731037990737E-3</v>
      </c>
      <c r="K532" s="2">
        <f ca="1">IFERROR(AVERAGE(OFFSET(Tabla3[[#This Row],[Close]],-6,0,7)),"")</f>
        <v>1317.9571707589241</v>
      </c>
      <c r="L532" s="2">
        <f ca="1">IFERROR(_xlfn.STDEV.S(OFFSET(Tabla3[[#This Row],[Close]],-29,0,30)),"")</f>
        <v>12.241014389357412</v>
      </c>
    </row>
    <row r="533" spans="1:12" x14ac:dyDescent="0.3">
      <c r="A533" s="1">
        <v>43180</v>
      </c>
      <c r="B533" s="3">
        <f>YEAR(Tabla3[[#This Row],[Date]])</f>
        <v>2018</v>
      </c>
      <c r="C533" s="1" t="str">
        <f>+TEXT(Tabla3[[#This Row],[Date]],"mmm")</f>
        <v>mar</v>
      </c>
      <c r="D533" s="2">
        <v>1320.69995117187</v>
      </c>
      <c r="E533" s="2">
        <v>1320.69995117187</v>
      </c>
      <c r="F533" s="2">
        <v>1328.80004882812</v>
      </c>
      <c r="G533" s="2">
        <v>1312.40002441406</v>
      </c>
      <c r="H533" s="2">
        <v>1312.40002441406</v>
      </c>
      <c r="I533">
        <v>34</v>
      </c>
      <c r="J533" s="2">
        <f ca="1">IFERROR((Tabla3[[#This Row],[Close]]-OFFSET(Tabla3[[#This Row],[Close]],-1,0))/OFFSET(Tabla3[[#This Row],[Close]],-1,0),"")</f>
        <v>7.3220774652594869E-3</v>
      </c>
      <c r="K533" s="2">
        <f ca="1">IFERROR(AVERAGE(OFFSET(Tabla3[[#This Row],[Close]],-6,0,7)),"")</f>
        <v>1318.1428745814685</v>
      </c>
      <c r="L533" s="2">
        <f ca="1">IFERROR(_xlfn.STDEV.S(OFFSET(Tabla3[[#This Row],[Close]],-29,0,30)),"")</f>
        <v>12.253735490599594</v>
      </c>
    </row>
    <row r="534" spans="1:12" x14ac:dyDescent="0.3">
      <c r="A534" s="1">
        <v>43181</v>
      </c>
      <c r="B534" s="3">
        <f>YEAR(Tabla3[[#This Row],[Date]])</f>
        <v>2018</v>
      </c>
      <c r="C534" s="1" t="str">
        <f>+TEXT(Tabla3[[#This Row],[Date]],"mmm")</f>
        <v>mar</v>
      </c>
      <c r="D534" s="2">
        <v>1326.59997558593</v>
      </c>
      <c r="E534" s="2">
        <v>1326.59997558593</v>
      </c>
      <c r="F534" s="2">
        <v>1326.59997558593</v>
      </c>
      <c r="G534" s="2">
        <v>1326.59997558593</v>
      </c>
      <c r="H534" s="2">
        <v>1326.59997558593</v>
      </c>
      <c r="I534">
        <v>0</v>
      </c>
      <c r="J534" s="2">
        <f ca="1">IFERROR((Tabla3[[#This Row],[Close]]-OFFSET(Tabla3[[#This Row],[Close]],-1,0))/OFFSET(Tabla3[[#This Row],[Close]],-1,0),"")</f>
        <v>4.4673465830182314E-3</v>
      </c>
      <c r="K534" s="2">
        <f ca="1">IFERROR(AVERAGE(OFFSET(Tabla3[[#This Row],[Close]],-6,0,7)),"")</f>
        <v>1318.2428676060215</v>
      </c>
      <c r="L534" s="2">
        <f ca="1">IFERROR(_xlfn.STDEV.S(OFFSET(Tabla3[[#This Row],[Close]],-29,0,30)),"")</f>
        <v>12.02807969878315</v>
      </c>
    </row>
    <row r="535" spans="1:12" x14ac:dyDescent="0.3">
      <c r="A535" s="1">
        <v>43182</v>
      </c>
      <c r="B535" s="3">
        <f>YEAR(Tabla3[[#This Row],[Date]])</f>
        <v>2018</v>
      </c>
      <c r="C535" s="1" t="str">
        <f>+TEXT(Tabla3[[#This Row],[Date]],"mmm")</f>
        <v>mar</v>
      </c>
      <c r="D535" s="2">
        <v>1349.30004882812</v>
      </c>
      <c r="E535" s="2">
        <v>1349.30004882812</v>
      </c>
      <c r="F535" s="2">
        <v>1349.30004882812</v>
      </c>
      <c r="G535" s="2">
        <v>1343.19995117187</v>
      </c>
      <c r="H535" s="2">
        <v>1343.19995117187</v>
      </c>
      <c r="I535">
        <v>8</v>
      </c>
      <c r="J535" s="2">
        <f ca="1">IFERROR((Tabla3[[#This Row],[Close]]-OFFSET(Tabla3[[#This Row],[Close]],-1,0))/OFFSET(Tabla3[[#This Row],[Close]],-1,0),"")</f>
        <v>1.711146815916673E-2</v>
      </c>
      <c r="K535" s="2">
        <f ca="1">IFERROR(AVERAGE(OFFSET(Tabla3[[#This Row],[Close]],-6,0,7)),"")</f>
        <v>1321.8000139508872</v>
      </c>
      <c r="L535" s="2">
        <f ca="1">IFERROR(_xlfn.STDEV.S(OFFSET(Tabla3[[#This Row],[Close]],-29,0,30)),"")</f>
        <v>12.741939006858345</v>
      </c>
    </row>
    <row r="536" spans="1:12" x14ac:dyDescent="0.3">
      <c r="A536" s="1">
        <v>43185</v>
      </c>
      <c r="B536" s="3">
        <f>YEAR(Tabla3[[#This Row],[Date]])</f>
        <v>2018</v>
      </c>
      <c r="C536" s="1" t="str">
        <f>+TEXT(Tabla3[[#This Row],[Date]],"mmm")</f>
        <v>mar</v>
      </c>
      <c r="D536" s="2">
        <v>1354.40002441406</v>
      </c>
      <c r="E536" s="2">
        <v>1354.40002441406</v>
      </c>
      <c r="F536" s="2">
        <v>1354.40002441406</v>
      </c>
      <c r="G536" s="2">
        <v>1345.09997558593</v>
      </c>
      <c r="H536" s="2">
        <v>1348.5</v>
      </c>
      <c r="I536">
        <v>10</v>
      </c>
      <c r="J536" s="2">
        <f ca="1">IFERROR((Tabla3[[#This Row],[Close]]-OFFSET(Tabla3[[#This Row],[Close]],-1,0))/OFFSET(Tabla3[[#This Row],[Close]],-1,0),"")</f>
        <v>3.7797194110897564E-3</v>
      </c>
      <c r="K536" s="2">
        <f ca="1">IFERROR(AVERAGE(OFFSET(Tabla3[[#This Row],[Close]],-6,0,7)),"")</f>
        <v>1327.171439034593</v>
      </c>
      <c r="L536" s="2">
        <f ca="1">IFERROR(_xlfn.STDEV.S(OFFSET(Tabla3[[#This Row],[Close]],-29,0,30)),"")</f>
        <v>13.536954695903438</v>
      </c>
    </row>
    <row r="537" spans="1:12" x14ac:dyDescent="0.3">
      <c r="A537" s="1">
        <v>43186</v>
      </c>
      <c r="B537" s="3">
        <f>YEAR(Tabla3[[#This Row],[Date]])</f>
        <v>2018</v>
      </c>
      <c r="C537" s="1" t="str">
        <f>+TEXT(Tabla3[[#This Row],[Date]],"mmm")</f>
        <v>mar</v>
      </c>
      <c r="D537" s="2">
        <v>1341.30004882812</v>
      </c>
      <c r="E537" s="2">
        <v>1341.30004882812</v>
      </c>
      <c r="F537" s="2">
        <v>1341.30004882812</v>
      </c>
      <c r="G537" s="2">
        <v>1341</v>
      </c>
      <c r="H537" s="2">
        <v>1341</v>
      </c>
      <c r="I537">
        <v>290889</v>
      </c>
      <c r="J537" s="2">
        <f ca="1">IFERROR((Tabla3[[#This Row],[Close]]-OFFSET(Tabla3[[#This Row],[Close]],-1,0))/OFFSET(Tabla3[[#This Row],[Close]],-1,0),"")</f>
        <v>-9.6721613628199012E-3</v>
      </c>
      <c r="K537" s="2">
        <f ca="1">IFERROR(AVERAGE(OFFSET(Tabla3[[#This Row],[Close]],-6,0,7)),"")</f>
        <v>1331.457153320307</v>
      </c>
      <c r="L537" s="2">
        <f ca="1">IFERROR(_xlfn.STDEV.S(OFFSET(Tabla3[[#This Row],[Close]],-29,0,30)),"")</f>
        <v>13.768523760922616</v>
      </c>
    </row>
    <row r="538" spans="1:12" x14ac:dyDescent="0.3">
      <c r="A538" s="1">
        <v>43187</v>
      </c>
      <c r="B538" s="3">
        <f>YEAR(Tabla3[[#This Row],[Date]])</f>
        <v>2018</v>
      </c>
      <c r="C538" s="1" t="str">
        <f>+TEXT(Tabla3[[#This Row],[Date]],"mmm")</f>
        <v>mar</v>
      </c>
      <c r="D538" s="2">
        <v>1324.19995117187</v>
      </c>
      <c r="E538" s="2">
        <v>1324.19995117187</v>
      </c>
      <c r="F538" s="2">
        <v>1346.40002441406</v>
      </c>
      <c r="G538" s="2">
        <v>1322.40002441406</v>
      </c>
      <c r="H538" s="2">
        <v>1345</v>
      </c>
      <c r="I538">
        <v>59284</v>
      </c>
      <c r="J538" s="2">
        <f ca="1">IFERROR((Tabla3[[#This Row],[Close]]-OFFSET(Tabla3[[#This Row],[Close]],-1,0))/OFFSET(Tabla3[[#This Row],[Close]],-1,0),"")</f>
        <v>-1.2748898109107041E-2</v>
      </c>
      <c r="K538" s="2">
        <f ca="1">IFERROR(AVERAGE(OFFSET(Tabla3[[#This Row],[Close]],-6,0,7)),"")</f>
        <v>1332.514282226557</v>
      </c>
      <c r="L538" s="2">
        <f ca="1">IFERROR(_xlfn.STDEV.S(OFFSET(Tabla3[[#This Row],[Close]],-29,0,30)),"")</f>
        <v>13.782761000138063</v>
      </c>
    </row>
    <row r="539" spans="1:12" x14ac:dyDescent="0.3">
      <c r="A539" s="1">
        <v>43188</v>
      </c>
      <c r="B539" s="3">
        <f>YEAR(Tabla3[[#This Row],[Date]])</f>
        <v>2018</v>
      </c>
      <c r="C539" s="1" t="str">
        <f>+TEXT(Tabla3[[#This Row],[Date]],"mmm")</f>
        <v>mar</v>
      </c>
      <c r="D539" s="2">
        <v>1322.80004882812</v>
      </c>
      <c r="E539" s="2">
        <v>1322.80004882812</v>
      </c>
      <c r="F539" s="2">
        <v>1327.09997558593</v>
      </c>
      <c r="G539" s="2">
        <v>1321.69995117187</v>
      </c>
      <c r="H539" s="2">
        <v>1324</v>
      </c>
      <c r="I539">
        <v>5585</v>
      </c>
      <c r="J539" s="2">
        <f ca="1">IFERROR((Tabla3[[#This Row],[Close]]-OFFSET(Tabla3[[#This Row],[Close]],-1,0))/OFFSET(Tabla3[[#This Row],[Close]],-1,0),"")</f>
        <v>-1.0571684000676303E-3</v>
      </c>
      <c r="K539" s="2">
        <f ca="1">IFERROR(AVERAGE(OFFSET(Tabla3[[#This Row],[Close]],-6,0,7)),"")</f>
        <v>1334.1857212611555</v>
      </c>
      <c r="L539" s="2">
        <f ca="1">IFERROR(_xlfn.STDEV.S(OFFSET(Tabla3[[#This Row],[Close]],-29,0,30)),"")</f>
        <v>12.749917203919495</v>
      </c>
    </row>
    <row r="540" spans="1:12" x14ac:dyDescent="0.3">
      <c r="A540" s="1">
        <v>43192</v>
      </c>
      <c r="B540" s="3">
        <f>YEAR(Tabla3[[#This Row],[Date]])</f>
        <v>2018</v>
      </c>
      <c r="C540" s="1" t="str">
        <f>+TEXT(Tabla3[[#This Row],[Date]],"mmm")</f>
        <v>abr</v>
      </c>
      <c r="D540" s="2">
        <v>1342.09997558593</v>
      </c>
      <c r="E540" s="2">
        <v>1342.09997558593</v>
      </c>
      <c r="F540" s="2">
        <v>1344.19995117187</v>
      </c>
      <c r="G540" s="2">
        <v>1324.69995117187</v>
      </c>
      <c r="H540" s="2">
        <v>1327</v>
      </c>
      <c r="I540">
        <v>649</v>
      </c>
      <c r="J540" s="2">
        <f ca="1">IFERROR((Tabla3[[#This Row],[Close]]-OFFSET(Tabla3[[#This Row],[Close]],-1,0))/OFFSET(Tabla3[[#This Row],[Close]],-1,0),"")</f>
        <v>1.4590207170696713E-2</v>
      </c>
      <c r="K540" s="2">
        <f ca="1">IFERROR(AVERAGE(OFFSET(Tabla3[[#This Row],[Close]],-6,0,7)),"")</f>
        <v>1337.2428676060213</v>
      </c>
      <c r="L540" s="2">
        <f ca="1">IFERROR(_xlfn.STDEV.S(OFFSET(Tabla3[[#This Row],[Close]],-29,0,30)),"")</f>
        <v>12.174004468561465</v>
      </c>
    </row>
    <row r="541" spans="1:12" x14ac:dyDescent="0.3">
      <c r="A541" s="1">
        <v>43193</v>
      </c>
      <c r="B541" s="3">
        <f>YEAR(Tabla3[[#This Row],[Date]])</f>
        <v>2018</v>
      </c>
      <c r="C541" s="1" t="str">
        <f>+TEXT(Tabla3[[#This Row],[Date]],"mmm")</f>
        <v>abr</v>
      </c>
      <c r="D541" s="2">
        <v>1332.80004882812</v>
      </c>
      <c r="E541" s="2">
        <v>1332.80004882812</v>
      </c>
      <c r="F541" s="2">
        <v>1341.5</v>
      </c>
      <c r="G541" s="2">
        <v>1328.5</v>
      </c>
      <c r="H541" s="2">
        <v>1340.40002441406</v>
      </c>
      <c r="I541">
        <v>702</v>
      </c>
      <c r="J541" s="2">
        <f ca="1">IFERROR((Tabla3[[#This Row],[Close]]-OFFSET(Tabla3[[#This Row],[Close]],-1,0))/OFFSET(Tabla3[[#This Row],[Close]],-1,0),"")</f>
        <v>-6.9293844922021291E-3</v>
      </c>
      <c r="K541" s="2">
        <f ca="1">IFERROR(AVERAGE(OFFSET(Tabla3[[#This Row],[Close]],-6,0,7)),"")</f>
        <v>1338.1285923549058</v>
      </c>
      <c r="L541" s="2">
        <f ca="1">IFERROR(_xlfn.STDEV.S(OFFSET(Tabla3[[#This Row],[Close]],-29,0,30)),"")</f>
        <v>11.134619392896216</v>
      </c>
    </row>
    <row r="542" spans="1:12" x14ac:dyDescent="0.3">
      <c r="A542" s="1">
        <v>43194</v>
      </c>
      <c r="B542" s="3">
        <f>YEAR(Tabla3[[#This Row],[Date]])</f>
        <v>2018</v>
      </c>
      <c r="C542" s="1" t="str">
        <f>+TEXT(Tabla3[[#This Row],[Date]],"mmm")</f>
        <v>abr</v>
      </c>
      <c r="D542" s="2">
        <v>1335.80004882812</v>
      </c>
      <c r="E542" s="2">
        <v>1335.80004882812</v>
      </c>
      <c r="F542" s="2">
        <v>1347.30004882812</v>
      </c>
      <c r="G542" s="2">
        <v>1331.59997558593</v>
      </c>
      <c r="H542" s="2">
        <v>1331.80004882812</v>
      </c>
      <c r="I542">
        <v>718</v>
      </c>
      <c r="J542" s="2">
        <f ca="1">IFERROR((Tabla3[[#This Row],[Close]]-OFFSET(Tabla3[[#This Row],[Close]],-1,0))/OFFSET(Tabla3[[#This Row],[Close]],-1,0),"")</f>
        <v>2.2509002776806507E-3</v>
      </c>
      <c r="K542" s="2">
        <f ca="1">IFERROR(AVERAGE(OFFSET(Tabla3[[#This Row],[Close]],-6,0,7)),"")</f>
        <v>1336.2000209263344</v>
      </c>
      <c r="L542" s="2">
        <f ca="1">IFERROR(_xlfn.STDEV.S(OFFSET(Tabla3[[#This Row],[Close]],-29,0,30)),"")</f>
        <v>11.279856903026262</v>
      </c>
    </row>
    <row r="543" spans="1:12" x14ac:dyDescent="0.3">
      <c r="A543" s="1">
        <v>43195</v>
      </c>
      <c r="B543" s="3">
        <f>YEAR(Tabla3[[#This Row],[Date]])</f>
        <v>2018</v>
      </c>
      <c r="C543" s="1" t="str">
        <f>+TEXT(Tabla3[[#This Row],[Date]],"mmm")</f>
        <v>abr</v>
      </c>
      <c r="D543" s="2">
        <v>1324.30004882812</v>
      </c>
      <c r="E543" s="2">
        <v>1324.30004882812</v>
      </c>
      <c r="F543" s="2">
        <v>1333.69995117187</v>
      </c>
      <c r="G543" s="2">
        <v>1322.59997558593</v>
      </c>
      <c r="H543" s="2">
        <v>1333.5</v>
      </c>
      <c r="I543">
        <v>258</v>
      </c>
      <c r="J543" s="2">
        <f ca="1">IFERROR((Tabla3[[#This Row],[Close]]-OFFSET(Tabla3[[#This Row],[Close]],-1,0))/OFFSET(Tabla3[[#This Row],[Close]],-1,0),"")</f>
        <v>-8.6090728998616233E-3</v>
      </c>
      <c r="K543" s="2">
        <f ca="1">IFERROR(AVERAGE(OFFSET(Tabla3[[#This Row],[Close]],-6,0,7)),"")</f>
        <v>1331.900024414057</v>
      </c>
      <c r="L543" s="2">
        <f ca="1">IFERROR(_xlfn.STDEV.S(OFFSET(Tabla3[[#This Row],[Close]],-29,0,30)),"")</f>
        <v>11.252437191161826</v>
      </c>
    </row>
    <row r="544" spans="1:12" x14ac:dyDescent="0.3">
      <c r="A544" s="1">
        <v>43196</v>
      </c>
      <c r="B544" s="3">
        <f>YEAR(Tabla3[[#This Row],[Date]])</f>
        <v>2018</v>
      </c>
      <c r="C544" s="1" t="str">
        <f>+TEXT(Tabla3[[#This Row],[Date]],"mmm")</f>
        <v>abr</v>
      </c>
      <c r="D544" s="2">
        <v>1331.90002441406</v>
      </c>
      <c r="E544" s="2">
        <v>1331.90002441406</v>
      </c>
      <c r="F544" s="2">
        <v>1333</v>
      </c>
      <c r="G544" s="2">
        <v>1319</v>
      </c>
      <c r="H544" s="2">
        <v>1326.5</v>
      </c>
      <c r="I544">
        <v>348</v>
      </c>
      <c r="J544" s="2">
        <f ca="1">IFERROR((Tabla3[[#This Row],[Close]]-OFFSET(Tabla3[[#This Row],[Close]],-1,0))/OFFSET(Tabla3[[#This Row],[Close]],-1,0),"")</f>
        <v>5.7388622711788458E-3</v>
      </c>
      <c r="K544" s="2">
        <f ca="1">IFERROR(AVERAGE(OFFSET(Tabla3[[#This Row],[Close]],-6,0,7)),"")</f>
        <v>1330.5571637834771</v>
      </c>
      <c r="L544" s="2">
        <f ca="1">IFERROR(_xlfn.STDEV.S(OFFSET(Tabla3[[#This Row],[Close]],-29,0,30)),"")</f>
        <v>11.275301780883449</v>
      </c>
    </row>
    <row r="545" spans="1:12" x14ac:dyDescent="0.3">
      <c r="A545" s="1">
        <v>43199</v>
      </c>
      <c r="B545" s="3">
        <f>YEAR(Tabla3[[#This Row],[Date]])</f>
        <v>2018</v>
      </c>
      <c r="C545" s="1" t="str">
        <f>+TEXT(Tabla3[[#This Row],[Date]],"mmm")</f>
        <v>abr</v>
      </c>
      <c r="D545" s="2">
        <v>1336.30004882812</v>
      </c>
      <c r="E545" s="2">
        <v>1336.30004882812</v>
      </c>
      <c r="F545" s="2">
        <v>1337.5</v>
      </c>
      <c r="G545" s="2">
        <v>1327</v>
      </c>
      <c r="H545" s="2">
        <v>1333</v>
      </c>
      <c r="I545">
        <v>290</v>
      </c>
      <c r="J545" s="2">
        <f ca="1">IFERROR((Tabla3[[#This Row],[Close]]-OFFSET(Tabla3[[#This Row],[Close]],-1,0))/OFFSET(Tabla3[[#This Row],[Close]],-1,0),"")</f>
        <v>3.3035695873612531E-3</v>
      </c>
      <c r="K545" s="2">
        <f ca="1">IFERROR(AVERAGE(OFFSET(Tabla3[[#This Row],[Close]],-6,0,7)),"")</f>
        <v>1332.2857491629416</v>
      </c>
      <c r="L545" s="2">
        <f ca="1">IFERROR(_xlfn.STDEV.S(OFFSET(Tabla3[[#This Row],[Close]],-29,0,30)),"")</f>
        <v>11.437344428127744</v>
      </c>
    </row>
    <row r="546" spans="1:12" x14ac:dyDescent="0.3">
      <c r="A546" s="1">
        <v>43200</v>
      </c>
      <c r="B546" s="3">
        <f>YEAR(Tabla3[[#This Row],[Date]])</f>
        <v>2018</v>
      </c>
      <c r="C546" s="1" t="str">
        <f>+TEXT(Tabla3[[#This Row],[Date]],"mmm")</f>
        <v>abr</v>
      </c>
      <c r="D546" s="2">
        <v>1342</v>
      </c>
      <c r="E546" s="2">
        <v>1342</v>
      </c>
      <c r="F546" s="2">
        <v>1342</v>
      </c>
      <c r="G546" s="2">
        <v>1333</v>
      </c>
      <c r="H546" s="2">
        <v>1335.19995117187</v>
      </c>
      <c r="I546">
        <v>105</v>
      </c>
      <c r="J546" s="2">
        <f ca="1">IFERROR((Tabla3[[#This Row],[Close]]-OFFSET(Tabla3[[#This Row],[Close]],-1,0))/OFFSET(Tabla3[[#This Row],[Close]],-1,0),"")</f>
        <v>4.2654725462882561E-3</v>
      </c>
      <c r="K546" s="2">
        <f ca="1">IFERROR(AVERAGE(OFFSET(Tabla3[[#This Row],[Close]],-6,0,7)),"")</f>
        <v>1335.0285993303528</v>
      </c>
      <c r="L546" s="2">
        <f ca="1">IFERROR(_xlfn.STDEV.S(OFFSET(Tabla3[[#This Row],[Close]],-29,0,30)),"")</f>
        <v>11.78517731677057</v>
      </c>
    </row>
    <row r="547" spans="1:12" x14ac:dyDescent="0.3">
      <c r="A547" s="1">
        <v>43201</v>
      </c>
      <c r="B547" s="3">
        <f>YEAR(Tabla3[[#This Row],[Date]])</f>
        <v>2018</v>
      </c>
      <c r="C547" s="1" t="str">
        <f>+TEXT(Tabla3[[#This Row],[Date]],"mmm")</f>
        <v>abr</v>
      </c>
      <c r="D547" s="2">
        <v>1356.5</v>
      </c>
      <c r="E547" s="2">
        <v>1356.5</v>
      </c>
      <c r="F547" s="2">
        <v>1365.40002441406</v>
      </c>
      <c r="G547" s="2">
        <v>1340.09997558593</v>
      </c>
      <c r="H547" s="2">
        <v>1340.09997558593</v>
      </c>
      <c r="I547">
        <v>118</v>
      </c>
      <c r="J547" s="2">
        <f ca="1">IFERROR((Tabla3[[#This Row],[Close]]-OFFSET(Tabla3[[#This Row],[Close]],-1,0))/OFFSET(Tabla3[[#This Row],[Close]],-1,0),"")</f>
        <v>1.0804769001490314E-2</v>
      </c>
      <c r="K547" s="2">
        <f ca="1">IFERROR(AVERAGE(OFFSET(Tabla3[[#This Row],[Close]],-6,0,7)),"")</f>
        <v>1337.0857456752201</v>
      </c>
      <c r="L547" s="2">
        <f ca="1">IFERROR(_xlfn.STDEV.S(OFFSET(Tabla3[[#This Row],[Close]],-29,0,30)),"")</f>
        <v>12.835261048627189</v>
      </c>
    </row>
    <row r="548" spans="1:12" x14ac:dyDescent="0.3">
      <c r="A548" s="1">
        <v>43202</v>
      </c>
      <c r="B548" s="3">
        <f>YEAR(Tabla3[[#This Row],[Date]])</f>
        <v>2018</v>
      </c>
      <c r="C548" s="1" t="str">
        <f>+TEXT(Tabla3[[#This Row],[Date]],"mmm")</f>
        <v>abr</v>
      </c>
      <c r="D548" s="2">
        <v>1338.40002441406</v>
      </c>
      <c r="E548" s="2">
        <v>1338.40002441406</v>
      </c>
      <c r="F548" s="2">
        <v>1351.5</v>
      </c>
      <c r="G548" s="2">
        <v>1334.59997558593</v>
      </c>
      <c r="H548" s="2">
        <v>1351.19995117187</v>
      </c>
      <c r="I548">
        <v>34</v>
      </c>
      <c r="J548" s="2">
        <f ca="1">IFERROR((Tabla3[[#This Row],[Close]]-OFFSET(Tabla3[[#This Row],[Close]],-1,0))/OFFSET(Tabla3[[#This Row],[Close]],-1,0),"")</f>
        <v>-1.3343144552849245E-2</v>
      </c>
      <c r="K548" s="2">
        <f ca="1">IFERROR(AVERAGE(OFFSET(Tabla3[[#This Row],[Close]],-6,0,7)),"")</f>
        <v>1337.885742187497</v>
      </c>
      <c r="L548" s="2">
        <f ca="1">IFERROR(_xlfn.STDEV.S(OFFSET(Tabla3[[#This Row],[Close]],-29,0,30)),"")</f>
        <v>12.775341750169801</v>
      </c>
    </row>
    <row r="549" spans="1:12" x14ac:dyDescent="0.3">
      <c r="A549" s="1">
        <v>43203</v>
      </c>
      <c r="B549" s="3">
        <f>YEAR(Tabla3[[#This Row],[Date]])</f>
        <v>2018</v>
      </c>
      <c r="C549" s="1" t="str">
        <f>+TEXT(Tabla3[[#This Row],[Date]],"mmm")</f>
        <v>abr</v>
      </c>
      <c r="D549" s="2">
        <v>1344.80004882812</v>
      </c>
      <c r="E549" s="2">
        <v>1344.80004882812</v>
      </c>
      <c r="F549" s="2">
        <v>1346</v>
      </c>
      <c r="G549" s="2">
        <v>1335.90002441406</v>
      </c>
      <c r="H549" s="2">
        <v>1335.90002441406</v>
      </c>
      <c r="I549">
        <v>67</v>
      </c>
      <c r="J549" s="2">
        <f ca="1">IFERROR((Tabla3[[#This Row],[Close]]-OFFSET(Tabla3[[#This Row],[Close]],-1,0))/OFFSET(Tabla3[[#This Row],[Close]],-1,0),"")</f>
        <v>4.781847203613041E-3</v>
      </c>
      <c r="K549" s="2">
        <f ca="1">IFERROR(AVERAGE(OFFSET(Tabla3[[#This Row],[Close]],-6,0,7)),"")</f>
        <v>1339.1714564732115</v>
      </c>
      <c r="L549" s="2">
        <f ca="1">IFERROR(_xlfn.STDEV.S(OFFSET(Tabla3[[#This Row],[Close]],-29,0,30)),"")</f>
        <v>12.178787620110832</v>
      </c>
    </row>
    <row r="550" spans="1:12" x14ac:dyDescent="0.3">
      <c r="A550" s="1">
        <v>43206</v>
      </c>
      <c r="B550" s="3">
        <f>YEAR(Tabla3[[#This Row],[Date]])</f>
        <v>2018</v>
      </c>
      <c r="C550" s="1" t="str">
        <f>+TEXT(Tabla3[[#This Row],[Date]],"mmm")</f>
        <v>abr</v>
      </c>
      <c r="D550" s="2">
        <v>1347.5</v>
      </c>
      <c r="E550" s="2">
        <v>1347.5</v>
      </c>
      <c r="F550" s="2">
        <v>1348.80004882812</v>
      </c>
      <c r="G550" s="2">
        <v>1341</v>
      </c>
      <c r="H550" s="2">
        <v>1341</v>
      </c>
      <c r="I550">
        <v>60</v>
      </c>
      <c r="J550" s="2">
        <f ca="1">IFERROR((Tabla3[[#This Row],[Close]]-OFFSET(Tabla3[[#This Row],[Close]],-1,0))/OFFSET(Tabla3[[#This Row],[Close]],-1,0),"")</f>
        <v>2.0076971102378992E-3</v>
      </c>
      <c r="K550" s="2">
        <f ca="1">IFERROR(AVERAGE(OFFSET(Tabla3[[#This Row],[Close]],-6,0,7)),"")</f>
        <v>1342.4857352120514</v>
      </c>
      <c r="L550" s="2">
        <f ca="1">IFERROR(_xlfn.STDEV.S(OFFSET(Tabla3[[#This Row],[Close]],-29,0,30)),"")</f>
        <v>12.485867661715389</v>
      </c>
    </row>
    <row r="551" spans="1:12" x14ac:dyDescent="0.3">
      <c r="A551" s="1">
        <v>43207</v>
      </c>
      <c r="B551" s="3">
        <f>YEAR(Tabla3[[#This Row],[Date]])</f>
        <v>2018</v>
      </c>
      <c r="C551" s="1" t="str">
        <f>+TEXT(Tabla3[[#This Row],[Date]],"mmm")</f>
        <v>abr</v>
      </c>
      <c r="D551" s="2">
        <v>1347.19995117187</v>
      </c>
      <c r="E551" s="2">
        <v>1347.19995117187</v>
      </c>
      <c r="F551" s="2">
        <v>1348.09997558593</v>
      </c>
      <c r="G551" s="2">
        <v>1339</v>
      </c>
      <c r="H551" s="2">
        <v>1348</v>
      </c>
      <c r="I551">
        <v>409</v>
      </c>
      <c r="J551" s="2">
        <f ca="1">IFERROR((Tabla3[[#This Row],[Close]]-OFFSET(Tabla3[[#This Row],[Close]],-1,0))/OFFSET(Tabla3[[#This Row],[Close]],-1,0),"")</f>
        <v>-2.2267074443784951E-4</v>
      </c>
      <c r="K551" s="2">
        <f ca="1">IFERROR(AVERAGE(OFFSET(Tabla3[[#This Row],[Close]],-6,0,7)),"")</f>
        <v>1344.6714390345956</v>
      </c>
      <c r="L551" s="2">
        <f ca="1">IFERROR(_xlfn.STDEV.S(OFFSET(Tabla3[[#This Row],[Close]],-29,0,30)),"")</f>
        <v>12.612601343737218</v>
      </c>
    </row>
    <row r="552" spans="1:12" x14ac:dyDescent="0.3">
      <c r="A552" s="1">
        <v>43208</v>
      </c>
      <c r="B552" s="3">
        <f>YEAR(Tabla3[[#This Row],[Date]])</f>
        <v>2018</v>
      </c>
      <c r="C552" s="1" t="str">
        <f>+TEXT(Tabla3[[#This Row],[Date]],"mmm")</f>
        <v>abr</v>
      </c>
      <c r="D552" s="2">
        <v>1351.19995117187</v>
      </c>
      <c r="E552" s="2">
        <v>1351.19995117187</v>
      </c>
      <c r="F552" s="2">
        <v>1354.19995117187</v>
      </c>
      <c r="G552" s="2">
        <v>1343.5</v>
      </c>
      <c r="H552" s="2">
        <v>1343.5</v>
      </c>
      <c r="I552">
        <v>45</v>
      </c>
      <c r="J552" s="2">
        <f ca="1">IFERROR((Tabla3[[#This Row],[Close]]-OFFSET(Tabla3[[#This Row],[Close]],-1,0))/OFFSET(Tabla3[[#This Row],[Close]],-1,0),"")</f>
        <v>2.9691212477558184E-3</v>
      </c>
      <c r="K552" s="2">
        <f ca="1">IFERROR(AVERAGE(OFFSET(Tabla3[[#This Row],[Close]],-6,0,7)),"")</f>
        <v>1346.7999965122742</v>
      </c>
      <c r="L552" s="2">
        <f ca="1">IFERROR(_xlfn.STDEV.S(OFFSET(Tabla3[[#This Row],[Close]],-29,0,30)),"")</f>
        <v>13.110729970702895</v>
      </c>
    </row>
    <row r="553" spans="1:12" x14ac:dyDescent="0.3">
      <c r="A553" s="1">
        <v>43209</v>
      </c>
      <c r="B553" s="3">
        <f>YEAR(Tabla3[[#This Row],[Date]])</f>
        <v>2018</v>
      </c>
      <c r="C553" s="1" t="str">
        <f>+TEXT(Tabla3[[#This Row],[Date]],"mmm")</f>
        <v>abr</v>
      </c>
      <c r="D553" s="2">
        <v>1346.80004882812</v>
      </c>
      <c r="E553" s="2">
        <v>1346.80004882812</v>
      </c>
      <c r="F553" s="2">
        <v>1355.19995117187</v>
      </c>
      <c r="G553" s="2">
        <v>1341.59997558593</v>
      </c>
      <c r="H553" s="2">
        <v>1348.59997558593</v>
      </c>
      <c r="I553">
        <v>387</v>
      </c>
      <c r="J553" s="2">
        <f ca="1">IFERROR((Tabla3[[#This Row],[Close]]-OFFSET(Tabla3[[#This Row],[Close]],-1,0))/OFFSET(Tabla3[[#This Row],[Close]],-1,0),"")</f>
        <v>-3.2562925568003819E-3</v>
      </c>
      <c r="K553" s="2">
        <f ca="1">IFERROR(AVERAGE(OFFSET(Tabla3[[#This Row],[Close]],-6,0,7)),"")</f>
        <v>1347.4857177734341</v>
      </c>
      <c r="L553" s="2">
        <f ca="1">IFERROR(_xlfn.STDEV.S(OFFSET(Tabla3[[#This Row],[Close]],-29,0,30)),"")</f>
        <v>13.323274973983303</v>
      </c>
    </row>
    <row r="554" spans="1:12" x14ac:dyDescent="0.3">
      <c r="A554" s="1">
        <v>43210</v>
      </c>
      <c r="B554" s="3">
        <f>YEAR(Tabla3[[#This Row],[Date]])</f>
        <v>2018</v>
      </c>
      <c r="C554" s="1" t="str">
        <f>+TEXT(Tabla3[[#This Row],[Date]],"mmm")</f>
        <v>abr</v>
      </c>
      <c r="D554" s="2">
        <v>1336.69995117187</v>
      </c>
      <c r="E554" s="2">
        <v>1336.69995117187</v>
      </c>
      <c r="F554" s="2">
        <v>1343.40002441406</v>
      </c>
      <c r="G554" s="2">
        <v>1335.30004882812</v>
      </c>
      <c r="H554" s="2">
        <v>1342.5</v>
      </c>
      <c r="I554">
        <v>310</v>
      </c>
      <c r="J554" s="2">
        <f ca="1">IFERROR((Tabla3[[#This Row],[Close]]-OFFSET(Tabla3[[#This Row],[Close]],-1,0))/OFFSET(Tabla3[[#This Row],[Close]],-1,0),"")</f>
        <v>-7.4993297372080697E-3</v>
      </c>
      <c r="K554" s="2">
        <f ca="1">IFERROR(AVERAGE(OFFSET(Tabla3[[#This Row],[Close]],-6,0,7)),"")</f>
        <v>1344.6571393694155</v>
      </c>
      <c r="L554" s="2">
        <f ca="1">IFERROR(_xlfn.STDEV.S(OFFSET(Tabla3[[#This Row],[Close]],-29,0,30)),"")</f>
        <v>13.11246286102803</v>
      </c>
    </row>
    <row r="555" spans="1:12" x14ac:dyDescent="0.3">
      <c r="A555" s="1">
        <v>43213</v>
      </c>
      <c r="B555" s="3">
        <f>YEAR(Tabla3[[#This Row],[Date]])</f>
        <v>2018</v>
      </c>
      <c r="C555" s="1" t="str">
        <f>+TEXT(Tabla3[[#This Row],[Date]],"mmm")</f>
        <v>abr</v>
      </c>
      <c r="D555" s="2">
        <v>1322.5</v>
      </c>
      <c r="E555" s="2">
        <v>1322.5</v>
      </c>
      <c r="F555" s="2">
        <v>1334.40002441406</v>
      </c>
      <c r="G555" s="2">
        <v>1322.5</v>
      </c>
      <c r="H555" s="2">
        <v>1334</v>
      </c>
      <c r="I555">
        <v>68</v>
      </c>
      <c r="J555" s="2">
        <f ca="1">IFERROR((Tabla3[[#This Row],[Close]]-OFFSET(Tabla3[[#This Row],[Close]],-1,0))/OFFSET(Tabla3[[#This Row],[Close]],-1,0),"")</f>
        <v>-1.0623140338578646E-2</v>
      </c>
      <c r="K555" s="2">
        <f ca="1">IFERROR(AVERAGE(OFFSET(Tabla3[[#This Row],[Close]],-6,0,7)),"")</f>
        <v>1342.3857073102643</v>
      </c>
      <c r="L555" s="2">
        <f ca="1">IFERROR(_xlfn.STDEV.S(OFFSET(Tabla3[[#This Row],[Close]],-29,0,30)),"")</f>
        <v>13.109585840921534</v>
      </c>
    </row>
    <row r="556" spans="1:12" x14ac:dyDescent="0.3">
      <c r="A556" s="1">
        <v>43214</v>
      </c>
      <c r="B556" s="3">
        <f>YEAR(Tabla3[[#This Row],[Date]])</f>
        <v>2018</v>
      </c>
      <c r="C556" s="1" t="str">
        <f>+TEXT(Tabla3[[#This Row],[Date]],"mmm")</f>
        <v>abr</v>
      </c>
      <c r="D556" s="2">
        <v>1331.40002441406</v>
      </c>
      <c r="E556" s="2">
        <v>1331.40002441406</v>
      </c>
      <c r="F556" s="2">
        <v>1331.69995117187</v>
      </c>
      <c r="G556" s="2">
        <v>1326.19995117187</v>
      </c>
      <c r="H556" s="2">
        <v>1326.40002441406</v>
      </c>
      <c r="I556">
        <v>28</v>
      </c>
      <c r="J556" s="2">
        <f ca="1">IFERROR((Tabla3[[#This Row],[Close]]-OFFSET(Tabla3[[#This Row],[Close]],-1,0))/OFFSET(Tabla3[[#This Row],[Close]],-1,0),"")</f>
        <v>6.7296970994782605E-3</v>
      </c>
      <c r="K556" s="2">
        <f ca="1">IFERROR(AVERAGE(OFFSET(Tabla3[[#This Row],[Close]],-6,0,7)),"")</f>
        <v>1340.4714181082559</v>
      </c>
      <c r="L556" s="2">
        <f ca="1">IFERROR(_xlfn.STDEV.S(OFFSET(Tabla3[[#This Row],[Close]],-29,0,30)),"")</f>
        <v>12.848367990554568</v>
      </c>
    </row>
    <row r="557" spans="1:12" x14ac:dyDescent="0.3">
      <c r="A557" s="1">
        <v>43215</v>
      </c>
      <c r="B557" s="3">
        <f>YEAR(Tabla3[[#This Row],[Date]])</f>
        <v>2018</v>
      </c>
      <c r="C557" s="1" t="str">
        <f>+TEXT(Tabla3[[#This Row],[Date]],"mmm")</f>
        <v>abr</v>
      </c>
      <c r="D557" s="2">
        <v>1321.19995117187</v>
      </c>
      <c r="E557" s="2">
        <v>1321.19995117187</v>
      </c>
      <c r="F557" s="2">
        <v>1325</v>
      </c>
      <c r="G557" s="2">
        <v>1320</v>
      </c>
      <c r="H557" s="2">
        <v>1324</v>
      </c>
      <c r="I557">
        <v>278</v>
      </c>
      <c r="J557" s="2">
        <f ca="1">IFERROR((Tabla3[[#This Row],[Close]]-OFFSET(Tabla3[[#This Row],[Close]],-1,0))/OFFSET(Tabla3[[#This Row],[Close]],-1,0),"")</f>
        <v>-7.6611634784061111E-3</v>
      </c>
      <c r="K557" s="2">
        <f ca="1">IFERROR(AVERAGE(OFFSET(Tabla3[[#This Row],[Close]],-6,0,7)),"")</f>
        <v>1336.7142682756657</v>
      </c>
      <c r="L557" s="2">
        <f ca="1">IFERROR(_xlfn.STDEV.S(OFFSET(Tabla3[[#This Row],[Close]],-29,0,30)),"")</f>
        <v>12.97595782516707</v>
      </c>
    </row>
    <row r="558" spans="1:12" x14ac:dyDescent="0.3">
      <c r="A558" s="1">
        <v>43216</v>
      </c>
      <c r="B558" s="3">
        <f>YEAR(Tabla3[[#This Row],[Date]])</f>
        <v>2018</v>
      </c>
      <c r="C558" s="1" t="str">
        <f>+TEXT(Tabla3[[#This Row],[Date]],"mmm")</f>
        <v>abr</v>
      </c>
      <c r="D558" s="2">
        <v>1316.30004882812</v>
      </c>
      <c r="E558" s="2">
        <v>1316.30004882812</v>
      </c>
      <c r="F558" s="2">
        <v>1316.30004882812</v>
      </c>
      <c r="G558" s="2">
        <v>1315.69995117187</v>
      </c>
      <c r="H558" s="2">
        <v>1315.69995117187</v>
      </c>
      <c r="I558">
        <v>569</v>
      </c>
      <c r="J558" s="2">
        <f ca="1">IFERROR((Tabla3[[#This Row],[Close]]-OFFSET(Tabla3[[#This Row],[Close]],-1,0))/OFFSET(Tabla3[[#This Row],[Close]],-1,0),"")</f>
        <v>-3.7086758438069226E-3</v>
      </c>
      <c r="K558" s="2">
        <f ca="1">IFERROR(AVERAGE(OFFSET(Tabla3[[#This Row],[Close]],-6,0,7)),"")</f>
        <v>1332.2999965122729</v>
      </c>
      <c r="L558" s="2">
        <f ca="1">IFERROR(_xlfn.STDEV.S(OFFSET(Tabla3[[#This Row],[Close]],-29,0,30)),"")</f>
        <v>13.256026500225003</v>
      </c>
    </row>
    <row r="559" spans="1:12" x14ac:dyDescent="0.3">
      <c r="A559" s="1">
        <v>43217</v>
      </c>
      <c r="B559" s="3">
        <f>YEAR(Tabla3[[#This Row],[Date]])</f>
        <v>2018</v>
      </c>
      <c r="C559" s="1" t="str">
        <f>+TEXT(Tabla3[[#This Row],[Date]],"mmm")</f>
        <v>abr</v>
      </c>
      <c r="D559" s="2">
        <v>1320.30004882812</v>
      </c>
      <c r="E559" s="2">
        <v>1320.30004882812</v>
      </c>
      <c r="F559" s="2">
        <v>1321.69995117187</v>
      </c>
      <c r="G559" s="2">
        <v>1312.80004882812</v>
      </c>
      <c r="H559" s="2">
        <v>1315.30004882812</v>
      </c>
      <c r="I559">
        <v>622</v>
      </c>
      <c r="J559" s="2">
        <f ca="1">IFERROR((Tabla3[[#This Row],[Close]]-OFFSET(Tabla3[[#This Row],[Close]],-1,0))/OFFSET(Tabla3[[#This Row],[Close]],-1,0),"")</f>
        <v>3.0388208247512666E-3</v>
      </c>
      <c r="K559" s="2">
        <f ca="1">IFERROR(AVERAGE(OFFSET(Tabla3[[#This Row],[Close]],-6,0,7)),"")</f>
        <v>1327.8857247488797</v>
      </c>
      <c r="L559" s="2">
        <f ca="1">IFERROR(_xlfn.STDEV.S(OFFSET(Tabla3[[#This Row],[Close]],-29,0,30)),"")</f>
        <v>13.119898253144436</v>
      </c>
    </row>
    <row r="560" spans="1:12" x14ac:dyDescent="0.3">
      <c r="A560" s="1">
        <v>43220</v>
      </c>
      <c r="B560" s="3">
        <f>YEAR(Tabla3[[#This Row],[Date]])</f>
        <v>2018</v>
      </c>
      <c r="C560" s="1" t="str">
        <f>+TEXT(Tabla3[[#This Row],[Date]],"mmm")</f>
        <v>abr</v>
      </c>
      <c r="D560" s="2">
        <v>1316.19995117187</v>
      </c>
      <c r="E560" s="2">
        <v>1316.19995117187</v>
      </c>
      <c r="F560" s="2">
        <v>1316.19995117187</v>
      </c>
      <c r="G560" s="2">
        <v>1309.59997558593</v>
      </c>
      <c r="H560" s="2">
        <v>1309.59997558593</v>
      </c>
      <c r="I560">
        <v>49</v>
      </c>
      <c r="J560" s="2">
        <f ca="1">IFERROR((Tabla3[[#This Row],[Close]]-OFFSET(Tabla3[[#This Row],[Close]],-1,0))/OFFSET(Tabla3[[#This Row],[Close]],-1,0),"")</f>
        <v>-3.1054286939466449E-3</v>
      </c>
      <c r="K560" s="2">
        <f ca="1">IFERROR(AVERAGE(OFFSET(Tabla3[[#This Row],[Close]],-6,0,7)),"")</f>
        <v>1323.5142822265584</v>
      </c>
      <c r="L560" s="2">
        <f ca="1">IFERROR(_xlfn.STDEV.S(OFFSET(Tabla3[[#This Row],[Close]],-29,0,30)),"")</f>
        <v>12.862183197336973</v>
      </c>
    </row>
    <row r="561" spans="1:12" x14ac:dyDescent="0.3">
      <c r="A561" s="1">
        <v>43221</v>
      </c>
      <c r="B561" s="3">
        <f>YEAR(Tabla3[[#This Row],[Date]])</f>
        <v>2018</v>
      </c>
      <c r="C561" s="1" t="str">
        <f>+TEXT(Tabla3[[#This Row],[Date]],"mmm")</f>
        <v>may</v>
      </c>
      <c r="D561" s="2">
        <v>1303.80004882812</v>
      </c>
      <c r="E561" s="2">
        <v>1303.80004882812</v>
      </c>
      <c r="F561" s="2">
        <v>1313.80004882812</v>
      </c>
      <c r="G561" s="2">
        <v>1303.40002441406</v>
      </c>
      <c r="H561" s="2">
        <v>1313.19995117187</v>
      </c>
      <c r="I561">
        <v>28</v>
      </c>
      <c r="J561" s="2">
        <f ca="1">IFERROR((Tabla3[[#This Row],[Close]]-OFFSET(Tabla3[[#This Row],[Close]],-1,0))/OFFSET(Tabla3[[#This Row],[Close]],-1,0),"")</f>
        <v>-9.4209867829806778E-3</v>
      </c>
      <c r="K561" s="2">
        <f ca="1">IFERROR(AVERAGE(OFFSET(Tabla3[[#This Row],[Close]],-6,0,7)),"")</f>
        <v>1318.8142961774513</v>
      </c>
      <c r="L561" s="2">
        <f ca="1">IFERROR(_xlfn.STDEV.S(OFFSET(Tabla3[[#This Row],[Close]],-29,0,30)),"")</f>
        <v>13.644521326525208</v>
      </c>
    </row>
    <row r="562" spans="1:12" x14ac:dyDescent="0.3">
      <c r="A562" s="1">
        <v>43222</v>
      </c>
      <c r="B562" s="3">
        <f>YEAR(Tabla3[[#This Row],[Date]])</f>
        <v>2018</v>
      </c>
      <c r="C562" s="1" t="str">
        <f>+TEXT(Tabla3[[#This Row],[Date]],"mmm")</f>
        <v>may</v>
      </c>
      <c r="D562" s="2">
        <v>1302.59997558593</v>
      </c>
      <c r="E562" s="2">
        <v>1302.59997558593</v>
      </c>
      <c r="F562" s="2">
        <v>1309.30004882812</v>
      </c>
      <c r="G562" s="2">
        <v>1302.59997558593</v>
      </c>
      <c r="H562" s="2">
        <v>1309</v>
      </c>
      <c r="I562">
        <v>23</v>
      </c>
      <c r="J562" s="2">
        <f ca="1">IFERROR((Tabla3[[#This Row],[Close]]-OFFSET(Tabla3[[#This Row],[Close]],-1,0))/OFFSET(Tabla3[[#This Row],[Close]],-1,0),"")</f>
        <v>-9.2044270382460065E-4</v>
      </c>
      <c r="K562" s="2">
        <f ca="1">IFERROR(AVERAGE(OFFSET(Tabla3[[#This Row],[Close]],-6,0,7)),"")</f>
        <v>1315.97143554687</v>
      </c>
      <c r="L562" s="2">
        <f ca="1">IFERROR(_xlfn.STDEV.S(OFFSET(Tabla3[[#This Row],[Close]],-29,0,30)),"")</f>
        <v>14.196630009561977</v>
      </c>
    </row>
    <row r="563" spans="1:12" x14ac:dyDescent="0.3">
      <c r="A563" s="1">
        <v>43223</v>
      </c>
      <c r="B563" s="3">
        <f>YEAR(Tabla3[[#This Row],[Date]])</f>
        <v>2018</v>
      </c>
      <c r="C563" s="1" t="str">
        <f>+TEXT(Tabla3[[#This Row],[Date]],"mmm")</f>
        <v>may</v>
      </c>
      <c r="D563" s="2">
        <v>1310.69995117187</v>
      </c>
      <c r="E563" s="2">
        <v>1310.69995117187</v>
      </c>
      <c r="F563" s="2">
        <v>1310.69995117187</v>
      </c>
      <c r="G563" s="2">
        <v>1310.69995117187</v>
      </c>
      <c r="H563" s="2">
        <v>1310.69995117187</v>
      </c>
      <c r="I563">
        <v>4</v>
      </c>
      <c r="J563" s="2">
        <f ca="1">IFERROR((Tabla3[[#This Row],[Close]]-OFFSET(Tabla3[[#This Row],[Close]],-1,0))/OFFSET(Tabla3[[#This Row],[Close]],-1,0),"")</f>
        <v>6.2183139396241004E-3</v>
      </c>
      <c r="K563" s="2">
        <f ca="1">IFERROR(AVERAGE(OFFSET(Tabla3[[#This Row],[Close]],-6,0,7)),"")</f>
        <v>1313.014282226557</v>
      </c>
      <c r="L563" s="2">
        <f ca="1">IFERROR(_xlfn.STDEV.S(OFFSET(Tabla3[[#This Row],[Close]],-29,0,30)),"")</f>
        <v>14.605210014532149</v>
      </c>
    </row>
    <row r="564" spans="1:12" x14ac:dyDescent="0.3">
      <c r="A564" s="1">
        <v>43224</v>
      </c>
      <c r="B564" s="3">
        <f>YEAR(Tabla3[[#This Row],[Date]])</f>
        <v>2018</v>
      </c>
      <c r="C564" s="1" t="str">
        <f>+TEXT(Tabla3[[#This Row],[Date]],"mmm")</f>
        <v>may</v>
      </c>
      <c r="D564" s="2">
        <v>1312.69995117187</v>
      </c>
      <c r="E564" s="2">
        <v>1312.69995117187</v>
      </c>
      <c r="F564" s="2">
        <v>1312.69995117187</v>
      </c>
      <c r="G564" s="2">
        <v>1312.69995117187</v>
      </c>
      <c r="H564" s="2">
        <v>1312.69995117187</v>
      </c>
      <c r="I564">
        <v>0</v>
      </c>
      <c r="J564" s="2">
        <f ca="1">IFERROR((Tabla3[[#This Row],[Close]]-OFFSET(Tabla3[[#This Row],[Close]],-1,0))/OFFSET(Tabla3[[#This Row],[Close]],-1,0),"")</f>
        <v>1.5259022465148038E-3</v>
      </c>
      <c r="K564" s="2">
        <f ca="1">IFERROR(AVERAGE(OFFSET(Tabla3[[#This Row],[Close]],-6,0,7)),"")</f>
        <v>1311.7999965122713</v>
      </c>
      <c r="L564" s="2">
        <f ca="1">IFERROR(_xlfn.STDEV.S(OFFSET(Tabla3[[#This Row],[Close]],-29,0,30)),"")</f>
        <v>15.016693588913503</v>
      </c>
    </row>
    <row r="565" spans="1:12" x14ac:dyDescent="0.3">
      <c r="A565" s="1">
        <v>43227</v>
      </c>
      <c r="B565" s="3">
        <f>YEAR(Tabla3[[#This Row],[Date]])</f>
        <v>2018</v>
      </c>
      <c r="C565" s="1" t="str">
        <f>+TEXT(Tabla3[[#This Row],[Date]],"mmm")</f>
        <v>may</v>
      </c>
      <c r="D565" s="2">
        <v>1312.19995117187</v>
      </c>
      <c r="E565" s="2">
        <v>1312.19995117187</v>
      </c>
      <c r="F565" s="2">
        <v>1312.5</v>
      </c>
      <c r="G565" s="2">
        <v>1310.19995117187</v>
      </c>
      <c r="H565" s="2">
        <v>1310.59997558593</v>
      </c>
      <c r="I565">
        <v>4</v>
      </c>
      <c r="J565" s="2">
        <f ca="1">IFERROR((Tabla3[[#This Row],[Close]]-OFFSET(Tabla3[[#This Row],[Close]],-1,0))/OFFSET(Tabla3[[#This Row],[Close]],-1,0),"")</f>
        <v>-3.8089435407812831E-4</v>
      </c>
      <c r="K565" s="2">
        <f ca="1">IFERROR(AVERAGE(OFFSET(Tabla3[[#This Row],[Close]],-6,0,7)),"")</f>
        <v>1311.2142682756642</v>
      </c>
      <c r="L565" s="2">
        <f ca="1">IFERROR(_xlfn.STDEV.S(OFFSET(Tabla3[[#This Row],[Close]],-29,0,30)),"")</f>
        <v>15.081725795837949</v>
      </c>
    </row>
    <row r="566" spans="1:12" x14ac:dyDescent="0.3">
      <c r="A566" s="1">
        <v>43228</v>
      </c>
      <c r="B566" s="3">
        <f>YEAR(Tabla3[[#This Row],[Date]])</f>
        <v>2018</v>
      </c>
      <c r="C566" s="1" t="str">
        <f>+TEXT(Tabla3[[#This Row],[Date]],"mmm")</f>
        <v>may</v>
      </c>
      <c r="D566" s="2">
        <v>1312</v>
      </c>
      <c r="E566" s="2">
        <v>1312</v>
      </c>
      <c r="F566" s="2">
        <v>1312</v>
      </c>
      <c r="G566" s="2">
        <v>1308.5</v>
      </c>
      <c r="H566" s="2">
        <v>1310.09997558593</v>
      </c>
      <c r="I566">
        <v>337</v>
      </c>
      <c r="J566" s="2">
        <f ca="1">IFERROR((Tabla3[[#This Row],[Close]]-OFFSET(Tabla3[[#This Row],[Close]],-1,0))/OFFSET(Tabla3[[#This Row],[Close]],-1,0),"")</f>
        <v>-1.5237858505590547E-4</v>
      </c>
      <c r="K566" s="2">
        <f ca="1">IFERROR(AVERAGE(OFFSET(Tabla3[[#This Row],[Close]],-6,0,7)),"")</f>
        <v>1310.0285470145043</v>
      </c>
      <c r="L566" s="2">
        <f ca="1">IFERROR(_xlfn.STDEV.S(OFFSET(Tabla3[[#This Row],[Close]],-29,0,30)),"")</f>
        <v>14.787047377131307</v>
      </c>
    </row>
    <row r="567" spans="1:12" x14ac:dyDescent="0.3">
      <c r="A567" s="1">
        <v>43229</v>
      </c>
      <c r="B567" s="3">
        <f>YEAR(Tabla3[[#This Row],[Date]])</f>
        <v>2018</v>
      </c>
      <c r="C567" s="1" t="str">
        <f>+TEXT(Tabla3[[#This Row],[Date]],"mmm")</f>
        <v>may</v>
      </c>
      <c r="D567" s="2">
        <v>1311.30004882812</v>
      </c>
      <c r="E567" s="2">
        <v>1311.30004882812</v>
      </c>
      <c r="F567" s="2">
        <v>1311.30004882812</v>
      </c>
      <c r="G567" s="2">
        <v>1311.30004882812</v>
      </c>
      <c r="H567" s="2">
        <v>1311.30004882812</v>
      </c>
      <c r="I567">
        <v>70</v>
      </c>
      <c r="J567" s="2">
        <f ca="1">IFERROR((Tabla3[[#This Row],[Close]]-OFFSET(Tabla3[[#This Row],[Close]],-1,0))/OFFSET(Tabla3[[#This Row],[Close]],-1,0),"")</f>
        <v>-5.3349936881097731E-4</v>
      </c>
      <c r="K567" s="2">
        <f ca="1">IFERROR(AVERAGE(OFFSET(Tabla3[[#This Row],[Close]],-6,0,7)),"")</f>
        <v>1309.3285609653972</v>
      </c>
      <c r="L567" s="2">
        <f ca="1">IFERROR(_xlfn.STDEV.S(OFFSET(Tabla3[[#This Row],[Close]],-29,0,30)),"")</f>
        <v>14.973590139522123</v>
      </c>
    </row>
    <row r="568" spans="1:12" x14ac:dyDescent="0.3">
      <c r="A568" s="1">
        <v>43230</v>
      </c>
      <c r="B568" s="3">
        <f>YEAR(Tabla3[[#This Row],[Date]])</f>
        <v>2018</v>
      </c>
      <c r="C568" s="1" t="str">
        <f>+TEXT(Tabla3[[#This Row],[Date]],"mmm")</f>
        <v>may</v>
      </c>
      <c r="D568" s="2">
        <v>1320.80004882812</v>
      </c>
      <c r="E568" s="2">
        <v>1320.80004882812</v>
      </c>
      <c r="F568" s="2">
        <v>1320.80004882812</v>
      </c>
      <c r="G568" s="2">
        <v>1312.19995117187</v>
      </c>
      <c r="H568" s="2">
        <v>1312.19995117187</v>
      </c>
      <c r="I568">
        <v>8</v>
      </c>
      <c r="J568" s="2">
        <f ca="1">IFERROR((Tabla3[[#This Row],[Close]]-OFFSET(Tabla3[[#This Row],[Close]],-1,0))/OFFSET(Tabla3[[#This Row],[Close]],-1,0),"")</f>
        <v>7.2447187113963288E-3</v>
      </c>
      <c r="K568" s="2">
        <f ca="1">IFERROR(AVERAGE(OFFSET(Tabla3[[#This Row],[Close]],-6,0,7)),"")</f>
        <v>1311.7571323939685</v>
      </c>
      <c r="L568" s="2">
        <f ca="1">IFERROR(_xlfn.STDEV.S(OFFSET(Tabla3[[#This Row],[Close]],-29,0,30)),"")</f>
        <v>15.019922244670582</v>
      </c>
    </row>
    <row r="569" spans="1:12" x14ac:dyDescent="0.3">
      <c r="A569" s="1">
        <v>43231</v>
      </c>
      <c r="B569" s="3">
        <f>YEAR(Tabla3[[#This Row],[Date]])</f>
        <v>2018</v>
      </c>
      <c r="C569" s="1" t="str">
        <f>+TEXT(Tabla3[[#This Row],[Date]],"mmm")</f>
        <v>may</v>
      </c>
      <c r="D569" s="2">
        <v>1319</v>
      </c>
      <c r="E569" s="2">
        <v>1319</v>
      </c>
      <c r="F569" s="2">
        <v>1319</v>
      </c>
      <c r="G569" s="2">
        <v>1319</v>
      </c>
      <c r="H569" s="2">
        <v>1319</v>
      </c>
      <c r="I569">
        <v>3</v>
      </c>
      <c r="J569" s="2">
        <f ca="1">IFERROR((Tabla3[[#This Row],[Close]]-OFFSET(Tabla3[[#This Row],[Close]],-1,0))/OFFSET(Tabla3[[#This Row],[Close]],-1,0),"")</f>
        <v>-1.3628473361407666E-3</v>
      </c>
      <c r="K569" s="2">
        <f ca="1">IFERROR(AVERAGE(OFFSET(Tabla3[[#This Row],[Close]],-6,0,7)),"")</f>
        <v>1314.09999302455</v>
      </c>
      <c r="L569" s="2">
        <f ca="1">IFERROR(_xlfn.STDEV.S(OFFSET(Tabla3[[#This Row],[Close]],-29,0,30)),"")</f>
        <v>15.084400616424643</v>
      </c>
    </row>
    <row r="570" spans="1:12" x14ac:dyDescent="0.3">
      <c r="A570" s="1">
        <v>43234</v>
      </c>
      <c r="B570" s="3">
        <f>YEAR(Tabla3[[#This Row],[Date]])</f>
        <v>2018</v>
      </c>
      <c r="C570" s="1" t="str">
        <f>+TEXT(Tabla3[[#This Row],[Date]],"mmm")</f>
        <v>may</v>
      </c>
      <c r="D570" s="2">
        <v>1316.5</v>
      </c>
      <c r="E570" s="2">
        <v>1316.5</v>
      </c>
      <c r="F570" s="2">
        <v>1319.90002441406</v>
      </c>
      <c r="G570" s="2">
        <v>1316.5</v>
      </c>
      <c r="H570" s="2">
        <v>1319.90002441406</v>
      </c>
      <c r="I570">
        <v>4</v>
      </c>
      <c r="J570" s="2">
        <f ca="1">IFERROR((Tabla3[[#This Row],[Close]]-OFFSET(Tabla3[[#This Row],[Close]],-1,0))/OFFSET(Tabla3[[#This Row],[Close]],-1,0),"")</f>
        <v>-1.8953752843062926E-3</v>
      </c>
      <c r="K570" s="2">
        <f ca="1">IFERROR(AVERAGE(OFFSET(Tabla3[[#This Row],[Close]],-6,0,7)),"")</f>
        <v>1314.9285714285686</v>
      </c>
      <c r="L570" s="2">
        <f ca="1">IFERROR(_xlfn.STDEV.S(OFFSET(Tabla3[[#This Row],[Close]],-29,0,30)),"")</f>
        <v>14.997343971755997</v>
      </c>
    </row>
    <row r="571" spans="1:12" x14ac:dyDescent="0.3">
      <c r="A571" s="1">
        <v>43235</v>
      </c>
      <c r="B571" s="3">
        <f>YEAR(Tabla3[[#This Row],[Date]])</f>
        <v>2018</v>
      </c>
      <c r="C571" s="1" t="str">
        <f>+TEXT(Tabla3[[#This Row],[Date]],"mmm")</f>
        <v>may</v>
      </c>
      <c r="D571" s="2">
        <v>1288.90002441406</v>
      </c>
      <c r="E571" s="2">
        <v>1288.90002441406</v>
      </c>
      <c r="F571" s="2">
        <v>1304.69995117187</v>
      </c>
      <c r="G571" s="2">
        <v>1288.90002441406</v>
      </c>
      <c r="H571" s="2">
        <v>1304.59997558593</v>
      </c>
      <c r="I571">
        <v>8</v>
      </c>
      <c r="J571" s="2">
        <f ca="1">IFERROR((Tabla3[[#This Row],[Close]]-OFFSET(Tabla3[[#This Row],[Close]],-1,0))/OFFSET(Tabla3[[#This Row],[Close]],-1,0),"")</f>
        <v>-2.0964660528628942E-2</v>
      </c>
      <c r="K571" s="2">
        <f ca="1">IFERROR(AVERAGE(OFFSET(Tabla3[[#This Row],[Close]],-6,0,7)),"")</f>
        <v>1311.5285818917387</v>
      </c>
      <c r="L571" s="2">
        <f ca="1">IFERROR(_xlfn.STDEV.S(OFFSET(Tabla3[[#This Row],[Close]],-29,0,30)),"")</f>
        <v>16.516093738637998</v>
      </c>
    </row>
    <row r="572" spans="1:12" x14ac:dyDescent="0.3">
      <c r="A572" s="1">
        <v>43236</v>
      </c>
      <c r="B572" s="3">
        <f>YEAR(Tabla3[[#This Row],[Date]])</f>
        <v>2018</v>
      </c>
      <c r="C572" s="1" t="str">
        <f>+TEXT(Tabla3[[#This Row],[Date]],"mmm")</f>
        <v>may</v>
      </c>
      <c r="D572" s="2">
        <v>1290.19995117187</v>
      </c>
      <c r="E572" s="2">
        <v>1290.19995117187</v>
      </c>
      <c r="F572" s="2">
        <v>1294</v>
      </c>
      <c r="G572" s="2">
        <v>1285.40002441406</v>
      </c>
      <c r="H572" s="2">
        <v>1290.90002441406</v>
      </c>
      <c r="I572">
        <v>26</v>
      </c>
      <c r="J572" s="2">
        <f ca="1">IFERROR((Tabla3[[#This Row],[Close]]-OFFSET(Tabla3[[#This Row],[Close]],-1,0))/OFFSET(Tabla3[[#This Row],[Close]],-1,0),"")</f>
        <v>1.0085551502731576E-3</v>
      </c>
      <c r="K572" s="2">
        <f ca="1">IFERROR(AVERAGE(OFFSET(Tabla3[[#This Row],[Close]],-6,0,7)),"")</f>
        <v>1308.3857247488813</v>
      </c>
      <c r="L572" s="2">
        <f ca="1">IFERROR(_xlfn.STDEV.S(OFFSET(Tabla3[[#This Row],[Close]],-29,0,30)),"")</f>
        <v>17.636425830842644</v>
      </c>
    </row>
    <row r="573" spans="1:12" x14ac:dyDescent="0.3">
      <c r="A573" s="1">
        <v>43237</v>
      </c>
      <c r="B573" s="3">
        <f>YEAR(Tabla3[[#This Row],[Date]])</f>
        <v>2018</v>
      </c>
      <c r="C573" s="1" t="str">
        <f>+TEXT(Tabla3[[#This Row],[Date]],"mmm")</f>
        <v>may</v>
      </c>
      <c r="D573" s="2">
        <v>1288.19995117187</v>
      </c>
      <c r="E573" s="2">
        <v>1288.19995117187</v>
      </c>
      <c r="F573" s="2">
        <v>1291.30004882812</v>
      </c>
      <c r="G573" s="2">
        <v>1288.19995117187</v>
      </c>
      <c r="H573" s="2">
        <v>1291.30004882812</v>
      </c>
      <c r="I573">
        <v>2</v>
      </c>
      <c r="J573" s="2">
        <f ca="1">IFERROR((Tabla3[[#This Row],[Close]]-OFFSET(Tabla3[[#This Row],[Close]],-1,0))/OFFSET(Tabla3[[#This Row],[Close]],-1,0),"")</f>
        <v>-1.5501473226560184E-3</v>
      </c>
      <c r="K573" s="2">
        <f ca="1">IFERROR(AVERAGE(OFFSET(Tabla3[[#This Row],[Close]],-6,0,7)),"")</f>
        <v>1304.9857177734341</v>
      </c>
      <c r="L573" s="2">
        <f ca="1">IFERROR(_xlfn.STDEV.S(OFFSET(Tabla3[[#This Row],[Close]],-29,0,30)),"")</f>
        <v>18.834795801814391</v>
      </c>
    </row>
    <row r="574" spans="1:12" x14ac:dyDescent="0.3">
      <c r="A574" s="1">
        <v>43238</v>
      </c>
      <c r="B574" s="3">
        <f>YEAR(Tabla3[[#This Row],[Date]])</f>
        <v>2018</v>
      </c>
      <c r="C574" s="1" t="str">
        <f>+TEXT(Tabla3[[#This Row],[Date]],"mmm")</f>
        <v>may</v>
      </c>
      <c r="D574" s="2">
        <v>1290.19995117187</v>
      </c>
      <c r="E574" s="2">
        <v>1290.19995117187</v>
      </c>
      <c r="F574" s="2">
        <v>1290.19995117187</v>
      </c>
      <c r="G574" s="2">
        <v>1285.19995117187</v>
      </c>
      <c r="H574" s="2">
        <v>1285.19995117187</v>
      </c>
      <c r="I574">
        <v>2</v>
      </c>
      <c r="J574" s="2">
        <f ca="1">IFERROR((Tabla3[[#This Row],[Close]]-OFFSET(Tabla3[[#This Row],[Close]],-1,0))/OFFSET(Tabla3[[#This Row],[Close]],-1,0),"")</f>
        <v>1.5525540100980507E-3</v>
      </c>
      <c r="K574" s="2">
        <f ca="1">IFERROR(AVERAGE(OFFSET(Tabla3[[#This Row],[Close]],-6,0,7)),"")</f>
        <v>1301.9714181082556</v>
      </c>
      <c r="L574" s="2">
        <f ca="1">IFERROR(_xlfn.STDEV.S(OFFSET(Tabla3[[#This Row],[Close]],-29,0,30)),"")</f>
        <v>19.69015505870745</v>
      </c>
    </row>
    <row r="575" spans="1:12" x14ac:dyDescent="0.3">
      <c r="A575" s="1">
        <v>43241</v>
      </c>
      <c r="B575" s="3">
        <f>YEAR(Tabla3[[#This Row],[Date]])</f>
        <v>2018</v>
      </c>
      <c r="C575" s="1" t="str">
        <f>+TEXT(Tabla3[[#This Row],[Date]],"mmm")</f>
        <v>may</v>
      </c>
      <c r="D575" s="2">
        <v>1290.19995117187</v>
      </c>
      <c r="E575" s="2">
        <v>1290.19995117187</v>
      </c>
      <c r="F575" s="2">
        <v>1292.09997558593</v>
      </c>
      <c r="G575" s="2">
        <v>1287.40002441406</v>
      </c>
      <c r="H575" s="2">
        <v>1287.40002441406</v>
      </c>
      <c r="I575">
        <v>52</v>
      </c>
      <c r="J575" s="2">
        <f ca="1">IFERROR((Tabla3[[#This Row],[Close]]-OFFSET(Tabla3[[#This Row],[Close]],-1,0))/OFFSET(Tabla3[[#This Row],[Close]],-1,0),"")</f>
        <v>0</v>
      </c>
      <c r="K575" s="2">
        <f ca="1">IFERROR(AVERAGE(OFFSET(Tabla3[[#This Row],[Close]],-6,0,7)),"")</f>
        <v>1297.5999755859341</v>
      </c>
      <c r="L575" s="2">
        <f ca="1">IFERROR(_xlfn.STDEV.S(OFFSET(Tabla3[[#This Row],[Close]],-29,0,30)),"")</f>
        <v>20.309725929921399</v>
      </c>
    </row>
    <row r="576" spans="1:12" x14ac:dyDescent="0.3">
      <c r="A576" s="1">
        <v>43242</v>
      </c>
      <c r="B576" s="3">
        <f>YEAR(Tabla3[[#This Row],[Date]])</f>
        <v>2018</v>
      </c>
      <c r="C576" s="1" t="str">
        <f>+TEXT(Tabla3[[#This Row],[Date]],"mmm")</f>
        <v>may</v>
      </c>
      <c r="D576" s="2">
        <v>1291.69995117187</v>
      </c>
      <c r="E576" s="2">
        <v>1291.69995117187</v>
      </c>
      <c r="F576" s="2">
        <v>1291.69995117187</v>
      </c>
      <c r="G576" s="2">
        <v>1291.69995117187</v>
      </c>
      <c r="H576" s="2">
        <v>1291.69995117187</v>
      </c>
      <c r="I576">
        <v>50</v>
      </c>
      <c r="J576" s="2">
        <f ca="1">IFERROR((Tabla3[[#This Row],[Close]]-OFFSET(Tabla3[[#This Row],[Close]],-1,0))/OFFSET(Tabla3[[#This Row],[Close]],-1,0),"")</f>
        <v>1.1626104919920139E-3</v>
      </c>
      <c r="K576" s="2">
        <f ca="1">IFERROR(AVERAGE(OFFSET(Tabla3[[#This Row],[Close]],-6,0,7)),"")</f>
        <v>1293.6999686104868</v>
      </c>
      <c r="L576" s="2">
        <f ca="1">IFERROR(_xlfn.STDEV.S(OFFSET(Tabla3[[#This Row],[Close]],-29,0,30)),"")</f>
        <v>20.529585344794839</v>
      </c>
    </row>
    <row r="577" spans="1:12" x14ac:dyDescent="0.3">
      <c r="A577" s="1">
        <v>43243</v>
      </c>
      <c r="B577" s="3">
        <f>YEAR(Tabla3[[#This Row],[Date]])</f>
        <v>2018</v>
      </c>
      <c r="C577" s="1" t="str">
        <f>+TEXT(Tabla3[[#This Row],[Date]],"mmm")</f>
        <v>may</v>
      </c>
      <c r="D577" s="2">
        <v>1289.30004882812</v>
      </c>
      <c r="E577" s="2">
        <v>1289.30004882812</v>
      </c>
      <c r="F577" s="2">
        <v>1289.30004882812</v>
      </c>
      <c r="G577" s="2">
        <v>1289.30004882812</v>
      </c>
      <c r="H577" s="2">
        <v>1289.30004882812</v>
      </c>
      <c r="I577">
        <v>10</v>
      </c>
      <c r="J577" s="2">
        <f ca="1">IFERROR((Tabla3[[#This Row],[Close]]-OFFSET(Tabla3[[#This Row],[Close]],-1,0))/OFFSET(Tabla3[[#This Row],[Close]],-1,0),"")</f>
        <v>-1.8579410346595854E-3</v>
      </c>
      <c r="K577" s="2">
        <f ca="1">IFERROR(AVERAGE(OFFSET(Tabla3[[#This Row],[Close]],-6,0,7)),"")</f>
        <v>1289.8142613002185</v>
      </c>
      <c r="L577" s="2">
        <f ca="1">IFERROR(_xlfn.STDEV.S(OFFSET(Tabla3[[#This Row],[Close]],-29,0,30)),"")</f>
        <v>19.908411514701228</v>
      </c>
    </row>
    <row r="578" spans="1:12" x14ac:dyDescent="0.3">
      <c r="A578" s="1">
        <v>43244</v>
      </c>
      <c r="B578" s="3">
        <f>YEAR(Tabla3[[#This Row],[Date]])</f>
        <v>2018</v>
      </c>
      <c r="C578" s="1" t="str">
        <f>+TEXT(Tabla3[[#This Row],[Date]],"mmm")</f>
        <v>may</v>
      </c>
      <c r="D578" s="2">
        <v>1303.69995117187</v>
      </c>
      <c r="E578" s="2">
        <v>1303.69995117187</v>
      </c>
      <c r="F578" s="2">
        <v>1303.69995117187</v>
      </c>
      <c r="G578" s="2">
        <v>1303.69995117187</v>
      </c>
      <c r="H578" s="2">
        <v>1303.69995117187</v>
      </c>
      <c r="I578">
        <v>0</v>
      </c>
      <c r="J578" s="2">
        <f ca="1">IFERROR((Tabla3[[#This Row],[Close]]-OFFSET(Tabla3[[#This Row],[Close]],-1,0))/OFFSET(Tabla3[[#This Row],[Close]],-1,0),"")</f>
        <v>1.1168775148064613E-2</v>
      </c>
      <c r="K578" s="2">
        <f ca="1">IFERROR(AVERAGE(OFFSET(Tabla3[[#This Row],[Close]],-6,0,7)),"")</f>
        <v>1291.928536551334</v>
      </c>
      <c r="L578" s="2">
        <f ca="1">IFERROR(_xlfn.STDEV.S(OFFSET(Tabla3[[#This Row],[Close]],-29,0,30)),"")</f>
        <v>19.589210460660063</v>
      </c>
    </row>
    <row r="579" spans="1:12" x14ac:dyDescent="0.3">
      <c r="A579" s="1">
        <v>43245</v>
      </c>
      <c r="B579" s="3">
        <f>YEAR(Tabla3[[#This Row],[Date]])</f>
        <v>2018</v>
      </c>
      <c r="C579" s="1" t="str">
        <f>+TEXT(Tabla3[[#This Row],[Date]],"mmm")</f>
        <v>may</v>
      </c>
      <c r="D579" s="2">
        <v>1303.30004882812</v>
      </c>
      <c r="E579" s="2">
        <v>1303.30004882812</v>
      </c>
      <c r="F579" s="2">
        <v>1303.30004882812</v>
      </c>
      <c r="G579" s="2">
        <v>1303.30004882812</v>
      </c>
      <c r="H579" s="2">
        <v>1303.30004882812</v>
      </c>
      <c r="I579">
        <v>1</v>
      </c>
      <c r="J579" s="2">
        <f ca="1">IFERROR((Tabla3[[#This Row],[Close]]-OFFSET(Tabla3[[#This Row],[Close]],-1,0))/OFFSET(Tabla3[[#This Row],[Close]],-1,0),"")</f>
        <v>-3.0674415795638844E-4</v>
      </c>
      <c r="K579" s="2">
        <f ca="1">IFERROR(AVERAGE(OFFSET(Tabla3[[#This Row],[Close]],-6,0,7)),"")</f>
        <v>1293.7999790736555</v>
      </c>
      <c r="L579" s="2">
        <f ca="1">IFERROR(_xlfn.STDEV.S(OFFSET(Tabla3[[#This Row],[Close]],-29,0,30)),"")</f>
        <v>18.879555961032263</v>
      </c>
    </row>
    <row r="580" spans="1:12" x14ac:dyDescent="0.3">
      <c r="A580" s="1">
        <v>43249</v>
      </c>
      <c r="B580" s="3">
        <f>YEAR(Tabla3[[#This Row],[Date]])</f>
        <v>2018</v>
      </c>
      <c r="C580" s="1" t="str">
        <f>+TEXT(Tabla3[[#This Row],[Date]],"mmm")</f>
        <v>may</v>
      </c>
      <c r="D580" s="2">
        <v>1298.69995117187</v>
      </c>
      <c r="E580" s="2">
        <v>1298.69995117187</v>
      </c>
      <c r="F580" s="2">
        <v>1298.69995117187</v>
      </c>
      <c r="G580" s="2">
        <v>1298.69995117187</v>
      </c>
      <c r="H580" s="2">
        <v>1298.69995117187</v>
      </c>
      <c r="I580">
        <v>386334</v>
      </c>
      <c r="J580" s="2">
        <f ca="1">IFERROR((Tabla3[[#This Row],[Close]]-OFFSET(Tabla3[[#This Row],[Close]],-1,0))/OFFSET(Tabla3[[#This Row],[Close]],-1,0),"")</f>
        <v>-3.5295768310499493E-3</v>
      </c>
      <c r="K580" s="2">
        <f ca="1">IFERROR(AVERAGE(OFFSET(Tabla3[[#This Row],[Close]],-6,0,7)),"")</f>
        <v>1295.2999790736555</v>
      </c>
      <c r="L580" s="2">
        <f ca="1">IFERROR(_xlfn.STDEV.S(OFFSET(Tabla3[[#This Row],[Close]],-29,0,30)),"")</f>
        <v>17.957404078545739</v>
      </c>
    </row>
    <row r="581" spans="1:12" x14ac:dyDescent="0.3">
      <c r="A581" s="1">
        <v>43250</v>
      </c>
      <c r="B581" s="3">
        <f>YEAR(Tabla3[[#This Row],[Date]])</f>
        <v>2018</v>
      </c>
      <c r="C581" s="1" t="str">
        <f>+TEXT(Tabla3[[#This Row],[Date]],"mmm")</f>
        <v>may</v>
      </c>
      <c r="D581" s="2">
        <v>1301.5</v>
      </c>
      <c r="E581" s="2">
        <v>1301.5</v>
      </c>
      <c r="F581" s="2">
        <v>1303.69995117187</v>
      </c>
      <c r="G581" s="2">
        <v>1295.19995117187</v>
      </c>
      <c r="H581" s="2">
        <v>1298</v>
      </c>
      <c r="I581">
        <v>50845</v>
      </c>
      <c r="J581" s="2">
        <f ca="1">IFERROR((Tabla3[[#This Row],[Close]]-OFFSET(Tabla3[[#This Row],[Close]],-1,0))/OFFSET(Tabla3[[#This Row],[Close]],-1,0),"")</f>
        <v>2.1560398347619894E-3</v>
      </c>
      <c r="K581" s="2">
        <f ca="1">IFERROR(AVERAGE(OFFSET(Tabla3[[#This Row],[Close]],-6,0,7)),"")</f>
        <v>1296.9142717633883</v>
      </c>
      <c r="L581" s="2">
        <f ca="1">IFERROR(_xlfn.STDEV.S(OFFSET(Tabla3[[#This Row],[Close]],-29,0,30)),"")</f>
        <v>16.785512441429365</v>
      </c>
    </row>
    <row r="582" spans="1:12" x14ac:dyDescent="0.3">
      <c r="A582" s="1">
        <v>43251</v>
      </c>
      <c r="B582" s="3">
        <f>YEAR(Tabla3[[#This Row],[Date]])</f>
        <v>2018</v>
      </c>
      <c r="C582" s="1" t="str">
        <f>+TEXT(Tabla3[[#This Row],[Date]],"mmm")</f>
        <v>may</v>
      </c>
      <c r="D582" s="2">
        <v>1300.09997558593</v>
      </c>
      <c r="E582" s="2">
        <v>1300.09997558593</v>
      </c>
      <c r="F582" s="2">
        <v>1306.80004882812</v>
      </c>
      <c r="G582" s="2">
        <v>1296.59997558593</v>
      </c>
      <c r="H582" s="2">
        <v>1301</v>
      </c>
      <c r="I582">
        <v>4082</v>
      </c>
      <c r="J582" s="2">
        <f ca="1">IFERROR((Tabla3[[#This Row],[Close]]-OFFSET(Tabla3[[#This Row],[Close]],-1,0))/OFFSET(Tabla3[[#This Row],[Close]],-1,0),"")</f>
        <v>-1.0757006639031913E-3</v>
      </c>
      <c r="K582" s="2">
        <f ca="1">IFERROR(AVERAGE(OFFSET(Tabla3[[#This Row],[Close]],-6,0,7)),"")</f>
        <v>1298.3285609653972</v>
      </c>
      <c r="L582" s="2">
        <f ca="1">IFERROR(_xlfn.STDEV.S(OFFSET(Tabla3[[#This Row],[Close]],-29,0,30)),"")</f>
        <v>15.031985115425478</v>
      </c>
    </row>
    <row r="583" spans="1:12" x14ac:dyDescent="0.3">
      <c r="A583" s="1">
        <v>43252</v>
      </c>
      <c r="B583" s="3">
        <f>YEAR(Tabla3[[#This Row],[Date]])</f>
        <v>2018</v>
      </c>
      <c r="C583" s="1" t="str">
        <f>+TEXT(Tabla3[[#This Row],[Date]],"mmm")</f>
        <v>jun</v>
      </c>
      <c r="D583" s="2">
        <v>1294.80004882812</v>
      </c>
      <c r="E583" s="2">
        <v>1294.80004882812</v>
      </c>
      <c r="F583" s="2">
        <v>1299.5</v>
      </c>
      <c r="G583" s="2">
        <v>1288.90002441406</v>
      </c>
      <c r="H583" s="2">
        <v>1298.59997558593</v>
      </c>
      <c r="I583">
        <v>663</v>
      </c>
      <c r="J583" s="2">
        <f ca="1">IFERROR((Tabla3[[#This Row],[Close]]-OFFSET(Tabla3[[#This Row],[Close]],-1,0))/OFFSET(Tabla3[[#This Row],[Close]],-1,0),"")</f>
        <v>-4.076553232316941E-3</v>
      </c>
      <c r="K583" s="2">
        <f ca="1">IFERROR(AVERAGE(OFFSET(Tabla3[[#This Row],[Close]],-6,0,7)),"")</f>
        <v>1298.7714320591472</v>
      </c>
      <c r="L583" s="2">
        <f ca="1">IFERROR(_xlfn.STDEV.S(OFFSET(Tabla3[[#This Row],[Close]],-29,0,30)),"")</f>
        <v>13.431885371450434</v>
      </c>
    </row>
    <row r="584" spans="1:12" x14ac:dyDescent="0.3">
      <c r="A584" s="1">
        <v>43255</v>
      </c>
      <c r="B584" s="3">
        <f>YEAR(Tabla3[[#This Row],[Date]])</f>
        <v>2018</v>
      </c>
      <c r="C584" s="1" t="str">
        <f>+TEXT(Tabla3[[#This Row],[Date]],"mmm")</f>
        <v>jun</v>
      </c>
      <c r="D584" s="2">
        <v>1293.09997558593</v>
      </c>
      <c r="E584" s="2">
        <v>1293.09997558593</v>
      </c>
      <c r="F584" s="2">
        <v>1297.09997558593</v>
      </c>
      <c r="G584" s="2">
        <v>1290</v>
      </c>
      <c r="H584" s="2">
        <v>1293.90002441406</v>
      </c>
      <c r="I584">
        <v>144</v>
      </c>
      <c r="J584" s="2">
        <f ca="1">IFERROR((Tabla3[[#This Row],[Close]]-OFFSET(Tabla3[[#This Row],[Close]],-1,0))/OFFSET(Tabla3[[#This Row],[Close]],-1,0),"")</f>
        <v>-1.3130006009257416E-3</v>
      </c>
      <c r="K584" s="2">
        <f ca="1">IFERROR(AVERAGE(OFFSET(Tabla3[[#This Row],[Close]],-6,0,7)),"")</f>
        <v>1299.3142787388344</v>
      </c>
      <c r="L584" s="2">
        <f ca="1">IFERROR(_xlfn.STDEV.S(OFFSET(Tabla3[[#This Row],[Close]],-29,0,30)),"")</f>
        <v>12.457036588833081</v>
      </c>
    </row>
    <row r="585" spans="1:12" x14ac:dyDescent="0.3">
      <c r="A585" s="1">
        <v>43256</v>
      </c>
      <c r="B585" s="3">
        <f>YEAR(Tabla3[[#This Row],[Date]])</f>
        <v>2018</v>
      </c>
      <c r="C585" s="1" t="str">
        <f>+TEXT(Tabla3[[#This Row],[Date]],"mmm")</f>
        <v>jun</v>
      </c>
      <c r="D585" s="2">
        <v>1297.5</v>
      </c>
      <c r="E585" s="2">
        <v>1297.5</v>
      </c>
      <c r="F585" s="2">
        <v>1299.80004882812</v>
      </c>
      <c r="G585" s="2">
        <v>1289.90002441406</v>
      </c>
      <c r="H585" s="2">
        <v>1292.09997558593</v>
      </c>
      <c r="I585">
        <v>357</v>
      </c>
      <c r="J585" s="2">
        <f ca="1">IFERROR((Tabla3[[#This Row],[Close]]-OFFSET(Tabla3[[#This Row],[Close]],-1,0))/OFFSET(Tabla3[[#This Row],[Close]],-1,0),"")</f>
        <v>3.4026946849769002E-3</v>
      </c>
      <c r="K585" s="2">
        <f ca="1">IFERROR(AVERAGE(OFFSET(Tabla3[[#This Row],[Close]],-6,0,7)),"")</f>
        <v>1298.4285714285672</v>
      </c>
      <c r="L585" s="2">
        <f ca="1">IFERROR(_xlfn.STDEV.S(OFFSET(Tabla3[[#This Row],[Close]],-29,0,30)),"")</f>
        <v>12.13192050229444</v>
      </c>
    </row>
    <row r="586" spans="1:12" x14ac:dyDescent="0.3">
      <c r="A586" s="1">
        <v>43257</v>
      </c>
      <c r="B586" s="3">
        <f>YEAR(Tabla3[[#This Row],[Date]])</f>
        <v>2018</v>
      </c>
      <c r="C586" s="1" t="str">
        <f>+TEXT(Tabla3[[#This Row],[Date]],"mmm")</f>
        <v>jun</v>
      </c>
      <c r="D586" s="2">
        <v>1297.09997558593</v>
      </c>
      <c r="E586" s="2">
        <v>1297.09997558593</v>
      </c>
      <c r="F586" s="2">
        <v>1300.40002441406</v>
      </c>
      <c r="G586" s="2">
        <v>1294.09997558593</v>
      </c>
      <c r="H586" s="2">
        <v>1296.09997558593</v>
      </c>
      <c r="I586">
        <v>373</v>
      </c>
      <c r="J586" s="2">
        <f ca="1">IFERROR((Tabla3[[#This Row],[Close]]-OFFSET(Tabla3[[#This Row],[Close]],-1,0))/OFFSET(Tabla3[[#This Row],[Close]],-1,0),"")</f>
        <v>-3.0830398001541681E-4</v>
      </c>
      <c r="K586" s="2">
        <f ca="1">IFERROR(AVERAGE(OFFSET(Tabla3[[#This Row],[Close]],-6,0,7)),"")</f>
        <v>1297.5428466796827</v>
      </c>
      <c r="L586" s="2">
        <f ca="1">IFERROR(_xlfn.STDEV.S(OFFSET(Tabla3[[#This Row],[Close]],-29,0,30)),"")</f>
        <v>11.127621480400778</v>
      </c>
    </row>
    <row r="587" spans="1:12" x14ac:dyDescent="0.3">
      <c r="A587" s="1">
        <v>43258</v>
      </c>
      <c r="B587" s="3">
        <f>YEAR(Tabla3[[#This Row],[Date]])</f>
        <v>2018</v>
      </c>
      <c r="C587" s="1" t="str">
        <f>+TEXT(Tabla3[[#This Row],[Date]],"mmm")</f>
        <v>jun</v>
      </c>
      <c r="D587" s="2">
        <v>1298.69995117187</v>
      </c>
      <c r="E587" s="2">
        <v>1298.69995117187</v>
      </c>
      <c r="F587" s="2">
        <v>1302.80004882812</v>
      </c>
      <c r="G587" s="2">
        <v>1296.19995117187</v>
      </c>
      <c r="H587" s="2">
        <v>1298.40002441406</v>
      </c>
      <c r="I587">
        <v>79</v>
      </c>
      <c r="J587" s="2">
        <f ca="1">IFERROR((Tabla3[[#This Row],[Close]]-OFFSET(Tabla3[[#This Row],[Close]],-1,0))/OFFSET(Tabla3[[#This Row],[Close]],-1,0),"")</f>
        <v>1.2335021324915646E-3</v>
      </c>
      <c r="K587" s="2">
        <f ca="1">IFERROR(AVERAGE(OFFSET(Tabla3[[#This Row],[Close]],-6,0,7)),"")</f>
        <v>1297.5428466796827</v>
      </c>
      <c r="L587" s="2">
        <f ca="1">IFERROR(_xlfn.STDEV.S(OFFSET(Tabla3[[#This Row],[Close]],-29,0,30)),"")</f>
        <v>10.663216873996857</v>
      </c>
    </row>
    <row r="588" spans="1:12" x14ac:dyDescent="0.3">
      <c r="A588" s="1">
        <v>43259</v>
      </c>
      <c r="B588" s="3">
        <f>YEAR(Tabla3[[#This Row],[Date]])</f>
        <v>2018</v>
      </c>
      <c r="C588" s="1" t="str">
        <f>+TEXT(Tabla3[[#This Row],[Date]],"mmm")</f>
        <v>jun</v>
      </c>
      <c r="D588" s="2">
        <v>1298.09997558593</v>
      </c>
      <c r="E588" s="2">
        <v>1298.09997558593</v>
      </c>
      <c r="F588" s="2">
        <v>1299.40002441406</v>
      </c>
      <c r="G588" s="2">
        <v>1294.80004882812</v>
      </c>
      <c r="H588" s="2">
        <v>1295.30004882812</v>
      </c>
      <c r="I588">
        <v>650</v>
      </c>
      <c r="J588" s="2">
        <f ca="1">IFERROR((Tabla3[[#This Row],[Close]]-OFFSET(Tabla3[[#This Row],[Close]],-1,0))/OFFSET(Tabla3[[#This Row],[Close]],-1,0),"")</f>
        <v>-4.6198168052491158E-4</v>
      </c>
      <c r="K588" s="2">
        <f ca="1">IFERROR(AVERAGE(OFFSET(Tabla3[[#This Row],[Close]],-6,0,7)),"")</f>
        <v>1297.0571289062443</v>
      </c>
      <c r="L588" s="2">
        <f ca="1">IFERROR(_xlfn.STDEV.S(OFFSET(Tabla3[[#This Row],[Close]],-29,0,30)),"")</f>
        <v>10.398010689185828</v>
      </c>
    </row>
    <row r="589" spans="1:12" x14ac:dyDescent="0.3">
      <c r="A589" s="1">
        <v>43262</v>
      </c>
      <c r="B589" s="3">
        <f>YEAR(Tabla3[[#This Row],[Date]])</f>
        <v>2018</v>
      </c>
      <c r="C589" s="1" t="str">
        <f>+TEXT(Tabla3[[#This Row],[Date]],"mmm")</f>
        <v>jun</v>
      </c>
      <c r="D589" s="2">
        <v>1298.90002441406</v>
      </c>
      <c r="E589" s="2">
        <v>1298.90002441406</v>
      </c>
      <c r="F589" s="2">
        <v>1302</v>
      </c>
      <c r="G589" s="2">
        <v>1295.19995117187</v>
      </c>
      <c r="H589" s="2">
        <v>1299.30004882812</v>
      </c>
      <c r="I589">
        <v>71</v>
      </c>
      <c r="J589" s="2">
        <f ca="1">IFERROR((Tabla3[[#This Row],[Close]]-OFFSET(Tabla3[[#This Row],[Close]],-1,0))/OFFSET(Tabla3[[#This Row],[Close]],-1,0),"")</f>
        <v>6.1632296677987392E-4</v>
      </c>
      <c r="K589" s="2">
        <f ca="1">IFERROR(AVERAGE(OFFSET(Tabla3[[#This Row],[Close]],-6,0,7)),"")</f>
        <v>1296.8857073102629</v>
      </c>
      <c r="L589" s="2">
        <f ca="1">IFERROR(_xlfn.STDEV.S(OFFSET(Tabla3[[#This Row],[Close]],-29,0,30)),"")</f>
        <v>9.8506252617060781</v>
      </c>
    </row>
    <row r="590" spans="1:12" x14ac:dyDescent="0.3">
      <c r="A590" s="1">
        <v>43263</v>
      </c>
      <c r="B590" s="3">
        <f>YEAR(Tabla3[[#This Row],[Date]])</f>
        <v>2018</v>
      </c>
      <c r="C590" s="1" t="str">
        <f>+TEXT(Tabla3[[#This Row],[Date]],"mmm")</f>
        <v>jun</v>
      </c>
      <c r="D590" s="2">
        <v>1295.09997558593</v>
      </c>
      <c r="E590" s="2">
        <v>1295.09997558593</v>
      </c>
      <c r="F590" s="2">
        <v>1298.09997558593</v>
      </c>
      <c r="G590" s="2">
        <v>1292.69995117187</v>
      </c>
      <c r="H590" s="2">
        <v>1297.80004882812</v>
      </c>
      <c r="I590">
        <v>153</v>
      </c>
      <c r="J590" s="2">
        <f ca="1">IFERROR((Tabla3[[#This Row],[Close]]-OFFSET(Tabla3[[#This Row],[Close]],-1,0))/OFFSET(Tabla3[[#This Row],[Close]],-1,0),"")</f>
        <v>-2.9255899274035525E-3</v>
      </c>
      <c r="K590" s="2">
        <f ca="1">IFERROR(AVERAGE(OFFSET(Tabla3[[#This Row],[Close]],-6,0,7)),"")</f>
        <v>1296.9285539899499</v>
      </c>
      <c r="L590" s="2">
        <f ca="1">IFERROR(_xlfn.STDEV.S(OFFSET(Tabla3[[#This Row],[Close]],-29,0,30)),"")</f>
        <v>9.5301469260697935</v>
      </c>
    </row>
    <row r="591" spans="1:12" x14ac:dyDescent="0.3">
      <c r="A591" s="1">
        <v>43264</v>
      </c>
      <c r="B591" s="3">
        <f>YEAR(Tabla3[[#This Row],[Date]])</f>
        <v>2018</v>
      </c>
      <c r="C591" s="1" t="str">
        <f>+TEXT(Tabla3[[#This Row],[Date]],"mmm")</f>
        <v>jun</v>
      </c>
      <c r="D591" s="2">
        <v>1296.90002441406</v>
      </c>
      <c r="E591" s="2">
        <v>1296.90002441406</v>
      </c>
      <c r="F591" s="2">
        <v>1299.40002441406</v>
      </c>
      <c r="G591" s="2">
        <v>1290.90002441406</v>
      </c>
      <c r="H591" s="2">
        <v>1294</v>
      </c>
      <c r="I591">
        <v>135</v>
      </c>
      <c r="J591" s="2">
        <f ca="1">IFERROR((Tabla3[[#This Row],[Close]]-OFFSET(Tabla3[[#This Row],[Close]],-1,0))/OFFSET(Tabla3[[#This Row],[Close]],-1,0),"")</f>
        <v>1.3898917937324668E-3</v>
      </c>
      <c r="K591" s="2">
        <f ca="1">IFERROR(AVERAGE(OFFSET(Tabla3[[#This Row],[Close]],-6,0,7)),"")</f>
        <v>1297.4714181082543</v>
      </c>
      <c r="L591" s="2">
        <f ca="1">IFERROR(_xlfn.STDEV.S(OFFSET(Tabla3[[#This Row],[Close]],-29,0,30)),"")</f>
        <v>9.5442412171342284</v>
      </c>
    </row>
    <row r="592" spans="1:12" x14ac:dyDescent="0.3">
      <c r="A592" s="1">
        <v>43265</v>
      </c>
      <c r="B592" s="3">
        <f>YEAR(Tabla3[[#This Row],[Date]])</f>
        <v>2018</v>
      </c>
      <c r="C592" s="1" t="str">
        <f>+TEXT(Tabla3[[#This Row],[Date]],"mmm")</f>
        <v>jun</v>
      </c>
      <c r="D592" s="2">
        <v>1304</v>
      </c>
      <c r="E592" s="2">
        <v>1304</v>
      </c>
      <c r="F592" s="2">
        <v>1307.69995117187</v>
      </c>
      <c r="G592" s="2">
        <v>1297.19995117187</v>
      </c>
      <c r="H592" s="2">
        <v>1297.19995117187</v>
      </c>
      <c r="I592">
        <v>42</v>
      </c>
      <c r="J592" s="2">
        <f ca="1">IFERROR((Tabla3[[#This Row],[Close]]-OFFSET(Tabla3[[#This Row],[Close]],-1,0))/OFFSET(Tabla3[[#This Row],[Close]],-1,0),"")</f>
        <v>5.474574332857903E-3</v>
      </c>
      <c r="K592" s="2">
        <f ca="1">IFERROR(AVERAGE(OFFSET(Tabla3[[#This Row],[Close]],-6,0,7)),"")</f>
        <v>1298.3999895368256</v>
      </c>
      <c r="L592" s="2">
        <f ca="1">IFERROR(_xlfn.STDEV.S(OFFSET(Tabla3[[#This Row],[Close]],-29,0,30)),"")</f>
        <v>9.5567604855606358</v>
      </c>
    </row>
    <row r="593" spans="1:12" x14ac:dyDescent="0.3">
      <c r="A593" s="1">
        <v>43266</v>
      </c>
      <c r="B593" s="3">
        <f>YEAR(Tabla3[[#This Row],[Date]])</f>
        <v>2018</v>
      </c>
      <c r="C593" s="1" t="str">
        <f>+TEXT(Tabla3[[#This Row],[Date]],"mmm")</f>
        <v>jun</v>
      </c>
      <c r="D593" s="2">
        <v>1274.59997558593</v>
      </c>
      <c r="E593" s="2">
        <v>1274.59997558593</v>
      </c>
      <c r="F593" s="2">
        <v>1307.69995117187</v>
      </c>
      <c r="G593" s="2">
        <v>1274</v>
      </c>
      <c r="H593" s="2">
        <v>1297.19995117187</v>
      </c>
      <c r="I593">
        <v>589</v>
      </c>
      <c r="J593" s="2">
        <f ca="1">IFERROR((Tabla3[[#This Row],[Close]]-OFFSET(Tabla3[[#This Row],[Close]],-1,0))/OFFSET(Tabla3[[#This Row],[Close]],-1,0),"")</f>
        <v>-2.2546030992384971E-2</v>
      </c>
      <c r="K593" s="2">
        <f ca="1">IFERROR(AVERAGE(OFFSET(Tabla3[[#This Row],[Close]],-6,0,7)),"")</f>
        <v>1295.1857038225401</v>
      </c>
      <c r="L593" s="2">
        <f ca="1">IFERROR(_xlfn.STDEV.S(OFFSET(Tabla3[[#This Row],[Close]],-29,0,30)),"")</f>
        <v>10.499554897548206</v>
      </c>
    </row>
    <row r="594" spans="1:12" x14ac:dyDescent="0.3">
      <c r="A594" s="1">
        <v>43269</v>
      </c>
      <c r="B594" s="3">
        <f>YEAR(Tabla3[[#This Row],[Date]])</f>
        <v>2018</v>
      </c>
      <c r="C594" s="1" t="str">
        <f>+TEXT(Tabla3[[#This Row],[Date]],"mmm")</f>
        <v>jun</v>
      </c>
      <c r="D594" s="2">
        <v>1276.19995117187</v>
      </c>
      <c r="E594" s="2">
        <v>1276.19995117187</v>
      </c>
      <c r="F594" s="2">
        <v>1280.69995117187</v>
      </c>
      <c r="G594" s="2">
        <v>1276.19995117187</v>
      </c>
      <c r="H594" s="2">
        <v>1280.69995117187</v>
      </c>
      <c r="I594">
        <v>35</v>
      </c>
      <c r="J594" s="2">
        <f ca="1">IFERROR((Tabla3[[#This Row],[Close]]-OFFSET(Tabla3[[#This Row],[Close]],-1,0))/OFFSET(Tabla3[[#This Row],[Close]],-1,0),"")</f>
        <v>1.255276648820346E-3</v>
      </c>
      <c r="K594" s="2">
        <f ca="1">IFERROR(AVERAGE(OFFSET(Tabla3[[#This Row],[Close]],-6,0,7)),"")</f>
        <v>1291.9714181082543</v>
      </c>
      <c r="L594" s="2">
        <f ca="1">IFERROR(_xlfn.STDEV.S(OFFSET(Tabla3[[#This Row],[Close]],-29,0,30)),"")</f>
        <v>11.035501848668842</v>
      </c>
    </row>
    <row r="595" spans="1:12" x14ac:dyDescent="0.3">
      <c r="A595" s="1">
        <v>43270</v>
      </c>
      <c r="B595" s="3">
        <f>YEAR(Tabla3[[#This Row],[Date]])</f>
        <v>2018</v>
      </c>
      <c r="C595" s="1" t="str">
        <f>+TEXT(Tabla3[[#This Row],[Date]],"mmm")</f>
        <v>jun</v>
      </c>
      <c r="D595" s="2">
        <v>1275.59997558593</v>
      </c>
      <c r="E595" s="2">
        <v>1275.59997558593</v>
      </c>
      <c r="F595" s="2">
        <v>1281.80004882812</v>
      </c>
      <c r="G595" s="2">
        <v>1269.90002441406</v>
      </c>
      <c r="H595" s="2">
        <v>1278.69995117187</v>
      </c>
      <c r="I595">
        <v>34</v>
      </c>
      <c r="J595" s="2">
        <f ca="1">IFERROR((Tabla3[[#This Row],[Close]]-OFFSET(Tabla3[[#This Row],[Close]],-1,0))/OFFSET(Tabla3[[#This Row],[Close]],-1,0),"")</f>
        <v>-4.7012663289093049E-4</v>
      </c>
      <c r="K595" s="2">
        <f ca="1">IFERROR(AVERAGE(OFFSET(Tabla3[[#This Row],[Close]],-6,0,7)),"")</f>
        <v>1288.7571323939685</v>
      </c>
      <c r="L595" s="2">
        <f ca="1">IFERROR(_xlfn.STDEV.S(OFFSET(Tabla3[[#This Row],[Close]],-29,0,30)),"")</f>
        <v>11.474692506281642</v>
      </c>
    </row>
    <row r="596" spans="1:12" x14ac:dyDescent="0.3">
      <c r="A596" s="1">
        <v>43271</v>
      </c>
      <c r="B596" s="3">
        <f>YEAR(Tabla3[[#This Row],[Date]])</f>
        <v>2018</v>
      </c>
      <c r="C596" s="1" t="str">
        <f>+TEXT(Tabla3[[#This Row],[Date]],"mmm")</f>
        <v>jun</v>
      </c>
      <c r="D596" s="2">
        <v>1271.19995117187</v>
      </c>
      <c r="E596" s="2">
        <v>1271.19995117187</v>
      </c>
      <c r="F596" s="2">
        <v>1274.40002441406</v>
      </c>
      <c r="G596" s="2">
        <v>1271.19995117187</v>
      </c>
      <c r="H596" s="2">
        <v>1274.40002441406</v>
      </c>
      <c r="I596">
        <v>7</v>
      </c>
      <c r="J596" s="2">
        <f ca="1">IFERROR((Tabla3[[#This Row],[Close]]-OFFSET(Tabla3[[#This Row],[Close]],-1,0))/OFFSET(Tabla3[[#This Row],[Close]],-1,0),"")</f>
        <v>-3.4493763705497923E-3</v>
      </c>
      <c r="K596" s="2">
        <f ca="1">IFERROR(AVERAGE(OFFSET(Tabla3[[#This Row],[Close]],-6,0,7)),"")</f>
        <v>1284.7999790736558</v>
      </c>
      <c r="L596" s="2">
        <f ca="1">IFERROR(_xlfn.STDEV.S(OFFSET(Tabla3[[#This Row],[Close]],-29,0,30)),"")</f>
        <v>12.063633131090883</v>
      </c>
    </row>
    <row r="597" spans="1:12" x14ac:dyDescent="0.3">
      <c r="A597" s="1">
        <v>43272</v>
      </c>
      <c r="B597" s="3">
        <f>YEAR(Tabla3[[#This Row],[Date]])</f>
        <v>2018</v>
      </c>
      <c r="C597" s="1" t="str">
        <f>+TEXT(Tabla3[[#This Row],[Date]],"mmm")</f>
        <v>jun</v>
      </c>
      <c r="D597" s="2">
        <v>1267.19995117187</v>
      </c>
      <c r="E597" s="2">
        <v>1267.19995117187</v>
      </c>
      <c r="F597" s="2">
        <v>1268.90002441406</v>
      </c>
      <c r="G597" s="2">
        <v>1260</v>
      </c>
      <c r="H597" s="2">
        <v>1262.69995117187</v>
      </c>
      <c r="I597">
        <v>46</v>
      </c>
      <c r="J597" s="2">
        <f ca="1">IFERROR((Tabla3[[#This Row],[Close]]-OFFSET(Tabla3[[#This Row],[Close]],-1,0))/OFFSET(Tabla3[[#This Row],[Close]],-1,0),"")</f>
        <v>-3.1466332234457331E-3</v>
      </c>
      <c r="K597" s="2">
        <f ca="1">IFERROR(AVERAGE(OFFSET(Tabla3[[#This Row],[Close]],-6,0,7)),"")</f>
        <v>1280.8142613002185</v>
      </c>
      <c r="L597" s="2">
        <f ca="1">IFERROR(_xlfn.STDEV.S(OFFSET(Tabla3[[#This Row],[Close]],-29,0,30)),"")</f>
        <v>12.7811891435082</v>
      </c>
    </row>
    <row r="598" spans="1:12" x14ac:dyDescent="0.3">
      <c r="A598" s="1">
        <v>43273</v>
      </c>
      <c r="B598" s="3">
        <f>YEAR(Tabla3[[#This Row],[Date]])</f>
        <v>2018</v>
      </c>
      <c r="C598" s="1" t="str">
        <f>+TEXT(Tabla3[[#This Row],[Date]],"mmm")</f>
        <v>jun</v>
      </c>
      <c r="D598" s="2">
        <v>1267.40002441406</v>
      </c>
      <c r="E598" s="2">
        <v>1267.40002441406</v>
      </c>
      <c r="F598" s="2">
        <v>1270.19995117187</v>
      </c>
      <c r="G598" s="2">
        <v>1267</v>
      </c>
      <c r="H598" s="2">
        <v>1268.09997558593</v>
      </c>
      <c r="I598">
        <v>74</v>
      </c>
      <c r="J598" s="2">
        <f ca="1">IFERROR((Tabla3[[#This Row],[Close]]-OFFSET(Tabla3[[#This Row],[Close]],-1,0))/OFFSET(Tabla3[[#This Row],[Close]],-1,0),"")</f>
        <v>1.5788608735738913E-4</v>
      </c>
      <c r="K598" s="2">
        <f ca="1">IFERROR(AVERAGE(OFFSET(Tabla3[[#This Row],[Close]],-6,0,7)),"")</f>
        <v>1276.5999755859327</v>
      </c>
      <c r="L598" s="2">
        <f ca="1">IFERROR(_xlfn.STDEV.S(OFFSET(Tabla3[[#This Row],[Close]],-29,0,30)),"")</f>
        <v>12.692511412515628</v>
      </c>
    </row>
    <row r="599" spans="1:12" x14ac:dyDescent="0.3">
      <c r="A599" s="1">
        <v>43276</v>
      </c>
      <c r="B599" s="3">
        <f>YEAR(Tabla3[[#This Row],[Date]])</f>
        <v>2018</v>
      </c>
      <c r="C599" s="1" t="str">
        <f>+TEXT(Tabla3[[#This Row],[Date]],"mmm")</f>
        <v>jun</v>
      </c>
      <c r="D599" s="2">
        <v>1265.59997558593</v>
      </c>
      <c r="E599" s="2">
        <v>1265.59997558593</v>
      </c>
      <c r="F599" s="2">
        <v>1271.19995117187</v>
      </c>
      <c r="G599" s="2">
        <v>1265.59997558593</v>
      </c>
      <c r="H599" s="2">
        <v>1270.59997558593</v>
      </c>
      <c r="I599">
        <v>37</v>
      </c>
      <c r="J599" s="2">
        <f ca="1">IFERROR((Tabla3[[#This Row],[Close]]-OFFSET(Tabla3[[#This Row],[Close]],-1,0))/OFFSET(Tabla3[[#This Row],[Close]],-1,0),"")</f>
        <v>-1.4202688917906519E-3</v>
      </c>
      <c r="K599" s="2">
        <f ca="1">IFERROR(AVERAGE(OFFSET(Tabla3[[#This Row],[Close]],-6,0,7)),"")</f>
        <v>1271.1142578124941</v>
      </c>
      <c r="L599" s="2">
        <f ca="1">IFERROR(_xlfn.STDEV.S(OFFSET(Tabla3[[#This Row],[Close]],-29,0,30)),"")</f>
        <v>12.606138505620073</v>
      </c>
    </row>
    <row r="600" spans="1:12" x14ac:dyDescent="0.3">
      <c r="A600" s="1">
        <v>43277</v>
      </c>
      <c r="B600" s="3">
        <f>YEAR(Tabla3[[#This Row],[Date]])</f>
        <v>2018</v>
      </c>
      <c r="C600" s="1" t="str">
        <f>+TEXT(Tabla3[[#This Row],[Date]],"mmm")</f>
        <v>jun</v>
      </c>
      <c r="D600" s="2">
        <v>1256.59997558593</v>
      </c>
      <c r="E600" s="2">
        <v>1256.59997558593</v>
      </c>
      <c r="F600" s="2">
        <v>1267.19995117187</v>
      </c>
      <c r="G600" s="2">
        <v>1256.59997558593</v>
      </c>
      <c r="H600" s="2">
        <v>1267.19995117187</v>
      </c>
      <c r="I600">
        <v>89</v>
      </c>
      <c r="J600" s="2">
        <f ca="1">IFERROR((Tabla3[[#This Row],[Close]]-OFFSET(Tabla3[[#This Row],[Close]],-1,0))/OFFSET(Tabla3[[#This Row],[Close]],-1,0),"")</f>
        <v>-7.111251717457804E-3</v>
      </c>
      <c r="K600" s="2">
        <f ca="1">IFERROR(AVERAGE(OFFSET(Tabla3[[#This Row],[Close]],-6,0,7)),"")</f>
        <v>1268.5428292410656</v>
      </c>
      <c r="L600" s="2">
        <f ca="1">IFERROR(_xlfn.STDEV.S(OFFSET(Tabla3[[#This Row],[Close]],-29,0,30)),"")</f>
        <v>13.130739230403504</v>
      </c>
    </row>
    <row r="601" spans="1:12" x14ac:dyDescent="0.3">
      <c r="A601" s="1">
        <v>43278</v>
      </c>
      <c r="B601" s="3">
        <f>YEAR(Tabla3[[#This Row],[Date]])</f>
        <v>2018</v>
      </c>
      <c r="C601" s="1" t="str">
        <f>+TEXT(Tabla3[[#This Row],[Date]],"mmm")</f>
        <v>jun</v>
      </c>
      <c r="D601" s="2">
        <v>1252.80004882812</v>
      </c>
      <c r="E601" s="2">
        <v>1252.80004882812</v>
      </c>
      <c r="F601" s="2">
        <v>1255.5</v>
      </c>
      <c r="G601" s="2">
        <v>1252.30004882812</v>
      </c>
      <c r="H601" s="2">
        <v>1255.5</v>
      </c>
      <c r="I601">
        <v>1162</v>
      </c>
      <c r="J601" s="2">
        <f ca="1">IFERROR((Tabla3[[#This Row],[Close]]-OFFSET(Tabla3[[#This Row],[Close]],-1,0))/OFFSET(Tabla3[[#This Row],[Close]],-1,0),"")</f>
        <v>-3.0239748779544271E-3</v>
      </c>
      <c r="K601" s="2">
        <f ca="1">IFERROR(AVERAGE(OFFSET(Tabla3[[#This Row],[Close]],-6,0,7)),"")</f>
        <v>1265.1999860491014</v>
      </c>
      <c r="L601" s="2">
        <f ca="1">IFERROR(_xlfn.STDEV.S(OFFSET(Tabla3[[#This Row],[Close]],-29,0,30)),"")</f>
        <v>14.685275336344924</v>
      </c>
    </row>
    <row r="602" spans="1:12" x14ac:dyDescent="0.3">
      <c r="A602" s="1">
        <v>43279</v>
      </c>
      <c r="B602" s="3">
        <f>YEAR(Tabla3[[#This Row],[Date]])</f>
        <v>2018</v>
      </c>
      <c r="C602" s="1" t="str">
        <f>+TEXT(Tabla3[[#This Row],[Date]],"mmm")</f>
        <v>jun</v>
      </c>
      <c r="D602" s="2">
        <v>1247.80004882812</v>
      </c>
      <c r="E602" s="2">
        <v>1247.80004882812</v>
      </c>
      <c r="F602" s="2">
        <v>1251.69995117187</v>
      </c>
      <c r="G602" s="2">
        <v>1244.80004882812</v>
      </c>
      <c r="H602" s="2">
        <v>1251.69995117187</v>
      </c>
      <c r="I602">
        <v>378</v>
      </c>
      <c r="J602" s="2">
        <f ca="1">IFERROR((Tabla3[[#This Row],[Close]]-OFFSET(Tabla3[[#This Row],[Close]],-1,0))/OFFSET(Tabla3[[#This Row],[Close]],-1,0),"")</f>
        <v>-3.9910598699904615E-3</v>
      </c>
      <c r="K602" s="2">
        <f ca="1">IFERROR(AVERAGE(OFFSET(Tabla3[[#This Row],[Close]],-6,0,7)),"")</f>
        <v>1261.2285679408428</v>
      </c>
      <c r="L602" s="2">
        <f ca="1">IFERROR(_xlfn.STDEV.S(OFFSET(Tabla3[[#This Row],[Close]],-29,0,30)),"")</f>
        <v>16.371574713289771</v>
      </c>
    </row>
    <row r="603" spans="1:12" x14ac:dyDescent="0.3">
      <c r="A603" s="1">
        <v>43280</v>
      </c>
      <c r="B603" s="3">
        <f>YEAR(Tabla3[[#This Row],[Date]])</f>
        <v>2018</v>
      </c>
      <c r="C603" s="1" t="str">
        <f>+TEXT(Tabla3[[#This Row],[Date]],"mmm")</f>
        <v>jun</v>
      </c>
      <c r="D603" s="2">
        <v>1251.30004882812</v>
      </c>
      <c r="E603" s="2">
        <v>1251.30004882812</v>
      </c>
      <c r="F603" s="2">
        <v>1253.30004882812</v>
      </c>
      <c r="G603" s="2">
        <v>1249.09997558593</v>
      </c>
      <c r="H603" s="2">
        <v>1250.30004882812</v>
      </c>
      <c r="I603">
        <v>48</v>
      </c>
      <c r="J603" s="2">
        <f ca="1">IFERROR((Tabla3[[#This Row],[Close]]-OFFSET(Tabla3[[#This Row],[Close]],-1,0))/OFFSET(Tabla3[[#This Row],[Close]],-1,0),"")</f>
        <v>2.8049365788108834E-3</v>
      </c>
      <c r="K603" s="2">
        <f ca="1">IFERROR(AVERAGE(OFFSET(Tabla3[[#This Row],[Close]],-6,0,7)),"")</f>
        <v>1258.3857247488784</v>
      </c>
      <c r="L603" s="2">
        <f ca="1">IFERROR(_xlfn.STDEV.S(OFFSET(Tabla3[[#This Row],[Close]],-29,0,30)),"")</f>
        <v>17.559446190455414</v>
      </c>
    </row>
    <row r="604" spans="1:12" x14ac:dyDescent="0.3">
      <c r="A604" s="1">
        <v>43283</v>
      </c>
      <c r="B604" s="3">
        <f>YEAR(Tabla3[[#This Row],[Date]])</f>
        <v>2018</v>
      </c>
      <c r="C604" s="1" t="str">
        <f>+TEXT(Tabla3[[#This Row],[Date]],"mmm")</f>
        <v>jul</v>
      </c>
      <c r="D604" s="2">
        <v>1239.80004882812</v>
      </c>
      <c r="E604" s="2">
        <v>1239.80004882812</v>
      </c>
      <c r="F604" s="2">
        <v>1249.90002441406</v>
      </c>
      <c r="G604" s="2">
        <v>1239.80004882812</v>
      </c>
      <c r="H604" s="2">
        <v>1249.90002441406</v>
      </c>
      <c r="I604">
        <v>29</v>
      </c>
      <c r="J604" s="2">
        <f ca="1">IFERROR((Tabla3[[#This Row],[Close]]-OFFSET(Tabla3[[#This Row],[Close]],-1,0))/OFFSET(Tabla3[[#This Row],[Close]],-1,0),"")</f>
        <v>-9.1904415817533891E-3</v>
      </c>
      <c r="K604" s="2">
        <f ca="1">IFERROR(AVERAGE(OFFSET(Tabla3[[#This Row],[Close]],-6,0,7)),"")</f>
        <v>1254.4714529854857</v>
      </c>
      <c r="L604" s="2">
        <f ca="1">IFERROR(_xlfn.STDEV.S(OFFSET(Tabla3[[#This Row],[Close]],-29,0,30)),"")</f>
        <v>19.360754658684471</v>
      </c>
    </row>
    <row r="605" spans="1:12" x14ac:dyDescent="0.3">
      <c r="A605" s="1">
        <v>43284</v>
      </c>
      <c r="B605" s="3">
        <f>YEAR(Tabla3[[#This Row],[Date]])</f>
        <v>2018</v>
      </c>
      <c r="C605" s="1" t="str">
        <f>+TEXT(Tabla3[[#This Row],[Date]],"mmm")</f>
        <v>jul</v>
      </c>
      <c r="D605" s="2">
        <v>1251.59997558593</v>
      </c>
      <c r="E605" s="2">
        <v>1251.59997558593</v>
      </c>
      <c r="F605" s="2">
        <v>1254.09997558593</v>
      </c>
      <c r="G605" s="2">
        <v>1237</v>
      </c>
      <c r="H605" s="2">
        <v>1238.09997558593</v>
      </c>
      <c r="I605">
        <v>36</v>
      </c>
      <c r="J605" s="2">
        <f ca="1">IFERROR((Tabla3[[#This Row],[Close]]-OFFSET(Tabla3[[#This Row],[Close]],-1,0))/OFFSET(Tabla3[[#This Row],[Close]],-1,0),"")</f>
        <v>9.5176046887266129E-3</v>
      </c>
      <c r="K605" s="2">
        <f ca="1">IFERROR(AVERAGE(OFFSET(Tabla3[[#This Row],[Close]],-6,0,7)),"")</f>
        <v>1252.2143031528956</v>
      </c>
      <c r="L605" s="2">
        <f ca="1">IFERROR(_xlfn.STDEV.S(OFFSET(Tabla3[[#This Row],[Close]],-29,0,30)),"")</f>
        <v>20.152374370149097</v>
      </c>
    </row>
    <row r="606" spans="1:12" x14ac:dyDescent="0.3">
      <c r="A606" s="1">
        <v>43286</v>
      </c>
      <c r="B606" s="3">
        <f>YEAR(Tabla3[[#This Row],[Date]])</f>
        <v>2018</v>
      </c>
      <c r="C606" s="1" t="str">
        <f>+TEXT(Tabla3[[#This Row],[Date]],"mmm")</f>
        <v>jul</v>
      </c>
      <c r="D606" s="2">
        <v>1257.30004882812</v>
      </c>
      <c r="E606" s="2">
        <v>1257.30004882812</v>
      </c>
      <c r="F606" s="2">
        <v>1257.30004882812</v>
      </c>
      <c r="G606" s="2">
        <v>1253.59997558593</v>
      </c>
      <c r="H606" s="2">
        <v>1255.5</v>
      </c>
      <c r="I606">
        <v>9</v>
      </c>
      <c r="J606" s="2">
        <f ca="1">IFERROR((Tabla3[[#This Row],[Close]]-OFFSET(Tabla3[[#This Row],[Close]],-1,0))/OFFSET(Tabla3[[#This Row],[Close]],-1,0),"")</f>
        <v>4.554229269237195E-3</v>
      </c>
      <c r="K606" s="2">
        <f ca="1">IFERROR(AVERAGE(OFFSET(Tabla3[[#This Row],[Close]],-6,0,7)),"")</f>
        <v>1251.0285993303514</v>
      </c>
      <c r="L606" s="2">
        <f ca="1">IFERROR(_xlfn.STDEV.S(OFFSET(Tabla3[[#This Row],[Close]],-29,0,30)),"")</f>
        <v>20.556431403287743</v>
      </c>
    </row>
    <row r="607" spans="1:12" x14ac:dyDescent="0.3">
      <c r="A607" s="1">
        <v>43287</v>
      </c>
      <c r="B607" s="3">
        <f>YEAR(Tabla3[[#This Row],[Date]])</f>
        <v>2018</v>
      </c>
      <c r="C607" s="1" t="str">
        <f>+TEXT(Tabla3[[#This Row],[Date]],"mmm")</f>
        <v>jul</v>
      </c>
      <c r="D607" s="2">
        <v>1254.30004882812</v>
      </c>
      <c r="E607" s="2">
        <v>1254.30004882812</v>
      </c>
      <c r="F607" s="2">
        <v>1255.5</v>
      </c>
      <c r="G607" s="2">
        <v>1254.30004882812</v>
      </c>
      <c r="H607" s="2">
        <v>1255.5</v>
      </c>
      <c r="I607">
        <v>7</v>
      </c>
      <c r="J607" s="2">
        <f ca="1">IFERROR((Tabla3[[#This Row],[Close]]-OFFSET(Tabla3[[#This Row],[Close]],-1,0))/OFFSET(Tabla3[[#This Row],[Close]],-1,0),"")</f>
        <v>-2.3860652855268575E-3</v>
      </c>
      <c r="K607" s="2">
        <f ca="1">IFERROR(AVERAGE(OFFSET(Tabla3[[#This Row],[Close]],-6,0,7)),"")</f>
        <v>1250.7000383649499</v>
      </c>
      <c r="L607" s="2">
        <f ca="1">IFERROR(_xlfn.STDEV.S(OFFSET(Tabla3[[#This Row],[Close]],-29,0,30)),"")</f>
        <v>21.048222438587619</v>
      </c>
    </row>
    <row r="608" spans="1:12" x14ac:dyDescent="0.3">
      <c r="A608" s="1">
        <v>43290</v>
      </c>
      <c r="B608" s="3">
        <f>YEAR(Tabla3[[#This Row],[Date]])</f>
        <v>2018</v>
      </c>
      <c r="C608" s="1" t="str">
        <f>+TEXT(Tabla3[[#This Row],[Date]],"mmm")</f>
        <v>jul</v>
      </c>
      <c r="D608" s="2">
        <v>1258.09997558593</v>
      </c>
      <c r="E608" s="2">
        <v>1258.09997558593</v>
      </c>
      <c r="F608" s="2">
        <v>1262.30004882812</v>
      </c>
      <c r="G608" s="2">
        <v>1257.69995117187</v>
      </c>
      <c r="H608" s="2">
        <v>1258.19995117187</v>
      </c>
      <c r="I608">
        <v>37</v>
      </c>
      <c r="J608" s="2">
        <f ca="1">IFERROR((Tabla3[[#This Row],[Close]]-OFFSET(Tabla3[[#This Row],[Close]],-1,0))/OFFSET(Tabla3[[#This Row],[Close]],-1,0),"")</f>
        <v>3.0295197400017904E-3</v>
      </c>
      <c r="K608" s="2">
        <f ca="1">IFERROR(AVERAGE(OFFSET(Tabla3[[#This Row],[Close]],-6,0,7)),"")</f>
        <v>1251.4571707589228</v>
      </c>
      <c r="L608" s="2">
        <f ca="1">IFERROR(_xlfn.STDEV.S(OFFSET(Tabla3[[#This Row],[Close]],-29,0,30)),"")</f>
        <v>20.900788318103977</v>
      </c>
    </row>
    <row r="609" spans="1:12" x14ac:dyDescent="0.3">
      <c r="A609" s="1">
        <v>43291</v>
      </c>
      <c r="B609" s="3">
        <f>YEAR(Tabla3[[#This Row],[Date]])</f>
        <v>2018</v>
      </c>
      <c r="C609" s="1" t="str">
        <f>+TEXT(Tabla3[[#This Row],[Date]],"mmm")</f>
        <v>jul</v>
      </c>
      <c r="D609" s="2">
        <v>1253.80004882812</v>
      </c>
      <c r="E609" s="2">
        <v>1253.80004882812</v>
      </c>
      <c r="F609" s="2">
        <v>1256.90002441406</v>
      </c>
      <c r="G609" s="2">
        <v>1249.30004882812</v>
      </c>
      <c r="H609" s="2">
        <v>1256.19995117187</v>
      </c>
      <c r="I609">
        <v>65</v>
      </c>
      <c r="J609" s="2">
        <f ca="1">IFERROR((Tabla3[[#This Row],[Close]]-OFFSET(Tabla3[[#This Row],[Close]],-1,0))/OFFSET(Tabla3[[#This Row],[Close]],-1,0),"")</f>
        <v>-3.417794166800942E-3</v>
      </c>
      <c r="K609" s="2">
        <f ca="1">IFERROR(AVERAGE(OFFSET(Tabla3[[#This Row],[Close]],-6,0,7)),"")</f>
        <v>1252.3143136160656</v>
      </c>
      <c r="L609" s="2">
        <f ca="1">IFERROR(_xlfn.STDEV.S(OFFSET(Tabla3[[#This Row],[Close]],-29,0,30)),"")</f>
        <v>20.802416655125928</v>
      </c>
    </row>
    <row r="610" spans="1:12" x14ac:dyDescent="0.3">
      <c r="A610" s="1">
        <v>43292</v>
      </c>
      <c r="B610" s="3">
        <f>YEAR(Tabla3[[#This Row],[Date]])</f>
        <v>2018</v>
      </c>
      <c r="C610" s="1" t="str">
        <f>+TEXT(Tabla3[[#This Row],[Date]],"mmm")</f>
        <v>jul</v>
      </c>
      <c r="D610" s="2">
        <v>1242.80004882812</v>
      </c>
      <c r="E610" s="2">
        <v>1242.80004882812</v>
      </c>
      <c r="F610" s="2">
        <v>1253.19995117187</v>
      </c>
      <c r="G610" s="2">
        <v>1242.80004882812</v>
      </c>
      <c r="H610" s="2">
        <v>1253.19995117187</v>
      </c>
      <c r="I610">
        <v>30</v>
      </c>
      <c r="J610" s="2">
        <f ca="1">IFERROR((Tabla3[[#This Row],[Close]]-OFFSET(Tabla3[[#This Row],[Close]],-1,0))/OFFSET(Tabla3[[#This Row],[Close]],-1,0),"")</f>
        <v>-8.773328737928578E-3</v>
      </c>
      <c r="K610" s="2">
        <f ca="1">IFERROR(AVERAGE(OFFSET(Tabla3[[#This Row],[Close]],-6,0,7)),"")</f>
        <v>1251.1000279017801</v>
      </c>
      <c r="L610" s="2">
        <f ca="1">IFERROR(_xlfn.STDEV.S(OFFSET(Tabla3[[#This Row],[Close]],-29,0,30)),"")</f>
        <v>21.246316524408819</v>
      </c>
    </row>
    <row r="611" spans="1:12" x14ac:dyDescent="0.3">
      <c r="A611" s="1">
        <v>43293</v>
      </c>
      <c r="B611" s="3">
        <f>YEAR(Tabla3[[#This Row],[Date]])</f>
        <v>2018</v>
      </c>
      <c r="C611" s="1" t="str">
        <f>+TEXT(Tabla3[[#This Row],[Date]],"mmm")</f>
        <v>jul</v>
      </c>
      <c r="D611" s="2">
        <v>1245</v>
      </c>
      <c r="E611" s="2">
        <v>1245</v>
      </c>
      <c r="F611" s="2">
        <v>1246.69995117187</v>
      </c>
      <c r="G611" s="2">
        <v>1240.90002441406</v>
      </c>
      <c r="H611" s="2">
        <v>1240.90002441406</v>
      </c>
      <c r="I611">
        <v>7</v>
      </c>
      <c r="J611" s="2">
        <f ca="1">IFERROR((Tabla3[[#This Row],[Close]]-OFFSET(Tabla3[[#This Row],[Close]],-1,0))/OFFSET(Tabla3[[#This Row],[Close]],-1,0),"")</f>
        <v>1.7701569725189614E-3</v>
      </c>
      <c r="K611" s="2">
        <f ca="1">IFERROR(AVERAGE(OFFSET(Tabla3[[#This Row],[Close]],-6,0,7)),"")</f>
        <v>1251.8428780691913</v>
      </c>
      <c r="L611" s="2">
        <f ca="1">IFERROR(_xlfn.STDEV.S(OFFSET(Tabla3[[#This Row],[Close]],-29,0,30)),"")</f>
        <v>21.289219273023196</v>
      </c>
    </row>
    <row r="612" spans="1:12" x14ac:dyDescent="0.3">
      <c r="A612" s="1">
        <v>43294</v>
      </c>
      <c r="B612" s="3">
        <f>YEAR(Tabla3[[#This Row],[Date]])</f>
        <v>2018</v>
      </c>
      <c r="C612" s="1" t="str">
        <f>+TEXT(Tabla3[[#This Row],[Date]],"mmm")</f>
        <v>jul</v>
      </c>
      <c r="D612" s="2">
        <v>1239.59997558593</v>
      </c>
      <c r="E612" s="2">
        <v>1239.59997558593</v>
      </c>
      <c r="F612" s="2">
        <v>1247</v>
      </c>
      <c r="G612" s="2">
        <v>1239.59997558593</v>
      </c>
      <c r="H612" s="2">
        <v>1244.69995117187</v>
      </c>
      <c r="I612">
        <v>2</v>
      </c>
      <c r="J612" s="2">
        <f ca="1">IFERROR((Tabla3[[#This Row],[Close]]-OFFSET(Tabla3[[#This Row],[Close]],-1,0))/OFFSET(Tabla3[[#This Row],[Close]],-1,0),"")</f>
        <v>-4.3373690072851436E-3</v>
      </c>
      <c r="K612" s="2">
        <f ca="1">IFERROR(AVERAGE(OFFSET(Tabla3[[#This Row],[Close]],-6,0,7)),"")</f>
        <v>1250.1285923549058</v>
      </c>
      <c r="L612" s="2">
        <f ca="1">IFERROR(_xlfn.STDEV.S(OFFSET(Tabla3[[#This Row],[Close]],-29,0,30)),"")</f>
        <v>21.476383456514533</v>
      </c>
    </row>
    <row r="613" spans="1:12" x14ac:dyDescent="0.3">
      <c r="A613" s="1">
        <v>43297</v>
      </c>
      <c r="B613" s="3">
        <f>YEAR(Tabla3[[#This Row],[Date]])</f>
        <v>2018</v>
      </c>
      <c r="C613" s="1" t="str">
        <f>+TEXT(Tabla3[[#This Row],[Date]],"mmm")</f>
        <v>jul</v>
      </c>
      <c r="D613" s="2">
        <v>1238.09997558593</v>
      </c>
      <c r="E613" s="2">
        <v>1238.09997558593</v>
      </c>
      <c r="F613" s="2">
        <v>1243.80004882812</v>
      </c>
      <c r="G613" s="2">
        <v>1238.09997558593</v>
      </c>
      <c r="H613" s="2">
        <v>1242.69995117187</v>
      </c>
      <c r="I613">
        <v>2</v>
      </c>
      <c r="J613" s="2">
        <f ca="1">IFERROR((Tabla3[[#This Row],[Close]]-OFFSET(Tabla3[[#This Row],[Close]],-1,0))/OFFSET(Tabla3[[#This Row],[Close]],-1,0),"")</f>
        <v>-1.210067787627202E-3</v>
      </c>
      <c r="K613" s="2">
        <f ca="1">IFERROR(AVERAGE(OFFSET(Tabla3[[#This Row],[Close]],-6,0,7)),"")</f>
        <v>1247.3857247488784</v>
      </c>
      <c r="L613" s="2">
        <f ca="1">IFERROR(_xlfn.STDEV.S(OFFSET(Tabla3[[#This Row],[Close]],-29,0,30)),"")</f>
        <v>21.780572250762479</v>
      </c>
    </row>
    <row r="614" spans="1:12" x14ac:dyDescent="0.3">
      <c r="A614" s="1">
        <v>43298</v>
      </c>
      <c r="B614" s="3">
        <f>YEAR(Tabla3[[#This Row],[Date]])</f>
        <v>2018</v>
      </c>
      <c r="C614" s="1" t="str">
        <f>+TEXT(Tabla3[[#This Row],[Date]],"mmm")</f>
        <v>jul</v>
      </c>
      <c r="D614" s="2">
        <v>1225.69995117187</v>
      </c>
      <c r="E614" s="2">
        <v>1225.69995117187</v>
      </c>
      <c r="F614" s="2">
        <v>1225.69995117187</v>
      </c>
      <c r="G614" s="2">
        <v>1225.69995117187</v>
      </c>
      <c r="H614" s="2">
        <v>1225.69995117187</v>
      </c>
      <c r="I614">
        <v>0</v>
      </c>
      <c r="J614" s="2">
        <f ca="1">IFERROR((Tabla3[[#This Row],[Close]]-OFFSET(Tabla3[[#This Row],[Close]],-1,0))/OFFSET(Tabla3[[#This Row],[Close]],-1,0),"")</f>
        <v>-1.001536601128814E-2</v>
      </c>
      <c r="K614" s="2">
        <f ca="1">IFERROR(AVERAGE(OFFSET(Tabla3[[#This Row],[Close]],-6,0,7)),"")</f>
        <v>1243.2999965122713</v>
      </c>
      <c r="L614" s="2">
        <f ca="1">IFERROR(_xlfn.STDEV.S(OFFSET(Tabla3[[#This Row],[Close]],-29,0,30)),"")</f>
        <v>22.653721887814619</v>
      </c>
    </row>
    <row r="615" spans="1:12" x14ac:dyDescent="0.3">
      <c r="A615" s="1">
        <v>43299</v>
      </c>
      <c r="B615" s="3">
        <f>YEAR(Tabla3[[#This Row],[Date]])</f>
        <v>2018</v>
      </c>
      <c r="C615" s="1" t="str">
        <f>+TEXT(Tabla3[[#This Row],[Date]],"mmm")</f>
        <v>jul</v>
      </c>
      <c r="D615" s="2">
        <v>1226.30004882812</v>
      </c>
      <c r="E615" s="2">
        <v>1226.30004882812</v>
      </c>
      <c r="F615" s="2">
        <v>1226.69995117187</v>
      </c>
      <c r="G615" s="2">
        <v>1222.19995117187</v>
      </c>
      <c r="H615" s="2">
        <v>1226.69995117187</v>
      </c>
      <c r="I615">
        <v>67</v>
      </c>
      <c r="J615" s="2">
        <f ca="1">IFERROR((Tabla3[[#This Row],[Close]]-OFFSET(Tabla3[[#This Row],[Close]],-1,0))/OFFSET(Tabla3[[#This Row],[Close]],-1,0),"")</f>
        <v>4.8959588819127986E-4</v>
      </c>
      <c r="K615" s="2">
        <f ca="1">IFERROR(AVERAGE(OFFSET(Tabla3[[#This Row],[Close]],-6,0,7)),"")</f>
        <v>1238.7571498325844</v>
      </c>
      <c r="L615" s="2">
        <f ca="1">IFERROR(_xlfn.STDEV.S(OFFSET(Tabla3[[#This Row],[Close]],-29,0,30)),"")</f>
        <v>23.033828002679019</v>
      </c>
    </row>
    <row r="616" spans="1:12" x14ac:dyDescent="0.3">
      <c r="A616" s="1">
        <v>43300</v>
      </c>
      <c r="B616" s="3">
        <f>YEAR(Tabla3[[#This Row],[Date]])</f>
        <v>2018</v>
      </c>
      <c r="C616" s="1" t="str">
        <f>+TEXT(Tabla3[[#This Row],[Date]],"mmm")</f>
        <v>jul</v>
      </c>
      <c r="D616" s="2">
        <v>1222.40002441406</v>
      </c>
      <c r="E616" s="2">
        <v>1222.40002441406</v>
      </c>
      <c r="F616" s="2">
        <v>1228</v>
      </c>
      <c r="G616" s="2">
        <v>1211.69995117187</v>
      </c>
      <c r="H616" s="2">
        <v>1227.19995117187</v>
      </c>
      <c r="I616">
        <v>33</v>
      </c>
      <c r="J616" s="2">
        <f ca="1">IFERROR((Tabla3[[#This Row],[Close]]-OFFSET(Tabla3[[#This Row],[Close]],-1,0))/OFFSET(Tabla3[[#This Row],[Close]],-1,0),"")</f>
        <v>-3.1803182408636044E-3</v>
      </c>
      <c r="K616" s="2">
        <f ca="1">IFERROR(AVERAGE(OFFSET(Tabla3[[#This Row],[Close]],-6,0,7)),"")</f>
        <v>1234.2714320591472</v>
      </c>
      <c r="L616" s="2">
        <f ca="1">IFERROR(_xlfn.STDEV.S(OFFSET(Tabla3[[#This Row],[Close]],-29,0,30)),"")</f>
        <v>23.395001341256041</v>
      </c>
    </row>
    <row r="617" spans="1:12" x14ac:dyDescent="0.3">
      <c r="A617" s="1">
        <v>43301</v>
      </c>
      <c r="B617" s="3">
        <f>YEAR(Tabla3[[#This Row],[Date]])</f>
        <v>2018</v>
      </c>
      <c r="C617" s="1" t="str">
        <f>+TEXT(Tabla3[[#This Row],[Date]],"mmm")</f>
        <v>jul</v>
      </c>
      <c r="D617" s="2">
        <v>1229.5</v>
      </c>
      <c r="E617" s="2">
        <v>1229.5</v>
      </c>
      <c r="F617" s="2">
        <v>1229.5</v>
      </c>
      <c r="G617" s="2">
        <v>1229.5</v>
      </c>
      <c r="H617" s="2">
        <v>1229.5</v>
      </c>
      <c r="I617">
        <v>0</v>
      </c>
      <c r="J617" s="2">
        <f ca="1">IFERROR((Tabla3[[#This Row],[Close]]-OFFSET(Tabla3[[#This Row],[Close]],-1,0))/OFFSET(Tabla3[[#This Row],[Close]],-1,0),"")</f>
        <v>5.8082259850602289E-3</v>
      </c>
      <c r="K617" s="2">
        <f ca="1">IFERROR(AVERAGE(OFFSET(Tabla3[[#This Row],[Close]],-6,0,7)),"")</f>
        <v>1232.3714250837013</v>
      </c>
      <c r="L617" s="2">
        <f ca="1">IFERROR(_xlfn.STDEV.S(OFFSET(Tabla3[[#This Row],[Close]],-29,0,30)),"")</f>
        <v>23.035941385201113</v>
      </c>
    </row>
    <row r="618" spans="1:12" x14ac:dyDescent="0.3">
      <c r="A618" s="1">
        <v>43304</v>
      </c>
      <c r="B618" s="3">
        <f>YEAR(Tabla3[[#This Row],[Date]])</f>
        <v>2018</v>
      </c>
      <c r="C618" s="1" t="str">
        <f>+TEXT(Tabla3[[#This Row],[Date]],"mmm")</f>
        <v>jul</v>
      </c>
      <c r="D618" s="2">
        <v>1224</v>
      </c>
      <c r="E618" s="2">
        <v>1224</v>
      </c>
      <c r="F618" s="2">
        <v>1224</v>
      </c>
      <c r="G618" s="2">
        <v>1222</v>
      </c>
      <c r="H618" s="2">
        <v>1222</v>
      </c>
      <c r="I618">
        <v>1</v>
      </c>
      <c r="J618" s="2">
        <f ca="1">IFERROR((Tabla3[[#This Row],[Close]]-OFFSET(Tabla3[[#This Row],[Close]],-1,0))/OFFSET(Tabla3[[#This Row],[Close]],-1,0),"")</f>
        <v>-4.4733631557543714E-3</v>
      </c>
      <c r="K618" s="2">
        <f ca="1">IFERROR(AVERAGE(OFFSET(Tabla3[[#This Row],[Close]],-6,0,7)),"")</f>
        <v>1229.3714250837013</v>
      </c>
      <c r="L618" s="2">
        <f ca="1">IFERROR(_xlfn.STDEV.S(OFFSET(Tabla3[[#This Row],[Close]],-29,0,30)),"")</f>
        <v>22.719680637356689</v>
      </c>
    </row>
    <row r="619" spans="1:12" x14ac:dyDescent="0.3">
      <c r="A619" s="1">
        <v>43305</v>
      </c>
      <c r="B619" s="3">
        <f>YEAR(Tabla3[[#This Row],[Date]])</f>
        <v>2018</v>
      </c>
      <c r="C619" s="1" t="str">
        <f>+TEXT(Tabla3[[#This Row],[Date]],"mmm")</f>
        <v>jul</v>
      </c>
      <c r="D619" s="2">
        <v>1223.90002441406</v>
      </c>
      <c r="E619" s="2">
        <v>1223.90002441406</v>
      </c>
      <c r="F619" s="2">
        <v>1223.90002441406</v>
      </c>
      <c r="G619" s="2">
        <v>1223.90002441406</v>
      </c>
      <c r="H619" s="2">
        <v>1223.90002441406</v>
      </c>
      <c r="I619">
        <v>0</v>
      </c>
      <c r="J619" s="2">
        <f ca="1">IFERROR((Tabla3[[#This Row],[Close]]-OFFSET(Tabla3[[#This Row],[Close]],-1,0))/OFFSET(Tabla3[[#This Row],[Close]],-1,0),"")</f>
        <v>-8.1679400277778684E-5</v>
      </c>
      <c r="K619" s="2">
        <f ca="1">IFERROR(AVERAGE(OFFSET(Tabla3[[#This Row],[Close]],-6,0,7)),"")</f>
        <v>1227.1285749162914</v>
      </c>
      <c r="L619" s="2">
        <f ca="1">IFERROR(_xlfn.STDEV.S(OFFSET(Tabla3[[#This Row],[Close]],-29,0,30)),"")</f>
        <v>22.065208773153604</v>
      </c>
    </row>
    <row r="620" spans="1:12" x14ac:dyDescent="0.3">
      <c r="A620" s="1">
        <v>43306</v>
      </c>
      <c r="B620" s="3">
        <f>YEAR(Tabla3[[#This Row],[Date]])</f>
        <v>2018</v>
      </c>
      <c r="C620" s="1" t="str">
        <f>+TEXT(Tabla3[[#This Row],[Date]],"mmm")</f>
        <v>jul</v>
      </c>
      <c r="D620" s="2">
        <v>1231.40002441406</v>
      </c>
      <c r="E620" s="2">
        <v>1231.40002441406</v>
      </c>
      <c r="F620" s="2">
        <v>1231.40002441406</v>
      </c>
      <c r="G620" s="2">
        <v>1231.40002441406</v>
      </c>
      <c r="H620" s="2">
        <v>1231.40002441406</v>
      </c>
      <c r="I620">
        <v>0</v>
      </c>
      <c r="J620" s="2">
        <f ca="1">IFERROR((Tabla3[[#This Row],[Close]]-OFFSET(Tabla3[[#This Row],[Close]],-1,0))/OFFSET(Tabla3[[#This Row],[Close]],-1,0),"")</f>
        <v>6.1279515077962447E-3</v>
      </c>
      <c r="K620" s="2">
        <f ca="1">IFERROR(AVERAGE(OFFSET(Tabla3[[#This Row],[Close]],-6,0,7)),"")</f>
        <v>1226.1714390345956</v>
      </c>
      <c r="L620" s="2">
        <f ca="1">IFERROR(_xlfn.STDEV.S(OFFSET(Tabla3[[#This Row],[Close]],-29,0,30)),"")</f>
        <v>21.064107094594849</v>
      </c>
    </row>
    <row r="621" spans="1:12" x14ac:dyDescent="0.3">
      <c r="A621" s="1">
        <v>43307</v>
      </c>
      <c r="B621" s="3">
        <f>YEAR(Tabla3[[#This Row],[Date]])</f>
        <v>2018</v>
      </c>
      <c r="C621" s="1" t="str">
        <f>+TEXT(Tabla3[[#This Row],[Date]],"mmm")</f>
        <v>jul</v>
      </c>
      <c r="D621" s="2">
        <v>1225.30004882812</v>
      </c>
      <c r="E621" s="2">
        <v>1225.30004882812</v>
      </c>
      <c r="F621" s="2">
        <v>1227.80004882812</v>
      </c>
      <c r="G621" s="2">
        <v>1225.30004882812</v>
      </c>
      <c r="H621" s="2">
        <v>1227.80004882812</v>
      </c>
      <c r="I621">
        <v>1</v>
      </c>
      <c r="J621" s="2">
        <f ca="1">IFERROR((Tabla3[[#This Row],[Close]]-OFFSET(Tabla3[[#This Row],[Close]],-1,0))/OFFSET(Tabla3[[#This Row],[Close]],-1,0),"")</f>
        <v>-4.9536912985222387E-3</v>
      </c>
      <c r="K621" s="2">
        <f ca="1">IFERROR(AVERAGE(OFFSET(Tabla3[[#This Row],[Close]],-6,0,7)),"")</f>
        <v>1226.1143101283456</v>
      </c>
      <c r="L621" s="2">
        <f ca="1">IFERROR(_xlfn.STDEV.S(OFFSET(Tabla3[[#This Row],[Close]],-29,0,30)),"")</f>
        <v>19.865708111754223</v>
      </c>
    </row>
    <row r="622" spans="1:12" x14ac:dyDescent="0.3">
      <c r="A622" s="1">
        <v>43308</v>
      </c>
      <c r="B622" s="3">
        <f>YEAR(Tabla3[[#This Row],[Date]])</f>
        <v>2018</v>
      </c>
      <c r="C622" s="1" t="str">
        <f>+TEXT(Tabla3[[#This Row],[Date]],"mmm")</f>
        <v>jul</v>
      </c>
      <c r="D622" s="2">
        <v>1222.59997558593</v>
      </c>
      <c r="E622" s="2">
        <v>1222.59997558593</v>
      </c>
      <c r="F622" s="2">
        <v>1222.59997558593</v>
      </c>
      <c r="G622" s="2">
        <v>1222.59997558593</v>
      </c>
      <c r="H622" s="2">
        <v>1222.59997558593</v>
      </c>
      <c r="I622">
        <v>254428</v>
      </c>
      <c r="J622" s="2">
        <f ca="1">IFERROR((Tabla3[[#This Row],[Close]]-OFFSET(Tabla3[[#This Row],[Close]],-1,0))/OFFSET(Tabla3[[#This Row],[Close]],-1,0),"")</f>
        <v>-2.2036016768075361E-3</v>
      </c>
      <c r="K622" s="2">
        <f ca="1">IFERROR(AVERAGE(OFFSET(Tabla3[[#This Row],[Close]],-6,0,7)),"")</f>
        <v>1225.5857282366044</v>
      </c>
      <c r="L622" s="2">
        <f ca="1">IFERROR(_xlfn.STDEV.S(OFFSET(Tabla3[[#This Row],[Close]],-29,0,30)),"")</f>
        <v>17.669670100146515</v>
      </c>
    </row>
    <row r="623" spans="1:12" x14ac:dyDescent="0.3">
      <c r="A623" s="1">
        <v>43311</v>
      </c>
      <c r="B623" s="3">
        <f>YEAR(Tabla3[[#This Row],[Date]])</f>
        <v>2018</v>
      </c>
      <c r="C623" s="1" t="str">
        <f>+TEXT(Tabla3[[#This Row],[Date]],"mmm")</f>
        <v>jul</v>
      </c>
      <c r="D623" s="2">
        <v>1221.30004882812</v>
      </c>
      <c r="E623" s="2">
        <v>1221.30004882812</v>
      </c>
      <c r="F623" s="2">
        <v>1223.90002441406</v>
      </c>
      <c r="G623" s="2">
        <v>1218.09997558593</v>
      </c>
      <c r="H623" s="2">
        <v>1222.5</v>
      </c>
      <c r="I623">
        <v>62239</v>
      </c>
      <c r="J623" s="2">
        <f ca="1">IFERROR((Tabla3[[#This Row],[Close]]-OFFSET(Tabla3[[#This Row],[Close]],-1,0))/OFFSET(Tabla3[[#This Row],[Close]],-1,0),"")</f>
        <v>-1.0632478192116846E-3</v>
      </c>
      <c r="K623" s="2">
        <f ca="1">IFERROR(AVERAGE(OFFSET(Tabla3[[#This Row],[Close]],-6,0,7)),"")</f>
        <v>1225.4285888671841</v>
      </c>
      <c r="L623" s="2">
        <f ca="1">IFERROR(_xlfn.STDEV.S(OFFSET(Tabla3[[#This Row],[Close]],-29,0,30)),"")</f>
        <v>17.504727771206746</v>
      </c>
    </row>
    <row r="624" spans="1:12" x14ac:dyDescent="0.3">
      <c r="A624" s="1">
        <v>43312</v>
      </c>
      <c r="B624" s="3">
        <f>YEAR(Tabla3[[#This Row],[Date]])</f>
        <v>2018</v>
      </c>
      <c r="C624" s="1" t="str">
        <f>+TEXT(Tabla3[[#This Row],[Date]],"mmm")</f>
        <v>jul</v>
      </c>
      <c r="D624" s="2">
        <v>1223.69995117187</v>
      </c>
      <c r="E624" s="2">
        <v>1223.69995117187</v>
      </c>
      <c r="F624" s="2">
        <v>1228.09997558593</v>
      </c>
      <c r="G624" s="2">
        <v>1213</v>
      </c>
      <c r="H624" s="2">
        <v>1220.40002441406</v>
      </c>
      <c r="I624">
        <v>2722</v>
      </c>
      <c r="J624" s="2">
        <f ca="1">IFERROR((Tabla3[[#This Row],[Close]]-OFFSET(Tabla3[[#This Row],[Close]],-1,0))/OFFSET(Tabla3[[#This Row],[Close]],-1,0),"")</f>
        <v>1.9650390958821217E-3</v>
      </c>
      <c r="K624" s="2">
        <f ca="1">IFERROR(AVERAGE(OFFSET(Tabla3[[#This Row],[Close]],-6,0,7)),"")</f>
        <v>1224.6000104631655</v>
      </c>
      <c r="L624" s="2">
        <f ca="1">IFERROR(_xlfn.STDEV.S(OFFSET(Tabla3[[#This Row],[Close]],-29,0,30)),"")</f>
        <v>16.943293167487038</v>
      </c>
    </row>
    <row r="625" spans="1:12" x14ac:dyDescent="0.3">
      <c r="A625" s="1">
        <v>43313</v>
      </c>
      <c r="B625" s="3">
        <f>YEAR(Tabla3[[#This Row],[Date]])</f>
        <v>2018</v>
      </c>
      <c r="C625" s="1" t="str">
        <f>+TEXT(Tabla3[[#This Row],[Date]],"mmm")</f>
        <v>ago</v>
      </c>
      <c r="D625" s="2">
        <v>1217.90002441406</v>
      </c>
      <c r="E625" s="2">
        <v>1217.90002441406</v>
      </c>
      <c r="F625" s="2">
        <v>1223.69995117187</v>
      </c>
      <c r="G625" s="2">
        <v>1214.40002441406</v>
      </c>
      <c r="H625" s="2">
        <v>1222.90002441406</v>
      </c>
      <c r="I625">
        <v>1026</v>
      </c>
      <c r="J625" s="2">
        <f ca="1">IFERROR((Tabla3[[#This Row],[Close]]-OFFSET(Tabla3[[#This Row],[Close]],-1,0))/OFFSET(Tabla3[[#This Row],[Close]],-1,0),"")</f>
        <v>-4.7396641245721462E-3</v>
      </c>
      <c r="K625" s="2">
        <f ca="1">IFERROR(AVERAGE(OFFSET(Tabla3[[#This Row],[Close]],-6,0,7)),"")</f>
        <v>1223.7285853794601</v>
      </c>
      <c r="L625" s="2">
        <f ca="1">IFERROR(_xlfn.STDEV.S(OFFSET(Tabla3[[#This Row],[Close]],-29,0,30)),"")</f>
        <v>16.469493294871793</v>
      </c>
    </row>
    <row r="626" spans="1:12" x14ac:dyDescent="0.3">
      <c r="A626" s="1">
        <v>43314</v>
      </c>
      <c r="B626" s="3">
        <f>YEAR(Tabla3[[#This Row],[Date]])</f>
        <v>2018</v>
      </c>
      <c r="C626" s="1" t="str">
        <f>+TEXT(Tabla3[[#This Row],[Date]],"mmm")</f>
        <v>ago</v>
      </c>
      <c r="D626" s="2">
        <v>1210.59997558593</v>
      </c>
      <c r="E626" s="2">
        <v>1210.59997558593</v>
      </c>
      <c r="F626" s="2">
        <v>1219.30004882812</v>
      </c>
      <c r="G626" s="2">
        <v>1205.80004882812</v>
      </c>
      <c r="H626" s="2">
        <v>1214.69995117187</v>
      </c>
      <c r="I626">
        <v>411</v>
      </c>
      <c r="J626" s="2">
        <f ca="1">IFERROR((Tabla3[[#This Row],[Close]]-OFFSET(Tabla3[[#This Row],[Close]],-1,0))/OFFSET(Tabla3[[#This Row],[Close]],-1,0),"")</f>
        <v>-5.9939639393981501E-3</v>
      </c>
      <c r="K626" s="2">
        <f ca="1">IFERROR(AVERAGE(OFFSET(Tabla3[[#This Row],[Close]],-6,0,7)),"")</f>
        <v>1221.8285784040127</v>
      </c>
      <c r="L626" s="2">
        <f ca="1">IFERROR(_xlfn.STDEV.S(OFFSET(Tabla3[[#This Row],[Close]],-29,0,30)),"")</f>
        <v>16.456806314978124</v>
      </c>
    </row>
    <row r="627" spans="1:12" x14ac:dyDescent="0.3">
      <c r="A627" s="1">
        <v>43315</v>
      </c>
      <c r="B627" s="3">
        <f>YEAR(Tabla3[[#This Row],[Date]])</f>
        <v>2018</v>
      </c>
      <c r="C627" s="1" t="str">
        <f>+TEXT(Tabla3[[#This Row],[Date]],"mmm")</f>
        <v>ago</v>
      </c>
      <c r="D627" s="2">
        <v>1214.19995117187</v>
      </c>
      <c r="E627" s="2">
        <v>1214.19995117187</v>
      </c>
      <c r="F627" s="2">
        <v>1218.59997558593</v>
      </c>
      <c r="G627" s="2">
        <v>1205.09997558593</v>
      </c>
      <c r="H627" s="2">
        <v>1206.5</v>
      </c>
      <c r="I627">
        <v>784</v>
      </c>
      <c r="J627" s="2">
        <f ca="1">IFERROR((Tabla3[[#This Row],[Close]]-OFFSET(Tabla3[[#This Row],[Close]],-1,0))/OFFSET(Tabla3[[#This Row],[Close]],-1,0),"")</f>
        <v>2.973711926763929E-3</v>
      </c>
      <c r="K627" s="2">
        <f ca="1">IFERROR(AVERAGE(OFFSET(Tabla3[[#This Row],[Close]],-6,0,7)),"")</f>
        <v>1219.3714250836999</v>
      </c>
      <c r="L627" s="2">
        <f ca="1">IFERROR(_xlfn.STDEV.S(OFFSET(Tabla3[[#This Row],[Close]],-29,0,30)),"")</f>
        <v>16.256437146706372</v>
      </c>
    </row>
    <row r="628" spans="1:12" x14ac:dyDescent="0.3">
      <c r="A628" s="1">
        <v>43318</v>
      </c>
      <c r="B628" s="3">
        <f>YEAR(Tabla3[[#This Row],[Date]])</f>
        <v>2018</v>
      </c>
      <c r="C628" s="1" t="str">
        <f>+TEXT(Tabla3[[#This Row],[Date]],"mmm")</f>
        <v>ago</v>
      </c>
      <c r="D628" s="2">
        <v>1208.59997558593</v>
      </c>
      <c r="E628" s="2">
        <v>1208.59997558593</v>
      </c>
      <c r="F628" s="2">
        <v>1214.40002441406</v>
      </c>
      <c r="G628" s="2">
        <v>1206.59997558593</v>
      </c>
      <c r="H628" s="2">
        <v>1214.40002441406</v>
      </c>
      <c r="I628">
        <v>297</v>
      </c>
      <c r="J628" s="2">
        <f ca="1">IFERROR((Tabla3[[#This Row],[Close]]-OFFSET(Tabla3[[#This Row],[Close]],-1,0))/OFFSET(Tabla3[[#This Row],[Close]],-1,0),"")</f>
        <v>-4.6120703435502978E-3</v>
      </c>
      <c r="K628" s="2">
        <f ca="1">IFERROR(AVERAGE(OFFSET(Tabla3[[#This Row],[Close]],-6,0,7)),"")</f>
        <v>1216.9857003348156</v>
      </c>
      <c r="L628" s="2">
        <f ca="1">IFERROR(_xlfn.STDEV.S(OFFSET(Tabla3[[#This Row],[Close]],-29,0,30)),"")</f>
        <v>16.136676758513364</v>
      </c>
    </row>
    <row r="629" spans="1:12" x14ac:dyDescent="0.3">
      <c r="A629" s="1">
        <v>43319</v>
      </c>
      <c r="B629" s="3">
        <f>YEAR(Tabla3[[#This Row],[Date]])</f>
        <v>2018</v>
      </c>
      <c r="C629" s="1" t="str">
        <f>+TEXT(Tabla3[[#This Row],[Date]],"mmm")</f>
        <v>ago</v>
      </c>
      <c r="D629" s="2">
        <v>1209.59997558593</v>
      </c>
      <c r="E629" s="2">
        <v>1209.59997558593</v>
      </c>
      <c r="F629" s="2">
        <v>1214.80004882812</v>
      </c>
      <c r="G629" s="2">
        <v>1207.80004882812</v>
      </c>
      <c r="H629" s="2">
        <v>1207.80004882812</v>
      </c>
      <c r="I629">
        <v>715</v>
      </c>
      <c r="J629" s="2">
        <f ca="1">IFERROR((Tabla3[[#This Row],[Close]]-OFFSET(Tabla3[[#This Row],[Close]],-1,0))/OFFSET(Tabla3[[#This Row],[Close]],-1,0),"")</f>
        <v>8.2740362419352141E-4</v>
      </c>
      <c r="K629" s="2">
        <f ca="1">IFERROR(AVERAGE(OFFSET(Tabla3[[#This Row],[Close]],-6,0,7)),"")</f>
        <v>1215.1285574776728</v>
      </c>
      <c r="L629" s="2">
        <f ca="1">IFERROR(_xlfn.STDEV.S(OFFSET(Tabla3[[#This Row],[Close]],-29,0,30)),"")</f>
        <v>15.838344462893785</v>
      </c>
    </row>
    <row r="630" spans="1:12" x14ac:dyDescent="0.3">
      <c r="A630" s="1">
        <v>43320</v>
      </c>
      <c r="B630" s="3">
        <f>YEAR(Tabla3[[#This Row],[Date]])</f>
        <v>2018</v>
      </c>
      <c r="C630" s="1" t="str">
        <f>+TEXT(Tabla3[[#This Row],[Date]],"mmm")</f>
        <v>ago</v>
      </c>
      <c r="D630" s="2">
        <v>1212.59997558593</v>
      </c>
      <c r="E630" s="2">
        <v>1212.59997558593</v>
      </c>
      <c r="F630" s="2">
        <v>1215.19995117187</v>
      </c>
      <c r="G630" s="2">
        <v>1205.90002441406</v>
      </c>
      <c r="H630" s="2">
        <v>1212</v>
      </c>
      <c r="I630">
        <v>209</v>
      </c>
      <c r="J630" s="2">
        <f ca="1">IFERROR((Tabla3[[#This Row],[Close]]-OFFSET(Tabla3[[#This Row],[Close]],-1,0))/OFFSET(Tabla3[[#This Row],[Close]],-1,0),"")</f>
        <v>2.4801587802172373E-3</v>
      </c>
      <c r="K630" s="2">
        <f ca="1">IFERROR(AVERAGE(OFFSET(Tabla3[[#This Row],[Close]],-6,0,7)),"")</f>
        <v>1213.8856898716458</v>
      </c>
      <c r="L630" s="2">
        <f ca="1">IFERROR(_xlfn.STDEV.S(OFFSET(Tabla3[[#This Row],[Close]],-29,0,30)),"")</f>
        <v>15.729083290872081</v>
      </c>
    </row>
    <row r="631" spans="1:12" x14ac:dyDescent="0.3">
      <c r="A631" s="1">
        <v>43321</v>
      </c>
      <c r="B631" s="3">
        <f>YEAR(Tabla3[[#This Row],[Date]])</f>
        <v>2018</v>
      </c>
      <c r="C631" s="1" t="str">
        <f>+TEXT(Tabla3[[#This Row],[Date]],"mmm")</f>
        <v>ago</v>
      </c>
      <c r="D631" s="2">
        <v>1211.90002441406</v>
      </c>
      <c r="E631" s="2">
        <v>1211.90002441406</v>
      </c>
      <c r="F631" s="2">
        <v>1215.30004882812</v>
      </c>
      <c r="G631" s="2">
        <v>1211.59997558593</v>
      </c>
      <c r="H631" s="2">
        <v>1214.5</v>
      </c>
      <c r="I631">
        <v>44</v>
      </c>
      <c r="J631" s="2">
        <f ca="1">IFERROR((Tabla3[[#This Row],[Close]]-OFFSET(Tabla3[[#This Row],[Close]],-1,0))/OFFSET(Tabla3[[#This Row],[Close]],-1,0),"")</f>
        <v>-5.7723172188897697E-4</v>
      </c>
      <c r="K631" s="2">
        <f ca="1">IFERROR(AVERAGE(OFFSET(Tabla3[[#This Row],[Close]],-6,0,7)),"")</f>
        <v>1212.1999860491014</v>
      </c>
      <c r="L631" s="2">
        <f ca="1">IFERROR(_xlfn.STDEV.S(OFFSET(Tabla3[[#This Row],[Close]],-29,0,30)),"")</f>
        <v>15.702008579257356</v>
      </c>
    </row>
    <row r="632" spans="1:12" x14ac:dyDescent="0.3">
      <c r="A632" s="1">
        <v>43322</v>
      </c>
      <c r="B632" s="3">
        <f>YEAR(Tabla3[[#This Row],[Date]])</f>
        <v>2018</v>
      </c>
      <c r="C632" s="1" t="str">
        <f>+TEXT(Tabla3[[#This Row],[Date]],"mmm")</f>
        <v>ago</v>
      </c>
      <c r="D632" s="2">
        <v>1211.09997558593</v>
      </c>
      <c r="E632" s="2">
        <v>1211.09997558593</v>
      </c>
      <c r="F632" s="2">
        <v>1216.40002441406</v>
      </c>
      <c r="G632" s="2">
        <v>1205.59997558593</v>
      </c>
      <c r="H632" s="2">
        <v>1212.5</v>
      </c>
      <c r="I632">
        <v>75</v>
      </c>
      <c r="J632" s="2">
        <f ca="1">IFERROR((Tabla3[[#This Row],[Close]]-OFFSET(Tabla3[[#This Row],[Close]],-1,0))/OFFSET(Tabla3[[#This Row],[Close]],-1,0),"")</f>
        <v>-6.6016074924729606E-4</v>
      </c>
      <c r="K632" s="2">
        <f ca="1">IFERROR(AVERAGE(OFFSET(Tabla3[[#This Row],[Close]],-6,0,7)),"")</f>
        <v>1211.2285505022257</v>
      </c>
      <c r="L632" s="2">
        <f ca="1">IFERROR(_xlfn.STDEV.S(OFFSET(Tabla3[[#This Row],[Close]],-29,0,30)),"")</f>
        <v>15.806836072611052</v>
      </c>
    </row>
    <row r="633" spans="1:12" x14ac:dyDescent="0.3">
      <c r="A633" s="1">
        <v>43325</v>
      </c>
      <c r="B633" s="3">
        <f>YEAR(Tabla3[[#This Row],[Date]])</f>
        <v>2018</v>
      </c>
      <c r="C633" s="1" t="str">
        <f>+TEXT(Tabla3[[#This Row],[Date]],"mmm")</f>
        <v>ago</v>
      </c>
      <c r="D633" s="2">
        <v>1191.30004882812</v>
      </c>
      <c r="E633" s="2">
        <v>1191.30004882812</v>
      </c>
      <c r="F633" s="2">
        <v>1207.40002441406</v>
      </c>
      <c r="G633" s="2">
        <v>1191.30004882812</v>
      </c>
      <c r="H633" s="2">
        <v>1207</v>
      </c>
      <c r="I633">
        <v>78</v>
      </c>
      <c r="J633" s="2">
        <f ca="1">IFERROR((Tabla3[[#This Row],[Close]]-OFFSET(Tabla3[[#This Row],[Close]],-1,0))/OFFSET(Tabla3[[#This Row],[Close]],-1,0),"")</f>
        <v>-1.6348713695771316E-2</v>
      </c>
      <c r="K633" s="2">
        <f ca="1">IFERROR(AVERAGE(OFFSET(Tabla3[[#This Row],[Close]],-6,0,7)),"")</f>
        <v>1208.4714181082529</v>
      </c>
      <c r="L633" s="2">
        <f ca="1">IFERROR(_xlfn.STDEV.S(OFFSET(Tabla3[[#This Row],[Close]],-29,0,30)),"")</f>
        <v>16.802114764665067</v>
      </c>
    </row>
    <row r="634" spans="1:12" x14ac:dyDescent="0.3">
      <c r="A634" s="1">
        <v>43326</v>
      </c>
      <c r="B634" s="3">
        <f>YEAR(Tabla3[[#This Row],[Date]])</f>
        <v>2018</v>
      </c>
      <c r="C634" s="1" t="str">
        <f>+TEXT(Tabla3[[#This Row],[Date]],"mmm")</f>
        <v>ago</v>
      </c>
      <c r="D634" s="2">
        <v>1193</v>
      </c>
      <c r="E634" s="2">
        <v>1193</v>
      </c>
      <c r="F634" s="2">
        <v>1197.5</v>
      </c>
      <c r="G634" s="2">
        <v>1192.80004882812</v>
      </c>
      <c r="H634" s="2">
        <v>1193.09997558593</v>
      </c>
      <c r="I634">
        <v>92</v>
      </c>
      <c r="J634" s="2">
        <f ca="1">IFERROR((Tabla3[[#This Row],[Close]]-OFFSET(Tabla3[[#This Row],[Close]],-1,0))/OFFSET(Tabla3[[#This Row],[Close]],-1,0),"")</f>
        <v>1.4269714615996545E-3</v>
      </c>
      <c r="K634" s="2">
        <f ca="1">IFERROR(AVERAGE(OFFSET(Tabla3[[#This Row],[Close]],-6,0,7)),"")</f>
        <v>1205.4428536551284</v>
      </c>
      <c r="L634" s="2">
        <f ca="1">IFERROR(_xlfn.STDEV.S(OFFSET(Tabla3[[#This Row],[Close]],-29,0,30)),"")</f>
        <v>17.824032593465883</v>
      </c>
    </row>
    <row r="635" spans="1:12" x14ac:dyDescent="0.3">
      <c r="A635" s="1">
        <v>43327</v>
      </c>
      <c r="B635" s="3">
        <f>YEAR(Tabla3[[#This Row],[Date]])</f>
        <v>2018</v>
      </c>
      <c r="C635" s="1" t="str">
        <f>+TEXT(Tabla3[[#This Row],[Date]],"mmm")</f>
        <v>ago</v>
      </c>
      <c r="D635" s="2">
        <v>1177.5</v>
      </c>
      <c r="E635" s="2">
        <v>1177.5</v>
      </c>
      <c r="F635" s="2">
        <v>1188.09997558593</v>
      </c>
      <c r="G635" s="2">
        <v>1174.59997558593</v>
      </c>
      <c r="H635" s="2">
        <v>1187.80004882812</v>
      </c>
      <c r="I635">
        <v>71</v>
      </c>
      <c r="J635" s="2">
        <f ca="1">IFERROR((Tabla3[[#This Row],[Close]]-OFFSET(Tabla3[[#This Row],[Close]],-1,0))/OFFSET(Tabla3[[#This Row],[Close]],-1,0),"")</f>
        <v>-1.2992455993294216E-2</v>
      </c>
      <c r="K635" s="2">
        <f ca="1">IFERROR(AVERAGE(OFFSET(Tabla3[[#This Row],[Close]],-6,0,7)),"")</f>
        <v>1200.9999999999959</v>
      </c>
      <c r="L635" s="2">
        <f ca="1">IFERROR(_xlfn.STDEV.S(OFFSET(Tabla3[[#This Row],[Close]],-29,0,30)),"")</f>
        <v>19.310085754951391</v>
      </c>
    </row>
    <row r="636" spans="1:12" x14ac:dyDescent="0.3">
      <c r="A636" s="1">
        <v>43328</v>
      </c>
      <c r="B636" s="3">
        <f>YEAR(Tabla3[[#This Row],[Date]])</f>
        <v>2018</v>
      </c>
      <c r="C636" s="1" t="str">
        <f>+TEXT(Tabla3[[#This Row],[Date]],"mmm")</f>
        <v>ago</v>
      </c>
      <c r="D636" s="2">
        <v>1176.19995117187</v>
      </c>
      <c r="E636" s="2">
        <v>1176.19995117187</v>
      </c>
      <c r="F636" s="2">
        <v>1180.19995117187</v>
      </c>
      <c r="G636" s="2">
        <v>1161.40002441406</v>
      </c>
      <c r="H636" s="2">
        <v>1173.19995117187</v>
      </c>
      <c r="I636">
        <v>123</v>
      </c>
      <c r="J636" s="2">
        <f ca="1">IFERROR((Tabla3[[#This Row],[Close]]-OFFSET(Tabla3[[#This Row],[Close]],-1,0))/OFFSET(Tabla3[[#This Row],[Close]],-1,0),"")</f>
        <v>-1.1040754379023374E-3</v>
      </c>
      <c r="K636" s="2">
        <f ca="1">IFERROR(AVERAGE(OFFSET(Tabla3[[#This Row],[Close]],-6,0,7)),"")</f>
        <v>1196.2285679408444</v>
      </c>
      <c r="L636" s="2">
        <f ca="1">IFERROR(_xlfn.STDEV.S(OFFSET(Tabla3[[#This Row],[Close]],-29,0,30)),"")</f>
        <v>20.161928085418648</v>
      </c>
    </row>
    <row r="637" spans="1:12" x14ac:dyDescent="0.3">
      <c r="A637" s="1">
        <v>43329</v>
      </c>
      <c r="B637" s="3">
        <f>YEAR(Tabla3[[#This Row],[Date]])</f>
        <v>2018</v>
      </c>
      <c r="C637" s="1" t="str">
        <f>+TEXT(Tabla3[[#This Row],[Date]],"mmm")</f>
        <v>ago</v>
      </c>
      <c r="D637" s="2">
        <v>1176.5</v>
      </c>
      <c r="E637" s="2">
        <v>1176.5</v>
      </c>
      <c r="F637" s="2">
        <v>1181.19995117187</v>
      </c>
      <c r="G637" s="2">
        <v>1174.69995117187</v>
      </c>
      <c r="H637" s="2">
        <v>1174.69995117187</v>
      </c>
      <c r="I637">
        <v>66</v>
      </c>
      <c r="J637" s="2">
        <f ca="1">IFERROR((Tabla3[[#This Row],[Close]]-OFFSET(Tabla3[[#This Row],[Close]],-1,0))/OFFSET(Tabla3[[#This Row],[Close]],-1,0),"")</f>
        <v>2.5510018754129176E-4</v>
      </c>
      <c r="K637" s="2">
        <f ca="1">IFERROR(AVERAGE(OFFSET(Tabla3[[#This Row],[Close]],-6,0,7)),"")</f>
        <v>1191.0714285714257</v>
      </c>
      <c r="L637" s="2">
        <f ca="1">IFERROR(_xlfn.STDEV.S(OFFSET(Tabla3[[#This Row],[Close]],-29,0,30)),"")</f>
        <v>20.779622340894758</v>
      </c>
    </row>
    <row r="638" spans="1:12" x14ac:dyDescent="0.3">
      <c r="A638" s="1">
        <v>43332</v>
      </c>
      <c r="B638" s="3">
        <f>YEAR(Tabla3[[#This Row],[Date]])</f>
        <v>2018</v>
      </c>
      <c r="C638" s="1" t="str">
        <f>+TEXT(Tabla3[[#This Row],[Date]],"mmm")</f>
        <v>ago</v>
      </c>
      <c r="D638" s="2">
        <v>1186.80004882812</v>
      </c>
      <c r="E638" s="2">
        <v>1186.80004882812</v>
      </c>
      <c r="F638" s="2">
        <v>1190</v>
      </c>
      <c r="G638" s="2">
        <v>1184.40002441406</v>
      </c>
      <c r="H638" s="2">
        <v>1184.80004882812</v>
      </c>
      <c r="I638">
        <v>68</v>
      </c>
      <c r="J638" s="2">
        <f ca="1">IFERROR((Tabla3[[#This Row],[Close]]-OFFSET(Tabla3[[#This Row],[Close]],-1,0))/OFFSET(Tabla3[[#This Row],[Close]],-1,0),"")</f>
        <v>8.7548226333361654E-3</v>
      </c>
      <c r="K638" s="2">
        <f ca="1">IFERROR(AVERAGE(OFFSET(Tabla3[[#This Row],[Close]],-6,0,7)),"")</f>
        <v>1187.4857177734341</v>
      </c>
      <c r="L638" s="2">
        <f ca="1">IFERROR(_xlfn.STDEV.S(OFFSET(Tabla3[[#This Row],[Close]],-29,0,30)),"")</f>
        <v>20.201073637616602</v>
      </c>
    </row>
    <row r="639" spans="1:12" x14ac:dyDescent="0.3">
      <c r="A639" s="1">
        <v>43333</v>
      </c>
      <c r="B639" s="3">
        <f>YEAR(Tabla3[[#This Row],[Date]])</f>
        <v>2018</v>
      </c>
      <c r="C639" s="1" t="str">
        <f>+TEXT(Tabla3[[#This Row],[Date]],"mmm")</f>
        <v>ago</v>
      </c>
      <c r="D639" s="2">
        <v>1192.59997558593</v>
      </c>
      <c r="E639" s="2">
        <v>1192.59997558593</v>
      </c>
      <c r="F639" s="2">
        <v>1192.59997558593</v>
      </c>
      <c r="G639" s="2">
        <v>1189.80004882812</v>
      </c>
      <c r="H639" s="2">
        <v>1189.80004882812</v>
      </c>
      <c r="I639">
        <v>22</v>
      </c>
      <c r="J639" s="2">
        <f ca="1">IFERROR((Tabla3[[#This Row],[Close]]-OFFSET(Tabla3[[#This Row],[Close]],-1,0))/OFFSET(Tabla3[[#This Row],[Close]],-1,0),"")</f>
        <v>4.8870294229739972E-3</v>
      </c>
      <c r="K639" s="2">
        <f ca="1">IFERROR(AVERAGE(OFFSET(Tabla3[[#This Row],[Close]],-6,0,7)),"")</f>
        <v>1184.8428606305772</v>
      </c>
      <c r="L639" s="2">
        <f ca="1">IFERROR(_xlfn.STDEV.S(OFFSET(Tabla3[[#This Row],[Close]],-29,0,30)),"")</f>
        <v>19.371275769216005</v>
      </c>
    </row>
    <row r="640" spans="1:12" x14ac:dyDescent="0.3">
      <c r="A640" s="1">
        <v>43334</v>
      </c>
      <c r="B640" s="3">
        <f>YEAR(Tabla3[[#This Row],[Date]])</f>
        <v>2018</v>
      </c>
      <c r="C640" s="1" t="str">
        <f>+TEXT(Tabla3[[#This Row],[Date]],"mmm")</f>
        <v>ago</v>
      </c>
      <c r="D640" s="2">
        <v>1196.30004882812</v>
      </c>
      <c r="E640" s="2">
        <v>1196.30004882812</v>
      </c>
      <c r="F640" s="2">
        <v>1196.30004882812</v>
      </c>
      <c r="G640" s="2">
        <v>1194.69995117187</v>
      </c>
      <c r="H640" s="2">
        <v>1194.69995117187</v>
      </c>
      <c r="I640">
        <v>17</v>
      </c>
      <c r="J640" s="2">
        <f ca="1">IFERROR((Tabla3[[#This Row],[Close]]-OFFSET(Tabla3[[#This Row],[Close]],-1,0))/OFFSET(Tabla3[[#This Row],[Close]],-1,0),"")</f>
        <v>3.1025266794694824E-3</v>
      </c>
      <c r="K640" s="2">
        <f ca="1">IFERROR(AVERAGE(OFFSET(Tabla3[[#This Row],[Close]],-6,0,7)),"")</f>
        <v>1185.5571463448628</v>
      </c>
      <c r="L640" s="2">
        <f ca="1">IFERROR(_xlfn.STDEV.S(OFFSET(Tabla3[[#This Row],[Close]],-29,0,30)),"")</f>
        <v>18.874461747856706</v>
      </c>
    </row>
    <row r="641" spans="1:12" x14ac:dyDescent="0.3">
      <c r="A641" s="1">
        <v>43335</v>
      </c>
      <c r="B641" s="3">
        <f>YEAR(Tabla3[[#This Row],[Date]])</f>
        <v>2018</v>
      </c>
      <c r="C641" s="1" t="str">
        <f>+TEXT(Tabla3[[#This Row],[Date]],"mmm")</f>
        <v>ago</v>
      </c>
      <c r="D641" s="2">
        <v>1187</v>
      </c>
      <c r="E641" s="2">
        <v>1187</v>
      </c>
      <c r="F641" s="2">
        <v>1190.30004882812</v>
      </c>
      <c r="G641" s="2">
        <v>1184.90002441406</v>
      </c>
      <c r="H641" s="2">
        <v>1189.30004882812</v>
      </c>
      <c r="I641">
        <v>95</v>
      </c>
      <c r="J641" s="2">
        <f ca="1">IFERROR((Tabla3[[#This Row],[Close]]-OFFSET(Tabla3[[#This Row],[Close]],-1,0))/OFFSET(Tabla3[[#This Row],[Close]],-1,0),"")</f>
        <v>-7.7740102386773327E-3</v>
      </c>
      <c r="K641" s="2">
        <f ca="1">IFERROR(AVERAGE(OFFSET(Tabla3[[#This Row],[Close]],-6,0,7)),"")</f>
        <v>1184.7000034877201</v>
      </c>
      <c r="L641" s="2">
        <f ca="1">IFERROR(_xlfn.STDEV.S(OFFSET(Tabla3[[#This Row],[Close]],-29,0,30)),"")</f>
        <v>18.433085460785506</v>
      </c>
    </row>
    <row r="642" spans="1:12" x14ac:dyDescent="0.3">
      <c r="A642" s="1">
        <v>43336</v>
      </c>
      <c r="B642" s="3">
        <f>YEAR(Tabla3[[#This Row],[Date]])</f>
        <v>2018</v>
      </c>
      <c r="C642" s="1" t="str">
        <f>+TEXT(Tabla3[[#This Row],[Date]],"mmm")</f>
        <v>ago</v>
      </c>
      <c r="D642" s="2">
        <v>1206.30004882812</v>
      </c>
      <c r="E642" s="2">
        <v>1206.30004882812</v>
      </c>
      <c r="F642" s="2">
        <v>1208</v>
      </c>
      <c r="G642" s="2">
        <v>1185.30004882812</v>
      </c>
      <c r="H642" s="2">
        <v>1185.30004882812</v>
      </c>
      <c r="I642">
        <v>12</v>
      </c>
      <c r="J642" s="2">
        <f ca="1">IFERROR((Tabla3[[#This Row],[Close]]-OFFSET(Tabla3[[#This Row],[Close]],-1,0))/OFFSET(Tabla3[[#This Row],[Close]],-1,0),"")</f>
        <v>1.6259518810547598E-2</v>
      </c>
      <c r="K642" s="2">
        <f ca="1">IFERROR(AVERAGE(OFFSET(Tabla3[[#This Row],[Close]],-6,0,7)),"")</f>
        <v>1188.8142961774515</v>
      </c>
      <c r="L642" s="2">
        <f ca="1">IFERROR(_xlfn.STDEV.S(OFFSET(Tabla3[[#This Row],[Close]],-29,0,30)),"")</f>
        <v>17.631475245688566</v>
      </c>
    </row>
    <row r="643" spans="1:12" x14ac:dyDescent="0.3">
      <c r="A643" s="1">
        <v>43339</v>
      </c>
      <c r="B643" s="3">
        <f>YEAR(Tabla3[[#This Row],[Date]])</f>
        <v>2018</v>
      </c>
      <c r="C643" s="1" t="str">
        <f>+TEXT(Tabla3[[#This Row],[Date]],"mmm")</f>
        <v>ago</v>
      </c>
      <c r="D643" s="2">
        <v>1209</v>
      </c>
      <c r="E643" s="2">
        <v>1209</v>
      </c>
      <c r="F643" s="2">
        <v>1211.40002441406</v>
      </c>
      <c r="G643" s="2">
        <v>1205.19995117187</v>
      </c>
      <c r="H643" s="2">
        <v>1210.30004882812</v>
      </c>
      <c r="I643">
        <v>154</v>
      </c>
      <c r="J643" s="2">
        <f ca="1">IFERROR((Tabla3[[#This Row],[Close]]-OFFSET(Tabla3[[#This Row],[Close]],-1,0))/OFFSET(Tabla3[[#This Row],[Close]],-1,0),"")</f>
        <v>2.2382086235534135E-3</v>
      </c>
      <c r="K643" s="2">
        <f ca="1">IFERROR(AVERAGE(OFFSET(Tabla3[[#This Row],[Close]],-6,0,7)),"")</f>
        <v>1193.5000174386128</v>
      </c>
      <c r="L643" s="2">
        <f ca="1">IFERROR(_xlfn.STDEV.S(OFFSET(Tabla3[[#This Row],[Close]],-29,0,30)),"")</f>
        <v>16.80220760516362</v>
      </c>
    </row>
    <row r="644" spans="1:12" x14ac:dyDescent="0.3">
      <c r="A644" s="1">
        <v>43340</v>
      </c>
      <c r="B644" s="3">
        <f>YEAR(Tabla3[[#This Row],[Date]])</f>
        <v>2018</v>
      </c>
      <c r="C644" s="1" t="str">
        <f>+TEXT(Tabla3[[#This Row],[Date]],"mmm")</f>
        <v>ago</v>
      </c>
      <c r="D644" s="2">
        <v>1207.40002441406</v>
      </c>
      <c r="E644" s="2">
        <v>1207.40002441406</v>
      </c>
      <c r="F644" s="2">
        <v>1217</v>
      </c>
      <c r="G644" s="2">
        <v>1202.30004882812</v>
      </c>
      <c r="H644" s="2">
        <v>1209.69995117187</v>
      </c>
      <c r="I644">
        <v>136</v>
      </c>
      <c r="J644" s="2">
        <f ca="1">IFERROR((Tabla3[[#This Row],[Close]]-OFFSET(Tabla3[[#This Row],[Close]],-1,0))/OFFSET(Tabla3[[#This Row],[Close]],-1,0),"")</f>
        <v>-1.3233875814226642E-3</v>
      </c>
      <c r="K644" s="2">
        <f ca="1">IFERROR(AVERAGE(OFFSET(Tabla3[[#This Row],[Close]],-6,0,7)),"")</f>
        <v>1197.9143066406214</v>
      </c>
      <c r="L644" s="2">
        <f ca="1">IFERROR(_xlfn.STDEV.S(OFFSET(Tabla3[[#This Row],[Close]],-29,0,30)),"")</f>
        <v>16.498319681375879</v>
      </c>
    </row>
    <row r="645" spans="1:12" x14ac:dyDescent="0.3">
      <c r="A645" s="1">
        <v>43341</v>
      </c>
      <c r="B645" s="3">
        <f>YEAR(Tabla3[[#This Row],[Date]])</f>
        <v>2018</v>
      </c>
      <c r="C645" s="1" t="str">
        <f>+TEXT(Tabla3[[#This Row],[Date]],"mmm")</f>
        <v>ago</v>
      </c>
      <c r="D645" s="2">
        <v>1204.5</v>
      </c>
      <c r="E645" s="2">
        <v>1204.5</v>
      </c>
      <c r="F645" s="2">
        <v>1205.19995117187</v>
      </c>
      <c r="G645" s="2">
        <v>1202.40002441406</v>
      </c>
      <c r="H645" s="2">
        <v>1205.19995117187</v>
      </c>
      <c r="I645">
        <v>817</v>
      </c>
      <c r="J645" s="2">
        <f ca="1">IFERROR((Tabla3[[#This Row],[Close]]-OFFSET(Tabla3[[#This Row],[Close]],-1,0))/OFFSET(Tabla3[[#This Row],[Close]],-1,0),"")</f>
        <v>-2.4018753978966943E-3</v>
      </c>
      <c r="K645" s="2">
        <f ca="1">IFERROR(AVERAGE(OFFSET(Tabla3[[#This Row],[Close]],-6,0,7)),"")</f>
        <v>1200.4428710937468</v>
      </c>
      <c r="L645" s="2">
        <f ca="1">IFERROR(_xlfn.STDEV.S(OFFSET(Tabla3[[#This Row],[Close]],-29,0,30)),"")</f>
        <v>16.151269580421165</v>
      </c>
    </row>
    <row r="646" spans="1:12" x14ac:dyDescent="0.3">
      <c r="A646" s="1">
        <v>43342</v>
      </c>
      <c r="B646" s="3">
        <f>YEAR(Tabla3[[#This Row],[Date]])</f>
        <v>2018</v>
      </c>
      <c r="C646" s="1" t="str">
        <f>+TEXT(Tabla3[[#This Row],[Date]],"mmm")</f>
        <v>ago</v>
      </c>
      <c r="D646" s="2">
        <v>1197.69995117187</v>
      </c>
      <c r="E646" s="2">
        <v>1197.69995117187</v>
      </c>
      <c r="F646" s="2">
        <v>1205.59997558593</v>
      </c>
      <c r="G646" s="2">
        <v>1196</v>
      </c>
      <c r="H646" s="2">
        <v>1205.40002441406</v>
      </c>
      <c r="I646">
        <v>493</v>
      </c>
      <c r="J646" s="2">
        <f ca="1">IFERROR((Tabla3[[#This Row],[Close]]-OFFSET(Tabla3[[#This Row],[Close]],-1,0))/OFFSET(Tabla3[[#This Row],[Close]],-1,0),"")</f>
        <v>-5.6455365945454567E-3</v>
      </c>
      <c r="K646" s="2">
        <f ca="1">IFERROR(AVERAGE(OFFSET(Tabla3[[#This Row],[Close]],-6,0,7)),"")</f>
        <v>1201.1714390345956</v>
      </c>
      <c r="L646" s="2">
        <f ca="1">IFERROR(_xlfn.STDEV.S(OFFSET(Tabla3[[#This Row],[Close]],-29,0,30)),"")</f>
        <v>15.99432629930268</v>
      </c>
    </row>
    <row r="647" spans="1:12" x14ac:dyDescent="0.3">
      <c r="A647" s="1">
        <v>43343</v>
      </c>
      <c r="B647" s="3">
        <f>YEAR(Tabla3[[#This Row],[Date]])</f>
        <v>2018</v>
      </c>
      <c r="C647" s="1" t="str">
        <f>+TEXT(Tabla3[[#This Row],[Date]],"mmm")</f>
        <v>ago</v>
      </c>
      <c r="D647" s="2">
        <v>1200.30004882812</v>
      </c>
      <c r="E647" s="2">
        <v>1200.30004882812</v>
      </c>
      <c r="F647" s="2">
        <v>1208.19995117187</v>
      </c>
      <c r="G647" s="2">
        <v>1199.09997558593</v>
      </c>
      <c r="H647" s="2">
        <v>1207.09997558593</v>
      </c>
      <c r="I647">
        <v>191</v>
      </c>
      <c r="J647" s="2">
        <f ca="1">IFERROR((Tabla3[[#This Row],[Close]]-OFFSET(Tabla3[[#This Row],[Close]],-1,0))/OFFSET(Tabla3[[#This Row],[Close]],-1,0),"")</f>
        <v>2.1709090442109283E-3</v>
      </c>
      <c r="K647" s="2">
        <f ca="1">IFERROR(AVERAGE(OFFSET(Tabla3[[#This Row],[Close]],-6,0,7)),"")</f>
        <v>1201.7428676060242</v>
      </c>
      <c r="L647" s="2">
        <f ca="1">IFERROR(_xlfn.STDEV.S(OFFSET(Tabla3[[#This Row],[Close]],-29,0,30)),"")</f>
        <v>15.436266417750273</v>
      </c>
    </row>
    <row r="648" spans="1:12" x14ac:dyDescent="0.3">
      <c r="A648" s="1">
        <v>43347</v>
      </c>
      <c r="B648" s="3">
        <f>YEAR(Tabla3[[#This Row],[Date]])</f>
        <v>2018</v>
      </c>
      <c r="C648" s="1" t="str">
        <f>+TEXT(Tabla3[[#This Row],[Date]],"mmm")</f>
        <v>sept</v>
      </c>
      <c r="D648" s="2">
        <v>1192.69995117187</v>
      </c>
      <c r="E648" s="2">
        <v>1192.69995117187</v>
      </c>
      <c r="F648" s="2">
        <v>1193.80004882812</v>
      </c>
      <c r="G648" s="2">
        <v>1189.90002441406</v>
      </c>
      <c r="H648" s="2">
        <v>1193.80004882812</v>
      </c>
      <c r="I648">
        <v>26</v>
      </c>
      <c r="J648" s="2">
        <f ca="1">IFERROR((Tabla3[[#This Row],[Close]]-OFFSET(Tabla3[[#This Row],[Close]],-1,0))/OFFSET(Tabla3[[#This Row],[Close]],-1,0),"")</f>
        <v>-6.3318314980243037E-3</v>
      </c>
      <c r="K648" s="2">
        <f ca="1">IFERROR(AVERAGE(OFFSET(Tabla3[[#This Row],[Close]],-6,0,7)),"")</f>
        <v>1202.5571463448628</v>
      </c>
      <c r="L648" s="2">
        <f ca="1">IFERROR(_xlfn.STDEV.S(OFFSET(Tabla3[[#This Row],[Close]],-29,0,30)),"")</f>
        <v>15.213123884867892</v>
      </c>
    </row>
    <row r="649" spans="1:12" x14ac:dyDescent="0.3">
      <c r="A649" s="1">
        <v>43348</v>
      </c>
      <c r="B649" s="3">
        <f>YEAR(Tabla3[[#This Row],[Date]])</f>
        <v>2018</v>
      </c>
      <c r="C649" s="1" t="str">
        <f>+TEXT(Tabla3[[#This Row],[Date]],"mmm")</f>
        <v>sept</v>
      </c>
      <c r="D649" s="2">
        <v>1194.90002441406</v>
      </c>
      <c r="E649" s="2">
        <v>1194.90002441406</v>
      </c>
      <c r="F649" s="2">
        <v>1196</v>
      </c>
      <c r="G649" s="2">
        <v>1192.5</v>
      </c>
      <c r="H649" s="2">
        <v>1192.5</v>
      </c>
      <c r="I649">
        <v>21</v>
      </c>
      <c r="J649" s="2">
        <f ca="1">IFERROR((Tabla3[[#This Row],[Close]]-OFFSET(Tabla3[[#This Row],[Close]],-1,0))/OFFSET(Tabla3[[#This Row],[Close]],-1,0),"")</f>
        <v>1.8446158566774076E-3</v>
      </c>
      <c r="K649" s="2">
        <f ca="1">IFERROR(AVERAGE(OFFSET(Tabla3[[#This Row],[Close]],-6,0,7)),"")</f>
        <v>1200.9285714285686</v>
      </c>
      <c r="L649" s="2">
        <f ca="1">IFERROR(_xlfn.STDEV.S(OFFSET(Tabla3[[#This Row],[Close]],-29,0,30)),"")</f>
        <v>14.865814007202944</v>
      </c>
    </row>
    <row r="650" spans="1:12" x14ac:dyDescent="0.3">
      <c r="A650" s="1">
        <v>43349</v>
      </c>
      <c r="B650" s="3">
        <f>YEAR(Tabla3[[#This Row],[Date]])</f>
        <v>2018</v>
      </c>
      <c r="C650" s="1" t="str">
        <f>+TEXT(Tabla3[[#This Row],[Date]],"mmm")</f>
        <v>sept</v>
      </c>
      <c r="D650" s="2">
        <v>1197.90002441406</v>
      </c>
      <c r="E650" s="2">
        <v>1197.90002441406</v>
      </c>
      <c r="F650" s="2">
        <v>1202</v>
      </c>
      <c r="G650" s="2">
        <v>1197.90002441406</v>
      </c>
      <c r="H650" s="2">
        <v>1202</v>
      </c>
      <c r="I650">
        <v>7</v>
      </c>
      <c r="J650" s="2">
        <f ca="1">IFERROR((Tabla3[[#This Row],[Close]]-OFFSET(Tabla3[[#This Row],[Close]],-1,0))/OFFSET(Tabla3[[#This Row],[Close]],-1,0),"")</f>
        <v>2.5106702976854505E-3</v>
      </c>
      <c r="K650" s="2">
        <f ca="1">IFERROR(AVERAGE(OFFSET(Tabla3[[#This Row],[Close]],-6,0,7)),"")</f>
        <v>1199.342860630577</v>
      </c>
      <c r="L650" s="2">
        <f ca="1">IFERROR(_xlfn.STDEV.S(OFFSET(Tabla3[[#This Row],[Close]],-29,0,30)),"")</f>
        <v>13.942336703813893</v>
      </c>
    </row>
    <row r="651" spans="1:12" x14ac:dyDescent="0.3">
      <c r="A651" s="1">
        <v>43350</v>
      </c>
      <c r="B651" s="3">
        <f>YEAR(Tabla3[[#This Row],[Date]])</f>
        <v>2018</v>
      </c>
      <c r="C651" s="1" t="str">
        <f>+TEXT(Tabla3[[#This Row],[Date]],"mmm")</f>
        <v>sept</v>
      </c>
      <c r="D651" s="2">
        <v>1193.59997558593</v>
      </c>
      <c r="E651" s="2">
        <v>1193.59997558593</v>
      </c>
      <c r="F651" s="2">
        <v>1198.30004882812</v>
      </c>
      <c r="G651" s="2">
        <v>1193.09997558593</v>
      </c>
      <c r="H651" s="2">
        <v>1198.30004882812</v>
      </c>
      <c r="I651">
        <v>29</v>
      </c>
      <c r="J651" s="2">
        <f ca="1">IFERROR((Tabla3[[#This Row],[Close]]-OFFSET(Tabla3[[#This Row],[Close]],-1,0))/OFFSET(Tabla3[[#This Row],[Close]],-1,0),"")</f>
        <v>-3.5896558481441931E-3</v>
      </c>
      <c r="K651" s="2">
        <f ca="1">IFERROR(AVERAGE(OFFSET(Tabla3[[#This Row],[Close]],-6,0,7)),"")</f>
        <v>1197.3714250837015</v>
      </c>
      <c r="L651" s="2">
        <f ca="1">IFERROR(_xlfn.STDEV.S(OFFSET(Tabla3[[#This Row],[Close]],-29,0,30)),"")</f>
        <v>13.349423765282893</v>
      </c>
    </row>
    <row r="652" spans="1:12" x14ac:dyDescent="0.3">
      <c r="A652" s="1">
        <v>43353</v>
      </c>
      <c r="B652" s="3">
        <f>YEAR(Tabla3[[#This Row],[Date]])</f>
        <v>2018</v>
      </c>
      <c r="C652" s="1" t="str">
        <f>+TEXT(Tabla3[[#This Row],[Date]],"mmm")</f>
        <v>sept</v>
      </c>
      <c r="D652" s="2">
        <v>1193</v>
      </c>
      <c r="E652" s="2">
        <v>1193</v>
      </c>
      <c r="F652" s="2">
        <v>1193</v>
      </c>
      <c r="G652" s="2">
        <v>1193</v>
      </c>
      <c r="H652" s="2">
        <v>1193</v>
      </c>
      <c r="I652">
        <v>11</v>
      </c>
      <c r="J652" s="2">
        <f ca="1">IFERROR((Tabla3[[#This Row],[Close]]-OFFSET(Tabla3[[#This Row],[Close]],-1,0))/OFFSET(Tabla3[[#This Row],[Close]],-1,0),"")</f>
        <v>-5.0266052128182461E-4</v>
      </c>
      <c r="K652" s="2">
        <f ca="1">IFERROR(AVERAGE(OFFSET(Tabla3[[#This Row],[Close]],-6,0,7)),"")</f>
        <v>1195.7285679408444</v>
      </c>
      <c r="L652" s="2">
        <f ca="1">IFERROR(_xlfn.STDEV.S(OFFSET(Tabla3[[#This Row],[Close]],-29,0,30)),"")</f>
        <v>12.821084502854767</v>
      </c>
    </row>
    <row r="653" spans="1:12" x14ac:dyDescent="0.3">
      <c r="A653" s="1">
        <v>43354</v>
      </c>
      <c r="B653" s="3">
        <f>YEAR(Tabla3[[#This Row],[Date]])</f>
        <v>2018</v>
      </c>
      <c r="C653" s="1" t="str">
        <f>+TEXT(Tabla3[[#This Row],[Date]],"mmm")</f>
        <v>sept</v>
      </c>
      <c r="D653" s="2">
        <v>1195.40002441406</v>
      </c>
      <c r="E653" s="2">
        <v>1195.40002441406</v>
      </c>
      <c r="F653" s="2">
        <v>1196.30004882812</v>
      </c>
      <c r="G653" s="2">
        <v>1190.40002441406</v>
      </c>
      <c r="H653" s="2">
        <v>1190.40002441406</v>
      </c>
      <c r="I653">
        <v>21</v>
      </c>
      <c r="J653" s="2">
        <f ca="1">IFERROR((Tabla3[[#This Row],[Close]]-OFFSET(Tabla3[[#This Row],[Close]],-1,0))/OFFSET(Tabla3[[#This Row],[Close]],-1,0),"")</f>
        <v>2.0117555859681465E-3</v>
      </c>
      <c r="K653" s="2">
        <f ca="1">IFERROR(AVERAGE(OFFSET(Tabla3[[#This Row],[Close]],-6,0,7)),"")</f>
        <v>1195.4000069754427</v>
      </c>
      <c r="L653" s="2">
        <f ca="1">IFERROR(_xlfn.STDEV.S(OFFSET(Tabla3[[#This Row],[Close]],-29,0,30)),"")</f>
        <v>12.233024888252729</v>
      </c>
    </row>
    <row r="654" spans="1:12" x14ac:dyDescent="0.3">
      <c r="A654" s="1">
        <v>43355</v>
      </c>
      <c r="B654" s="3">
        <f>YEAR(Tabla3[[#This Row],[Date]])</f>
        <v>2018</v>
      </c>
      <c r="C654" s="1" t="str">
        <f>+TEXT(Tabla3[[#This Row],[Date]],"mmm")</f>
        <v>sept</v>
      </c>
      <c r="D654" s="2">
        <v>1204.69995117187</v>
      </c>
      <c r="E654" s="2">
        <v>1204.69995117187</v>
      </c>
      <c r="F654" s="2">
        <v>1205</v>
      </c>
      <c r="G654" s="2">
        <v>1204.69995117187</v>
      </c>
      <c r="H654" s="2">
        <v>1205</v>
      </c>
      <c r="I654">
        <v>37</v>
      </c>
      <c r="J654" s="2">
        <f ca="1">IFERROR((Tabla3[[#This Row],[Close]]-OFFSET(Tabla3[[#This Row],[Close]],-1,0))/OFFSET(Tabla3[[#This Row],[Close]],-1,0),"")</f>
        <v>7.7797612245896286E-3</v>
      </c>
      <c r="K654" s="2">
        <f ca="1">IFERROR(AVERAGE(OFFSET(Tabla3[[#This Row],[Close]],-6,0,7)),"")</f>
        <v>1196.0285644531214</v>
      </c>
      <c r="L654" s="2">
        <f ca="1">IFERROR(_xlfn.STDEV.S(OFFSET(Tabla3[[#This Row],[Close]],-29,0,30)),"")</f>
        <v>11.410201924522136</v>
      </c>
    </row>
    <row r="655" spans="1:12" x14ac:dyDescent="0.3">
      <c r="A655" s="1">
        <v>43356</v>
      </c>
      <c r="B655" s="3">
        <f>YEAR(Tabla3[[#This Row],[Date]])</f>
        <v>2018</v>
      </c>
      <c r="C655" s="1" t="str">
        <f>+TEXT(Tabla3[[#This Row],[Date]],"mmm")</f>
        <v>sept</v>
      </c>
      <c r="D655" s="2">
        <v>1202</v>
      </c>
      <c r="E655" s="2">
        <v>1202</v>
      </c>
      <c r="F655" s="2">
        <v>1203.40002441406</v>
      </c>
      <c r="G655" s="2">
        <v>1200</v>
      </c>
      <c r="H655" s="2">
        <v>1203.40002441406</v>
      </c>
      <c r="I655">
        <v>22</v>
      </c>
      <c r="J655" s="2">
        <f ca="1">IFERROR((Tabla3[[#This Row],[Close]]-OFFSET(Tabla3[[#This Row],[Close]],-1,0))/OFFSET(Tabla3[[#This Row],[Close]],-1,0),"")</f>
        <v>-2.2411814404438421E-3</v>
      </c>
      <c r="K655" s="2">
        <f ca="1">IFERROR(AVERAGE(OFFSET(Tabla3[[#This Row],[Close]],-6,0,7)),"")</f>
        <v>1197.3571428571399</v>
      </c>
      <c r="L655" s="2">
        <f ca="1">IFERROR(_xlfn.STDEV.S(OFFSET(Tabla3[[#This Row],[Close]],-29,0,30)),"")</f>
        <v>10.859790685054977</v>
      </c>
    </row>
    <row r="656" spans="1:12" x14ac:dyDescent="0.3">
      <c r="A656" s="1">
        <v>43357</v>
      </c>
      <c r="B656" s="3">
        <f>YEAR(Tabla3[[#This Row],[Date]])</f>
        <v>2018</v>
      </c>
      <c r="C656" s="1" t="str">
        <f>+TEXT(Tabla3[[#This Row],[Date]],"mmm")</f>
        <v>sept</v>
      </c>
      <c r="D656" s="2">
        <v>1195</v>
      </c>
      <c r="E656" s="2">
        <v>1195</v>
      </c>
      <c r="F656" s="2">
        <v>1195</v>
      </c>
      <c r="G656" s="2">
        <v>1195</v>
      </c>
      <c r="H656" s="2">
        <v>1195</v>
      </c>
      <c r="I656">
        <v>1</v>
      </c>
      <c r="J656" s="2">
        <f ca="1">IFERROR((Tabla3[[#This Row],[Close]]-OFFSET(Tabla3[[#This Row],[Close]],-1,0))/OFFSET(Tabla3[[#This Row],[Close]],-1,0),"")</f>
        <v>-5.8236272878535774E-3</v>
      </c>
      <c r="K656" s="2">
        <f ca="1">IFERROR(AVERAGE(OFFSET(Tabla3[[#This Row],[Close]],-6,0,7)),"")</f>
        <v>1197.3714250837027</v>
      </c>
      <c r="L656" s="2">
        <f ca="1">IFERROR(_xlfn.STDEV.S(OFFSET(Tabla3[[#This Row],[Close]],-29,0,30)),"")</f>
        <v>10.631853770102914</v>
      </c>
    </row>
    <row r="657" spans="1:12" x14ac:dyDescent="0.3">
      <c r="A657" s="1">
        <v>43360</v>
      </c>
      <c r="B657" s="3">
        <f>YEAR(Tabla3[[#This Row],[Date]])</f>
        <v>2018</v>
      </c>
      <c r="C657" s="1" t="str">
        <f>+TEXT(Tabla3[[#This Row],[Date]],"mmm")</f>
        <v>sept</v>
      </c>
      <c r="D657" s="2">
        <v>1199.69995117187</v>
      </c>
      <c r="E657" s="2">
        <v>1199.69995117187</v>
      </c>
      <c r="F657" s="2">
        <v>1199.69995117187</v>
      </c>
      <c r="G657" s="2">
        <v>1199.69995117187</v>
      </c>
      <c r="H657" s="2">
        <v>1199.69995117187</v>
      </c>
      <c r="I657">
        <v>0</v>
      </c>
      <c r="J657" s="2">
        <f ca="1">IFERROR((Tabla3[[#This Row],[Close]]-OFFSET(Tabla3[[#This Row],[Close]],-1,0))/OFFSET(Tabla3[[#This Row],[Close]],-1,0),"")</f>
        <v>3.9330135329456051E-3</v>
      </c>
      <c r="K657" s="2">
        <f ca="1">IFERROR(AVERAGE(OFFSET(Tabla3[[#This Row],[Close]],-6,0,7)),"")</f>
        <v>1197.6285574776757</v>
      </c>
      <c r="L657" s="2">
        <f ca="1">IFERROR(_xlfn.STDEV.S(OFFSET(Tabla3[[#This Row],[Close]],-29,0,30)),"")</f>
        <v>10.189767544118753</v>
      </c>
    </row>
    <row r="658" spans="1:12" x14ac:dyDescent="0.3">
      <c r="A658" s="1">
        <v>43361</v>
      </c>
      <c r="B658" s="3">
        <f>YEAR(Tabla3[[#This Row],[Date]])</f>
        <v>2018</v>
      </c>
      <c r="C658" s="1" t="str">
        <f>+TEXT(Tabla3[[#This Row],[Date]],"mmm")</f>
        <v>sept</v>
      </c>
      <c r="D658" s="2">
        <v>1196.80004882812</v>
      </c>
      <c r="E658" s="2">
        <v>1196.80004882812</v>
      </c>
      <c r="F658" s="2">
        <v>1198.69995117187</v>
      </c>
      <c r="G658" s="2">
        <v>1196.80004882812</v>
      </c>
      <c r="H658" s="2">
        <v>1198.69995117187</v>
      </c>
      <c r="I658">
        <v>2</v>
      </c>
      <c r="J658" s="2">
        <f ca="1">IFERROR((Tabla3[[#This Row],[Close]]-OFFSET(Tabla3[[#This Row],[Close]],-1,0))/OFFSET(Tabla3[[#This Row],[Close]],-1,0),"")</f>
        <v>-2.4171896822346019E-3</v>
      </c>
      <c r="K658" s="2">
        <f ca="1">IFERROR(AVERAGE(OFFSET(Tabla3[[#This Row],[Close]],-6,0,7)),"")</f>
        <v>1198.0857107979884</v>
      </c>
      <c r="L658" s="2">
        <f ca="1">IFERROR(_xlfn.STDEV.S(OFFSET(Tabla3[[#This Row],[Close]],-29,0,30)),"")</f>
        <v>9.9720771543262767</v>
      </c>
    </row>
    <row r="659" spans="1:12" x14ac:dyDescent="0.3">
      <c r="A659" s="1">
        <v>43362</v>
      </c>
      <c r="B659" s="3">
        <f>YEAR(Tabla3[[#This Row],[Date]])</f>
        <v>2018</v>
      </c>
      <c r="C659" s="1" t="str">
        <f>+TEXT(Tabla3[[#This Row],[Date]],"mmm")</f>
        <v>sept</v>
      </c>
      <c r="D659" s="2">
        <v>1202.19995117187</v>
      </c>
      <c r="E659" s="2">
        <v>1202.19995117187</v>
      </c>
      <c r="F659" s="2">
        <v>1202.19995117187</v>
      </c>
      <c r="G659" s="2">
        <v>1202.19995117187</v>
      </c>
      <c r="H659" s="2">
        <v>1202.19995117187</v>
      </c>
      <c r="I659">
        <v>0</v>
      </c>
      <c r="J659" s="2">
        <f ca="1">IFERROR((Tabla3[[#This Row],[Close]]-OFFSET(Tabla3[[#This Row],[Close]],-1,0))/OFFSET(Tabla3[[#This Row],[Close]],-1,0),"")</f>
        <v>4.5119503036764284E-3</v>
      </c>
      <c r="K659" s="2">
        <f ca="1">IFERROR(AVERAGE(OFFSET(Tabla3[[#This Row],[Close]],-6,0,7)),"")</f>
        <v>1199.399989536827</v>
      </c>
      <c r="L659" s="2">
        <f ca="1">IFERROR(_xlfn.STDEV.S(OFFSET(Tabla3[[#This Row],[Close]],-29,0,30)),"")</f>
        <v>9.7413270920042887</v>
      </c>
    </row>
    <row r="660" spans="1:12" x14ac:dyDescent="0.3">
      <c r="A660" s="1">
        <v>43363</v>
      </c>
      <c r="B660" s="3">
        <f>YEAR(Tabla3[[#This Row],[Date]])</f>
        <v>2018</v>
      </c>
      <c r="C660" s="1" t="str">
        <f>+TEXT(Tabla3[[#This Row],[Date]],"mmm")</f>
        <v>sept</v>
      </c>
      <c r="D660" s="2">
        <v>1206.19995117187</v>
      </c>
      <c r="E660" s="2">
        <v>1206.19995117187</v>
      </c>
      <c r="F660" s="2">
        <v>1206.19995117187</v>
      </c>
      <c r="G660" s="2">
        <v>1206.19995117187</v>
      </c>
      <c r="H660" s="2">
        <v>1206.19995117187</v>
      </c>
      <c r="I660">
        <v>0</v>
      </c>
      <c r="J660" s="2">
        <f ca="1">IFERROR((Tabla3[[#This Row],[Close]]-OFFSET(Tabla3[[#This Row],[Close]],-1,0))/OFFSET(Tabla3[[#This Row],[Close]],-1,0),"")</f>
        <v>3.3272335405611312E-3</v>
      </c>
      <c r="K660" s="2">
        <f ca="1">IFERROR(AVERAGE(OFFSET(Tabla3[[#This Row],[Close]],-6,0,7)),"")</f>
        <v>1200.9428362165143</v>
      </c>
      <c r="L660" s="2">
        <f ca="1">IFERROR(_xlfn.STDEV.S(OFFSET(Tabla3[[#This Row],[Close]],-29,0,30)),"")</f>
        <v>9.4505525141023803</v>
      </c>
    </row>
    <row r="661" spans="1:12" x14ac:dyDescent="0.3">
      <c r="A661" s="1">
        <v>43364</v>
      </c>
      <c r="B661" s="3">
        <f>YEAR(Tabla3[[#This Row],[Date]])</f>
        <v>2018</v>
      </c>
      <c r="C661" s="1" t="str">
        <f>+TEXT(Tabla3[[#This Row],[Date]],"mmm")</f>
        <v>sept</v>
      </c>
      <c r="D661" s="2">
        <v>1196.19995117187</v>
      </c>
      <c r="E661" s="2">
        <v>1196.19995117187</v>
      </c>
      <c r="F661" s="2">
        <v>1196.19995117187</v>
      </c>
      <c r="G661" s="2">
        <v>1196.19995117187</v>
      </c>
      <c r="H661" s="2">
        <v>1196.19995117187</v>
      </c>
      <c r="I661">
        <v>0</v>
      </c>
      <c r="J661" s="2">
        <f ca="1">IFERROR((Tabla3[[#This Row],[Close]]-OFFSET(Tabla3[[#This Row],[Close]],-1,0))/OFFSET(Tabla3[[#This Row],[Close]],-1,0),"")</f>
        <v>-8.290499423652448E-3</v>
      </c>
      <c r="K661" s="2">
        <f ca="1">IFERROR(AVERAGE(OFFSET(Tabla3[[#This Row],[Close]],-6,0,7)),"")</f>
        <v>1199.7285505022285</v>
      </c>
      <c r="L661" s="2">
        <f ca="1">IFERROR(_xlfn.STDEV.S(OFFSET(Tabla3[[#This Row],[Close]],-29,0,30)),"")</f>
        <v>9.0009544152117886</v>
      </c>
    </row>
    <row r="662" spans="1:12" x14ac:dyDescent="0.3">
      <c r="A662" s="1">
        <v>43367</v>
      </c>
      <c r="B662" s="3">
        <f>YEAR(Tabla3[[#This Row],[Date]])</f>
        <v>2018</v>
      </c>
      <c r="C662" s="1" t="str">
        <f>+TEXT(Tabla3[[#This Row],[Date]],"mmm")</f>
        <v>sept</v>
      </c>
      <c r="D662" s="2">
        <v>1199.30004882812</v>
      </c>
      <c r="E662" s="2">
        <v>1199.30004882812</v>
      </c>
      <c r="F662" s="2">
        <v>1199.30004882812</v>
      </c>
      <c r="G662" s="2">
        <v>1199.30004882812</v>
      </c>
      <c r="H662" s="2">
        <v>1199.30004882812</v>
      </c>
      <c r="I662">
        <v>0</v>
      </c>
      <c r="J662" s="2">
        <f ca="1">IFERROR((Tabla3[[#This Row],[Close]]-OFFSET(Tabla3[[#This Row],[Close]],-1,0))/OFFSET(Tabla3[[#This Row],[Close]],-1,0),"")</f>
        <v>2.591621620794213E-3</v>
      </c>
      <c r="K662" s="2">
        <f ca="1">IFERROR(AVERAGE(OFFSET(Tabla3[[#This Row],[Close]],-6,0,7)),"")</f>
        <v>1199.3428431919599</v>
      </c>
      <c r="L662" s="2">
        <f ca="1">IFERROR(_xlfn.STDEV.S(OFFSET(Tabla3[[#This Row],[Close]],-29,0,30)),"")</f>
        <v>8.5716599450116675</v>
      </c>
    </row>
    <row r="663" spans="1:12" x14ac:dyDescent="0.3">
      <c r="A663" s="1">
        <v>43368</v>
      </c>
      <c r="B663" s="3">
        <f>YEAR(Tabla3[[#This Row],[Date]])</f>
        <v>2018</v>
      </c>
      <c r="C663" s="1" t="str">
        <f>+TEXT(Tabla3[[#This Row],[Date]],"mmm")</f>
        <v>sept</v>
      </c>
      <c r="D663" s="2">
        <v>1200</v>
      </c>
      <c r="E663" s="2">
        <v>1200</v>
      </c>
      <c r="F663" s="2">
        <v>1202.80004882812</v>
      </c>
      <c r="G663" s="2">
        <v>1200</v>
      </c>
      <c r="H663" s="2">
        <v>1202.09997558593</v>
      </c>
      <c r="I663">
        <v>21</v>
      </c>
      <c r="J663" s="2">
        <f ca="1">IFERROR((Tabla3[[#This Row],[Close]]-OFFSET(Tabla3[[#This Row],[Close]],-1,0))/OFFSET(Tabla3[[#This Row],[Close]],-1,0),"")</f>
        <v>5.83633072110645E-4</v>
      </c>
      <c r="K663" s="2">
        <f ca="1">IFERROR(AVERAGE(OFFSET(Tabla3[[#This Row],[Close]],-6,0,7)),"")</f>
        <v>1200.0571289062457</v>
      </c>
      <c r="L663" s="2">
        <f ca="1">IFERROR(_xlfn.STDEV.S(OFFSET(Tabla3[[#This Row],[Close]],-29,0,30)),"")</f>
        <v>8.5636656939919238</v>
      </c>
    </row>
    <row r="664" spans="1:12" x14ac:dyDescent="0.3">
      <c r="A664" s="1">
        <v>43369</v>
      </c>
      <c r="B664" s="3">
        <f>YEAR(Tabla3[[#This Row],[Date]])</f>
        <v>2018</v>
      </c>
      <c r="C664" s="1" t="str">
        <f>+TEXT(Tabla3[[#This Row],[Date]],"mmm")</f>
        <v>sept</v>
      </c>
      <c r="D664" s="2">
        <v>1194</v>
      </c>
      <c r="E664" s="2">
        <v>1194</v>
      </c>
      <c r="F664" s="2">
        <v>1194</v>
      </c>
      <c r="G664" s="2">
        <v>1194</v>
      </c>
      <c r="H664" s="2">
        <v>1194</v>
      </c>
      <c r="I664">
        <v>17857</v>
      </c>
      <c r="J664" s="2">
        <f ca="1">IFERROR((Tabla3[[#This Row],[Close]]-OFFSET(Tabla3[[#This Row],[Close]],-1,0))/OFFSET(Tabla3[[#This Row],[Close]],-1,0),"")</f>
        <v>-5.0000000000000001E-3</v>
      </c>
      <c r="K664" s="2">
        <f ca="1">IFERROR(AVERAGE(OFFSET(Tabla3[[#This Row],[Close]],-6,0,7)),"")</f>
        <v>1199.2428501674071</v>
      </c>
      <c r="L664" s="2">
        <f ca="1">IFERROR(_xlfn.STDEV.S(OFFSET(Tabla3[[#This Row],[Close]],-29,0,30)),"")</f>
        <v>8.5534319320907635</v>
      </c>
    </row>
    <row r="665" spans="1:12" x14ac:dyDescent="0.3">
      <c r="A665" s="1">
        <v>43370</v>
      </c>
      <c r="B665" s="3">
        <f>YEAR(Tabla3[[#This Row],[Date]])</f>
        <v>2018</v>
      </c>
      <c r="C665" s="1" t="str">
        <f>+TEXT(Tabla3[[#This Row],[Date]],"mmm")</f>
        <v>sept</v>
      </c>
      <c r="D665" s="2">
        <v>1182.30004882812</v>
      </c>
      <c r="E665" s="2">
        <v>1182.30004882812</v>
      </c>
      <c r="F665" s="2">
        <v>1197.30004882812</v>
      </c>
      <c r="G665" s="2">
        <v>1180.5</v>
      </c>
      <c r="H665" s="2">
        <v>1194.59997558593</v>
      </c>
      <c r="I665">
        <v>4947</v>
      </c>
      <c r="J665" s="2">
        <f ca="1">IFERROR((Tabla3[[#This Row],[Close]]-OFFSET(Tabla3[[#This Row],[Close]],-1,0))/OFFSET(Tabla3[[#This Row],[Close]],-1,0),"")</f>
        <v>-9.7989540803015088E-3</v>
      </c>
      <c r="K665" s="2">
        <f ca="1">IFERROR(AVERAGE(OFFSET(Tabla3[[#This Row],[Close]],-6,0,7)),"")</f>
        <v>1197.1714215959785</v>
      </c>
      <c r="L665" s="2">
        <f ca="1">IFERROR(_xlfn.STDEV.S(OFFSET(Tabla3[[#This Row],[Close]],-29,0,30)),"")</f>
        <v>8.2332408528048386</v>
      </c>
    </row>
    <row r="666" spans="1:12" x14ac:dyDescent="0.3">
      <c r="A666" s="1">
        <v>43371</v>
      </c>
      <c r="B666" s="3">
        <f>YEAR(Tabla3[[#This Row],[Date]])</f>
        <v>2018</v>
      </c>
      <c r="C666" s="1" t="str">
        <f>+TEXT(Tabla3[[#This Row],[Date]],"mmm")</f>
        <v>sept</v>
      </c>
      <c r="D666" s="2">
        <v>1191.5</v>
      </c>
      <c r="E666" s="2">
        <v>1191.5</v>
      </c>
      <c r="F666" s="2">
        <v>1191.90002441406</v>
      </c>
      <c r="G666" s="2">
        <v>1180</v>
      </c>
      <c r="H666" s="2">
        <v>1181.69995117187</v>
      </c>
      <c r="I666">
        <v>404</v>
      </c>
      <c r="J666" s="2">
        <f ca="1">IFERROR((Tabla3[[#This Row],[Close]]-OFFSET(Tabla3[[#This Row],[Close]],-1,0))/OFFSET(Tabla3[[#This Row],[Close]],-1,0),"")</f>
        <v>7.7814013295515556E-3</v>
      </c>
      <c r="K666" s="2">
        <f ca="1">IFERROR(AVERAGE(OFFSET(Tabla3[[#This Row],[Close]],-6,0,7)),"")</f>
        <v>1195.6428571428544</v>
      </c>
      <c r="L666" s="2">
        <f ca="1">IFERROR(_xlfn.STDEV.S(OFFSET(Tabla3[[#This Row],[Close]],-29,0,30)),"")</f>
        <v>7.3802541510968416</v>
      </c>
    </row>
    <row r="667" spans="1:12" x14ac:dyDescent="0.3">
      <c r="A667" s="1">
        <v>43374</v>
      </c>
      <c r="B667" s="3">
        <f>YEAR(Tabla3[[#This Row],[Date]])</f>
        <v>2018</v>
      </c>
      <c r="C667" s="1" t="str">
        <f>+TEXT(Tabla3[[#This Row],[Date]],"mmm")</f>
        <v>oct</v>
      </c>
      <c r="D667" s="2">
        <v>1187.09997558593</v>
      </c>
      <c r="E667" s="2">
        <v>1187.09997558593</v>
      </c>
      <c r="F667" s="2">
        <v>1191.59997558593</v>
      </c>
      <c r="G667" s="2">
        <v>1185.80004882812</v>
      </c>
      <c r="H667" s="2">
        <v>1191.59997558593</v>
      </c>
      <c r="I667">
        <v>180</v>
      </c>
      <c r="J667" s="2">
        <f ca="1">IFERROR((Tabla3[[#This Row],[Close]]-OFFSET(Tabla3[[#This Row],[Close]],-1,0))/OFFSET(Tabla3[[#This Row],[Close]],-1,0),"")</f>
        <v>-3.6928446614099904E-3</v>
      </c>
      <c r="K667" s="2">
        <f ca="1">IFERROR(AVERAGE(OFFSET(Tabla3[[#This Row],[Close]],-6,0,7)),"")</f>
        <v>1192.9142892020059</v>
      </c>
      <c r="L667" s="2">
        <f ca="1">IFERROR(_xlfn.STDEV.S(OFFSET(Tabla3[[#This Row],[Close]],-29,0,30)),"")</f>
        <v>6.5899248461058351</v>
      </c>
    </row>
    <row r="668" spans="1:12" x14ac:dyDescent="0.3">
      <c r="A668" s="1">
        <v>43375</v>
      </c>
      <c r="B668" s="3">
        <f>YEAR(Tabla3[[#This Row],[Date]])</f>
        <v>2018</v>
      </c>
      <c r="C668" s="1" t="str">
        <f>+TEXT(Tabla3[[#This Row],[Date]],"mmm")</f>
        <v>oct</v>
      </c>
      <c r="D668" s="2">
        <v>1202.40002441406</v>
      </c>
      <c r="E668" s="2">
        <v>1202.40002441406</v>
      </c>
      <c r="F668" s="2">
        <v>1206</v>
      </c>
      <c r="G668" s="2">
        <v>1190.30004882812</v>
      </c>
      <c r="H668" s="2">
        <v>1193</v>
      </c>
      <c r="I668">
        <v>451</v>
      </c>
      <c r="J668" s="2">
        <f ca="1">IFERROR((Tabla3[[#This Row],[Close]]-OFFSET(Tabla3[[#This Row],[Close]],-1,0))/OFFSET(Tabla3[[#This Row],[Close]],-1,0),"")</f>
        <v>1.288859333063181E-2</v>
      </c>
      <c r="K668" s="2">
        <f ca="1">IFERROR(AVERAGE(OFFSET(Tabla3[[#This Row],[Close]],-6,0,7)),"")</f>
        <v>1193.8000139508899</v>
      </c>
      <c r="L668" s="2">
        <f ca="1">IFERROR(_xlfn.STDEV.S(OFFSET(Tabla3[[#This Row],[Close]],-29,0,30)),"")</f>
        <v>6.3623337686094308</v>
      </c>
    </row>
    <row r="669" spans="1:12" x14ac:dyDescent="0.3">
      <c r="A669" s="1">
        <v>43376</v>
      </c>
      <c r="B669" s="3">
        <f>YEAR(Tabla3[[#This Row],[Date]])</f>
        <v>2018</v>
      </c>
      <c r="C669" s="1" t="str">
        <f>+TEXT(Tabla3[[#This Row],[Date]],"mmm")</f>
        <v>oct</v>
      </c>
      <c r="D669" s="2">
        <v>1198.30004882812</v>
      </c>
      <c r="E669" s="2">
        <v>1198.30004882812</v>
      </c>
      <c r="F669" s="2">
        <v>1202.59997558593</v>
      </c>
      <c r="G669" s="2">
        <v>1196.59997558593</v>
      </c>
      <c r="H669" s="2">
        <v>1202.59997558593</v>
      </c>
      <c r="I669">
        <v>76</v>
      </c>
      <c r="J669" s="2">
        <f ca="1">IFERROR((Tabla3[[#This Row],[Close]]-OFFSET(Tabla3[[#This Row],[Close]],-1,0))/OFFSET(Tabla3[[#This Row],[Close]],-1,0),"")</f>
        <v>-3.4098265990454841E-3</v>
      </c>
      <c r="K669" s="2">
        <f ca="1">IFERROR(AVERAGE(OFFSET(Tabla3[[#This Row],[Close]],-6,0,7)),"")</f>
        <v>1193.6571568080328</v>
      </c>
      <c r="L669" s="2">
        <f ca="1">IFERROR(_xlfn.STDEV.S(OFFSET(Tabla3[[#This Row],[Close]],-29,0,30)),"")</f>
        <v>6.2925961828735586</v>
      </c>
    </row>
    <row r="670" spans="1:12" x14ac:dyDescent="0.3">
      <c r="A670" s="1">
        <v>43377</v>
      </c>
      <c r="B670" s="3">
        <f>YEAR(Tabla3[[#This Row],[Date]])</f>
        <v>2018</v>
      </c>
      <c r="C670" s="1" t="str">
        <f>+TEXT(Tabla3[[#This Row],[Date]],"mmm")</f>
        <v>oct</v>
      </c>
      <c r="D670" s="2">
        <v>1197.19995117187</v>
      </c>
      <c r="E670" s="2">
        <v>1197.19995117187</v>
      </c>
      <c r="F670" s="2">
        <v>1204.59997558593</v>
      </c>
      <c r="G670" s="2">
        <v>1197.19995117187</v>
      </c>
      <c r="H670" s="2">
        <v>1199.30004882812</v>
      </c>
      <c r="I670">
        <v>496</v>
      </c>
      <c r="J670" s="2">
        <f ca="1">IFERROR((Tabla3[[#This Row],[Close]]-OFFSET(Tabla3[[#This Row],[Close]],-1,0))/OFFSET(Tabla3[[#This Row],[Close]],-1,0),"")</f>
        <v>-9.1804857833882483E-4</v>
      </c>
      <c r="K670" s="2">
        <f ca="1">IFERROR(AVERAGE(OFFSET(Tabla3[[#This Row],[Close]],-6,0,7)),"")</f>
        <v>1193.2571498325856</v>
      </c>
      <c r="L670" s="2">
        <f ca="1">IFERROR(_xlfn.STDEV.S(OFFSET(Tabla3[[#This Row],[Close]],-29,0,30)),"")</f>
        <v>6.2873914318198594</v>
      </c>
    </row>
    <row r="671" spans="1:12" x14ac:dyDescent="0.3">
      <c r="A671" s="1">
        <v>43378</v>
      </c>
      <c r="B671" s="3">
        <f>YEAR(Tabla3[[#This Row],[Date]])</f>
        <v>2018</v>
      </c>
      <c r="C671" s="1" t="str">
        <f>+TEXT(Tabla3[[#This Row],[Date]],"mmm")</f>
        <v>oct</v>
      </c>
      <c r="D671" s="2">
        <v>1201.19995117187</v>
      </c>
      <c r="E671" s="2">
        <v>1201.19995117187</v>
      </c>
      <c r="F671" s="2">
        <v>1205.30004882812</v>
      </c>
      <c r="G671" s="2">
        <v>1196.90002441406</v>
      </c>
      <c r="H671" s="2">
        <v>1197.09997558593</v>
      </c>
      <c r="I671">
        <v>34</v>
      </c>
      <c r="J671" s="2">
        <f ca="1">IFERROR((Tabla3[[#This Row],[Close]]-OFFSET(Tabla3[[#This Row],[Close]],-1,0))/OFFSET(Tabla3[[#This Row],[Close]],-1,0),"")</f>
        <v>3.3411294379728554E-3</v>
      </c>
      <c r="K671" s="2">
        <f ca="1">IFERROR(AVERAGE(OFFSET(Tabla3[[#This Row],[Close]],-6,0,7)),"")</f>
        <v>1194.2857142857099</v>
      </c>
      <c r="L671" s="2">
        <f ca="1">IFERROR(_xlfn.STDEV.S(OFFSET(Tabla3[[#This Row],[Close]],-29,0,30)),"")</f>
        <v>5.9713044997043676</v>
      </c>
    </row>
    <row r="672" spans="1:12" x14ac:dyDescent="0.3">
      <c r="A672" s="1">
        <v>43381</v>
      </c>
      <c r="B672" s="3">
        <f>YEAR(Tabla3[[#This Row],[Date]])</f>
        <v>2018</v>
      </c>
      <c r="C672" s="1" t="str">
        <f>+TEXT(Tabla3[[#This Row],[Date]],"mmm")</f>
        <v>oct</v>
      </c>
      <c r="D672" s="2">
        <v>1184.40002441406</v>
      </c>
      <c r="E672" s="2">
        <v>1184.40002441406</v>
      </c>
      <c r="F672" s="2">
        <v>1201</v>
      </c>
      <c r="G672" s="2">
        <v>1183.69995117187</v>
      </c>
      <c r="H672" s="2">
        <v>1201</v>
      </c>
      <c r="I672">
        <v>250</v>
      </c>
      <c r="J672" s="2">
        <f ca="1">IFERROR((Tabla3[[#This Row],[Close]]-OFFSET(Tabla3[[#This Row],[Close]],-1,0))/OFFSET(Tabla3[[#This Row],[Close]],-1,0),"")</f>
        <v>-1.3985953580351282E-2</v>
      </c>
      <c r="K672" s="2">
        <f ca="1">IFERROR(AVERAGE(OFFSET(Tabla3[[#This Row],[Close]],-6,0,7)),"")</f>
        <v>1194.5857107979871</v>
      </c>
      <c r="L672" s="2">
        <f ca="1">IFERROR(_xlfn.STDEV.S(OFFSET(Tabla3[[#This Row],[Close]],-29,0,30)),"")</f>
        <v>6.2889263448321504</v>
      </c>
    </row>
    <row r="673" spans="1:12" x14ac:dyDescent="0.3">
      <c r="A673" s="1">
        <v>43382</v>
      </c>
      <c r="B673" s="3">
        <f>YEAR(Tabla3[[#This Row],[Date]])</f>
        <v>2018</v>
      </c>
      <c r="C673" s="1" t="str">
        <f>+TEXT(Tabla3[[#This Row],[Date]],"mmm")</f>
        <v>oct</v>
      </c>
      <c r="D673" s="2">
        <v>1187.19995117187</v>
      </c>
      <c r="E673" s="2">
        <v>1187.19995117187</v>
      </c>
      <c r="F673" s="2">
        <v>1189.09997558593</v>
      </c>
      <c r="G673" s="2">
        <v>1185.59997558593</v>
      </c>
      <c r="H673" s="2">
        <v>1185.59997558593</v>
      </c>
      <c r="I673">
        <v>9</v>
      </c>
      <c r="J673" s="2">
        <f ca="1">IFERROR((Tabla3[[#This Row],[Close]]-OFFSET(Tabla3[[#This Row],[Close]],-1,0))/OFFSET(Tabla3[[#This Row],[Close]],-1,0),"")</f>
        <v>2.364004306057967E-3</v>
      </c>
      <c r="K673" s="2">
        <f ca="1">IFERROR(AVERAGE(OFFSET(Tabla3[[#This Row],[Close]],-6,0,7)),"")</f>
        <v>1193.9714181082543</v>
      </c>
      <c r="L673" s="2">
        <f ca="1">IFERROR(_xlfn.STDEV.S(OFFSET(Tabla3[[#This Row],[Close]],-29,0,30)),"")</f>
        <v>6.180414118773685</v>
      </c>
    </row>
    <row r="674" spans="1:12" x14ac:dyDescent="0.3">
      <c r="A674" s="1">
        <v>43383</v>
      </c>
      <c r="B674" s="3">
        <f>YEAR(Tabla3[[#This Row],[Date]])</f>
        <v>2018</v>
      </c>
      <c r="C674" s="1" t="str">
        <f>+TEXT(Tabla3[[#This Row],[Date]],"mmm")</f>
        <v>oct</v>
      </c>
      <c r="D674" s="2">
        <v>1189.30004882812</v>
      </c>
      <c r="E674" s="2">
        <v>1189.30004882812</v>
      </c>
      <c r="F674" s="2">
        <v>1192</v>
      </c>
      <c r="G674" s="2">
        <v>1189.30004882812</v>
      </c>
      <c r="H674" s="2">
        <v>1189.30004882812</v>
      </c>
      <c r="I674">
        <v>1078</v>
      </c>
      <c r="J674" s="2">
        <f ca="1">IFERROR((Tabla3[[#This Row],[Close]]-OFFSET(Tabla3[[#This Row],[Close]],-1,0))/OFFSET(Tabla3[[#This Row],[Close]],-1,0),"")</f>
        <v>1.7689502549061093E-3</v>
      </c>
      <c r="K674" s="2">
        <f ca="1">IFERROR(AVERAGE(OFFSET(Tabla3[[#This Row],[Close]],-6,0,7)),"")</f>
        <v>1194.2857142857099</v>
      </c>
      <c r="L674" s="2">
        <f ca="1">IFERROR(_xlfn.STDEV.S(OFFSET(Tabla3[[#This Row],[Close]],-29,0,30)),"")</f>
        <v>5.9943181218149073</v>
      </c>
    </row>
    <row r="675" spans="1:12" x14ac:dyDescent="0.3">
      <c r="A675" s="1">
        <v>43384</v>
      </c>
      <c r="B675" s="3">
        <f>YEAR(Tabla3[[#This Row],[Date]])</f>
        <v>2018</v>
      </c>
      <c r="C675" s="1" t="str">
        <f>+TEXT(Tabla3[[#This Row],[Date]],"mmm")</f>
        <v>oct</v>
      </c>
      <c r="D675" s="2">
        <v>1223.5</v>
      </c>
      <c r="E675" s="2">
        <v>1223.5</v>
      </c>
      <c r="F675" s="2">
        <v>1224.59997558593</v>
      </c>
      <c r="G675" s="2">
        <v>1196.30004882812</v>
      </c>
      <c r="H675" s="2">
        <v>1198.09997558593</v>
      </c>
      <c r="I675">
        <v>126</v>
      </c>
      <c r="J675" s="2">
        <f ca="1">IFERROR((Tabla3[[#This Row],[Close]]-OFFSET(Tabla3[[#This Row],[Close]],-1,0))/OFFSET(Tabla3[[#This Row],[Close]],-1,0),"")</f>
        <v>2.8756369097587289E-2</v>
      </c>
      <c r="K675" s="2">
        <f ca="1">IFERROR(AVERAGE(OFFSET(Tabla3[[#This Row],[Close]],-6,0,7)),"")</f>
        <v>1197.2999965122729</v>
      </c>
      <c r="L675" s="2">
        <f ca="1">IFERROR(_xlfn.STDEV.S(OFFSET(Tabla3[[#This Row],[Close]],-29,0,30)),"")</f>
        <v>7.6679444650251192</v>
      </c>
    </row>
    <row r="676" spans="1:12" x14ac:dyDescent="0.3">
      <c r="A676" s="1">
        <v>43385</v>
      </c>
      <c r="B676" s="3">
        <f>YEAR(Tabla3[[#This Row],[Date]])</f>
        <v>2018</v>
      </c>
      <c r="C676" s="1" t="str">
        <f>+TEXT(Tabla3[[#This Row],[Date]],"mmm")</f>
        <v>oct</v>
      </c>
      <c r="D676" s="2">
        <v>1218.09997558593</v>
      </c>
      <c r="E676" s="2">
        <v>1218.09997558593</v>
      </c>
      <c r="F676" s="2">
        <v>1221.59997558593</v>
      </c>
      <c r="G676" s="2">
        <v>1216</v>
      </c>
      <c r="H676" s="2">
        <v>1221.59997558593</v>
      </c>
      <c r="I676">
        <v>122</v>
      </c>
      <c r="J676" s="2">
        <f ca="1">IFERROR((Tabla3[[#This Row],[Close]]-OFFSET(Tabla3[[#This Row],[Close]],-1,0))/OFFSET(Tabla3[[#This Row],[Close]],-1,0),"")</f>
        <v>-4.4135875881242369E-3</v>
      </c>
      <c r="K676" s="2">
        <f ca="1">IFERROR(AVERAGE(OFFSET(Tabla3[[#This Row],[Close]],-6,0,7)),"")</f>
        <v>1200.1285574776741</v>
      </c>
      <c r="L676" s="2">
        <f ca="1">IFERROR(_xlfn.STDEV.S(OFFSET(Tabla3[[#This Row],[Close]],-29,0,30)),"")</f>
        <v>8.5931227005402331</v>
      </c>
    </row>
    <row r="677" spans="1:12" x14ac:dyDescent="0.3">
      <c r="A677" s="1">
        <v>43388</v>
      </c>
      <c r="B677" s="3">
        <f>YEAR(Tabla3[[#This Row],[Date]])</f>
        <v>2018</v>
      </c>
      <c r="C677" s="1" t="str">
        <f>+TEXT(Tabla3[[#This Row],[Date]],"mmm")</f>
        <v>oct</v>
      </c>
      <c r="D677" s="2">
        <v>1226.40002441406</v>
      </c>
      <c r="E677" s="2">
        <v>1226.40002441406</v>
      </c>
      <c r="F677" s="2">
        <v>1232.30004882812</v>
      </c>
      <c r="G677" s="2">
        <v>1222.40002441406</v>
      </c>
      <c r="H677" s="2">
        <v>1222.40002441406</v>
      </c>
      <c r="I677">
        <v>136</v>
      </c>
      <c r="J677" s="2">
        <f ca="1">IFERROR((Tabla3[[#This Row],[Close]]-OFFSET(Tabla3[[#This Row],[Close]],-1,0))/OFFSET(Tabla3[[#This Row],[Close]],-1,0),"")</f>
        <v>6.8139307072373236E-3</v>
      </c>
      <c r="K677" s="2">
        <f ca="1">IFERROR(AVERAGE(OFFSET(Tabla3[[#This Row],[Close]],-6,0,7)),"")</f>
        <v>1204.2999965122729</v>
      </c>
      <c r="L677" s="2">
        <f ca="1">IFERROR(_xlfn.STDEV.S(OFFSET(Tabla3[[#This Row],[Close]],-29,0,30)),"")</f>
        <v>10.074959274366327</v>
      </c>
    </row>
    <row r="678" spans="1:12" x14ac:dyDescent="0.3">
      <c r="A678" s="1">
        <v>43389</v>
      </c>
      <c r="B678" s="3">
        <f>YEAR(Tabla3[[#This Row],[Date]])</f>
        <v>2018</v>
      </c>
      <c r="C678" s="1" t="str">
        <f>+TEXT(Tabla3[[#This Row],[Date]],"mmm")</f>
        <v>oct</v>
      </c>
      <c r="D678" s="2">
        <v>1227.30004882812</v>
      </c>
      <c r="E678" s="2">
        <v>1227.30004882812</v>
      </c>
      <c r="F678" s="2">
        <v>1230.5</v>
      </c>
      <c r="G678" s="2">
        <v>1227.09997558593</v>
      </c>
      <c r="H678" s="2">
        <v>1227.09997558593</v>
      </c>
      <c r="I678">
        <v>426</v>
      </c>
      <c r="J678" s="2">
        <f ca="1">IFERROR((Tabla3[[#This Row],[Close]]-OFFSET(Tabla3[[#This Row],[Close]],-1,0))/OFFSET(Tabla3[[#This Row],[Close]],-1,0),"")</f>
        <v>7.3387507839459284E-4</v>
      </c>
      <c r="K678" s="2">
        <f ca="1">IFERROR(AVERAGE(OFFSET(Tabla3[[#This Row],[Close]],-6,0,7)),"")</f>
        <v>1208.0285818917371</v>
      </c>
      <c r="L678" s="2">
        <f ca="1">IFERROR(_xlfn.STDEV.S(OFFSET(Tabla3[[#This Row],[Close]],-29,0,30)),"")</f>
        <v>11.30349805338377</v>
      </c>
    </row>
    <row r="679" spans="1:12" x14ac:dyDescent="0.3">
      <c r="A679" s="1">
        <v>43390</v>
      </c>
      <c r="B679" s="3">
        <f>YEAR(Tabla3[[#This Row],[Date]])</f>
        <v>2018</v>
      </c>
      <c r="C679" s="1" t="str">
        <f>+TEXT(Tabla3[[#This Row],[Date]],"mmm")</f>
        <v>oct</v>
      </c>
      <c r="D679" s="2">
        <v>1223.69995117187</v>
      </c>
      <c r="E679" s="2">
        <v>1223.69995117187</v>
      </c>
      <c r="F679" s="2">
        <v>1225.90002441406</v>
      </c>
      <c r="G679" s="2">
        <v>1223.69995117187</v>
      </c>
      <c r="H679" s="2">
        <v>1225.90002441406</v>
      </c>
      <c r="I679">
        <v>1</v>
      </c>
      <c r="J679" s="2">
        <f ca="1">IFERROR((Tabla3[[#This Row],[Close]]-OFFSET(Tabla3[[#This Row],[Close]],-1,0))/OFFSET(Tabla3[[#This Row],[Close]],-1,0),"")</f>
        <v>-2.9333476028845034E-3</v>
      </c>
      <c r="K679" s="2">
        <f ca="1">IFERROR(AVERAGE(OFFSET(Tabla3[[#This Row],[Close]],-6,0,7)),"")</f>
        <v>1213.6428571428528</v>
      </c>
      <c r="L679" s="2">
        <f ca="1">IFERROR(_xlfn.STDEV.S(OFFSET(Tabla3[[#This Row],[Close]],-29,0,30)),"")</f>
        <v>12.088896356069807</v>
      </c>
    </row>
    <row r="680" spans="1:12" x14ac:dyDescent="0.3">
      <c r="A680" s="1">
        <v>43391</v>
      </c>
      <c r="B680" s="3">
        <f>YEAR(Tabla3[[#This Row],[Date]])</f>
        <v>2018</v>
      </c>
      <c r="C680" s="1" t="str">
        <f>+TEXT(Tabla3[[#This Row],[Date]],"mmm")</f>
        <v>oct</v>
      </c>
      <c r="D680" s="2">
        <v>1226.5</v>
      </c>
      <c r="E680" s="2">
        <v>1226.5</v>
      </c>
      <c r="F680" s="2">
        <v>1226.5</v>
      </c>
      <c r="G680" s="2">
        <v>1226.5</v>
      </c>
      <c r="H680" s="2">
        <v>1226.5</v>
      </c>
      <c r="I680">
        <v>165</v>
      </c>
      <c r="J680" s="2">
        <f ca="1">IFERROR((Tabla3[[#This Row],[Close]]-OFFSET(Tabla3[[#This Row],[Close]],-1,0))/OFFSET(Tabla3[[#This Row],[Close]],-1,0),"")</f>
        <v>2.2881825119373013E-3</v>
      </c>
      <c r="K680" s="2">
        <f ca="1">IFERROR(AVERAGE(OFFSET(Tabla3[[#This Row],[Close]],-6,0,7)),"")</f>
        <v>1219.2571498325856</v>
      </c>
      <c r="L680" s="2">
        <f ca="1">IFERROR(_xlfn.STDEV.S(OFFSET(Tabla3[[#This Row],[Close]],-29,0,30)),"")</f>
        <v>12.969938805531315</v>
      </c>
    </row>
    <row r="681" spans="1:12" x14ac:dyDescent="0.3">
      <c r="A681" s="1">
        <v>43392</v>
      </c>
      <c r="B681" s="3">
        <f>YEAR(Tabla3[[#This Row],[Date]])</f>
        <v>2018</v>
      </c>
      <c r="C681" s="1" t="str">
        <f>+TEXT(Tabla3[[#This Row],[Date]],"mmm")</f>
        <v>oct</v>
      </c>
      <c r="D681" s="2">
        <v>1225.30004882812</v>
      </c>
      <c r="E681" s="2">
        <v>1225.30004882812</v>
      </c>
      <c r="F681" s="2">
        <v>1225.30004882812</v>
      </c>
      <c r="G681" s="2">
        <v>1225.30004882812</v>
      </c>
      <c r="H681" s="2">
        <v>1225.30004882812</v>
      </c>
      <c r="I681">
        <v>55</v>
      </c>
      <c r="J681" s="2">
        <f ca="1">IFERROR((Tabla3[[#This Row],[Close]]-OFFSET(Tabla3[[#This Row],[Close]],-1,0))/OFFSET(Tabla3[[#This Row],[Close]],-1,0),"")</f>
        <v>-9.7835399256420894E-4</v>
      </c>
      <c r="K681" s="2">
        <f ca="1">IFERROR(AVERAGE(OFFSET(Tabla3[[#This Row],[Close]],-6,0,7)),"")</f>
        <v>1224.4000069754427</v>
      </c>
      <c r="L681" s="2">
        <f ca="1">IFERROR(_xlfn.STDEV.S(OFFSET(Tabla3[[#This Row],[Close]],-29,0,30)),"")</f>
        <v>13.582382660563193</v>
      </c>
    </row>
    <row r="682" spans="1:12" x14ac:dyDescent="0.3">
      <c r="A682" s="1">
        <v>43395</v>
      </c>
      <c r="B682" s="3">
        <f>YEAR(Tabla3[[#This Row],[Date]])</f>
        <v>2018</v>
      </c>
      <c r="C682" s="1" t="str">
        <f>+TEXT(Tabla3[[#This Row],[Date]],"mmm")</f>
        <v>oct</v>
      </c>
      <c r="D682" s="2">
        <v>1221.19995117187</v>
      </c>
      <c r="E682" s="2">
        <v>1221.19995117187</v>
      </c>
      <c r="F682" s="2">
        <v>1224.5</v>
      </c>
      <c r="G682" s="2">
        <v>1219.59997558593</v>
      </c>
      <c r="H682" s="2">
        <v>1224.5</v>
      </c>
      <c r="I682">
        <v>18</v>
      </c>
      <c r="J682" s="2">
        <f ca="1">IFERROR((Tabla3[[#This Row],[Close]]-OFFSET(Tabla3[[#This Row],[Close]],-1,0))/OFFSET(Tabla3[[#This Row],[Close]],-1,0),"")</f>
        <v>-3.3461988842417361E-3</v>
      </c>
      <c r="K682" s="2">
        <f ca="1">IFERROR(AVERAGE(OFFSET(Tabla3[[#This Row],[Close]],-6,0,7)),"")</f>
        <v>1224.0714285714241</v>
      </c>
      <c r="L682" s="2">
        <f ca="1">IFERROR(_xlfn.STDEV.S(OFFSET(Tabla3[[#This Row],[Close]],-29,0,30)),"")</f>
        <v>13.872108962219905</v>
      </c>
    </row>
    <row r="683" spans="1:12" x14ac:dyDescent="0.3">
      <c r="A683" s="1">
        <v>43396</v>
      </c>
      <c r="B683" s="3">
        <f>YEAR(Tabla3[[#This Row],[Date]])</f>
        <v>2018</v>
      </c>
      <c r="C683" s="1" t="str">
        <f>+TEXT(Tabla3[[#This Row],[Date]],"mmm")</f>
        <v>oct</v>
      </c>
      <c r="D683" s="2">
        <v>1233.40002441406</v>
      </c>
      <c r="E683" s="2">
        <v>1233.40002441406</v>
      </c>
      <c r="F683" s="2">
        <v>1237.80004882812</v>
      </c>
      <c r="G683" s="2">
        <v>1224.80004882812</v>
      </c>
      <c r="H683" s="2">
        <v>1224.80004882812</v>
      </c>
      <c r="I683">
        <v>33</v>
      </c>
      <c r="J683" s="2">
        <f ca="1">IFERROR((Tabla3[[#This Row],[Close]]-OFFSET(Tabla3[[#This Row],[Close]],-1,0))/OFFSET(Tabla3[[#This Row],[Close]],-1,0),"")</f>
        <v>9.9902339747743561E-3</v>
      </c>
      <c r="K683" s="2">
        <f ca="1">IFERROR(AVERAGE(OFFSET(Tabla3[[#This Row],[Close]],-6,0,7)),"")</f>
        <v>1226.2571498325856</v>
      </c>
      <c r="L683" s="2">
        <f ca="1">IFERROR(_xlfn.STDEV.S(OFFSET(Tabla3[[#This Row],[Close]],-29,0,30)),"")</f>
        <v>14.811942495561377</v>
      </c>
    </row>
    <row r="684" spans="1:12" x14ac:dyDescent="0.3">
      <c r="A684" s="1">
        <v>43397</v>
      </c>
      <c r="B684" s="3">
        <f>YEAR(Tabla3[[#This Row],[Date]])</f>
        <v>2018</v>
      </c>
      <c r="C684" s="1" t="str">
        <f>+TEXT(Tabla3[[#This Row],[Date]],"mmm")</f>
        <v>oct</v>
      </c>
      <c r="D684" s="2">
        <v>1227.80004882812</v>
      </c>
      <c r="E684" s="2">
        <v>1227.80004882812</v>
      </c>
      <c r="F684" s="2">
        <v>1231.59997558593</v>
      </c>
      <c r="G684" s="2">
        <v>1227.80004882812</v>
      </c>
      <c r="H684" s="2">
        <v>1231.59997558593</v>
      </c>
      <c r="I684">
        <v>36</v>
      </c>
      <c r="J684" s="2">
        <f ca="1">IFERROR((Tabla3[[#This Row],[Close]]-OFFSET(Tabla3[[#This Row],[Close]],-1,0))/OFFSET(Tabla3[[#This Row],[Close]],-1,0),"")</f>
        <v>-4.5402752351981915E-3</v>
      </c>
      <c r="K684" s="2">
        <f ca="1">IFERROR(AVERAGE(OFFSET(Tabla3[[#This Row],[Close]],-6,0,7)),"")</f>
        <v>1226.4571533203086</v>
      </c>
      <c r="L684" s="2">
        <f ca="1">IFERROR(_xlfn.STDEV.S(OFFSET(Tabla3[[#This Row],[Close]],-29,0,30)),"")</f>
        <v>15.398258769685548</v>
      </c>
    </row>
    <row r="685" spans="1:12" x14ac:dyDescent="0.3">
      <c r="A685" s="1">
        <v>43398</v>
      </c>
      <c r="B685" s="3">
        <f>YEAR(Tabla3[[#This Row],[Date]])</f>
        <v>2018</v>
      </c>
      <c r="C685" s="1" t="str">
        <f>+TEXT(Tabla3[[#This Row],[Date]],"mmm")</f>
        <v>oct</v>
      </c>
      <c r="D685" s="2">
        <v>1229.09997558593</v>
      </c>
      <c r="E685" s="2">
        <v>1229.09997558593</v>
      </c>
      <c r="F685" s="2">
        <v>1238.59997558593</v>
      </c>
      <c r="G685" s="2">
        <v>1229.09997558593</v>
      </c>
      <c r="H685" s="2">
        <v>1238.59997558593</v>
      </c>
      <c r="I685">
        <v>7</v>
      </c>
      <c r="J685" s="2">
        <f ca="1">IFERROR((Tabla3[[#This Row],[Close]]-OFFSET(Tabla3[[#This Row],[Close]],-1,0))/OFFSET(Tabla3[[#This Row],[Close]],-1,0),"")</f>
        <v>1.058744670234148E-3</v>
      </c>
      <c r="K685" s="2">
        <f ca="1">IFERROR(AVERAGE(OFFSET(Tabla3[[#This Row],[Close]],-6,0,7)),"")</f>
        <v>1226.7142857142815</v>
      </c>
      <c r="L685" s="2">
        <f ca="1">IFERROR(_xlfn.STDEV.S(OFFSET(Tabla3[[#This Row],[Close]],-29,0,30)),"")</f>
        <v>15.969162142985237</v>
      </c>
    </row>
    <row r="686" spans="1:12" x14ac:dyDescent="0.3">
      <c r="A686" s="1">
        <v>43399</v>
      </c>
      <c r="B686" s="3">
        <f>YEAR(Tabla3[[#This Row],[Date]])</f>
        <v>2018</v>
      </c>
      <c r="C686" s="1" t="str">
        <f>+TEXT(Tabla3[[#This Row],[Date]],"mmm")</f>
        <v>oct</v>
      </c>
      <c r="D686" s="2">
        <v>1232.5</v>
      </c>
      <c r="E686" s="2">
        <v>1232.5</v>
      </c>
      <c r="F686" s="2">
        <v>1234.80004882812</v>
      </c>
      <c r="G686" s="2">
        <v>1232.5</v>
      </c>
      <c r="H686" s="2">
        <v>1234.30004882812</v>
      </c>
      <c r="I686">
        <v>20</v>
      </c>
      <c r="J686" s="2">
        <f ca="1">IFERROR((Tabla3[[#This Row],[Close]]-OFFSET(Tabla3[[#This Row],[Close]],-1,0))/OFFSET(Tabla3[[#This Row],[Close]],-1,0),"")</f>
        <v>2.7662716472263878E-3</v>
      </c>
      <c r="K686" s="2">
        <f ca="1">IFERROR(AVERAGE(OFFSET(Tabla3[[#This Row],[Close]],-6,0,7)),"")</f>
        <v>1227.9714355468714</v>
      </c>
      <c r="L686" s="2">
        <f ca="1">IFERROR(_xlfn.STDEV.S(OFFSET(Tabla3[[#This Row],[Close]],-29,0,30)),"")</f>
        <v>16.503171176928475</v>
      </c>
    </row>
    <row r="687" spans="1:12" x14ac:dyDescent="0.3">
      <c r="A687" s="1">
        <v>43402</v>
      </c>
      <c r="B687" s="3">
        <f>YEAR(Tabla3[[#This Row],[Date]])</f>
        <v>2018</v>
      </c>
      <c r="C687" s="1" t="str">
        <f>+TEXT(Tabla3[[#This Row],[Date]],"mmm")</f>
        <v>oct</v>
      </c>
      <c r="D687" s="2">
        <v>1224.5</v>
      </c>
      <c r="E687" s="2">
        <v>1224.5</v>
      </c>
      <c r="F687" s="2">
        <v>1224.5</v>
      </c>
      <c r="G687" s="2">
        <v>1224.5</v>
      </c>
      <c r="H687" s="2">
        <v>1224.5</v>
      </c>
      <c r="I687">
        <v>214</v>
      </c>
      <c r="J687" s="2">
        <f ca="1">IFERROR((Tabla3[[#This Row],[Close]]-OFFSET(Tabla3[[#This Row],[Close]],-1,0))/OFFSET(Tabla3[[#This Row],[Close]],-1,0),"")</f>
        <v>-6.4908722109533468E-3</v>
      </c>
      <c r="K687" s="2">
        <f ca="1">IFERROR(AVERAGE(OFFSET(Tabla3[[#This Row],[Close]],-6,0,7)),"")</f>
        <v>1227.6857212611571</v>
      </c>
      <c r="L687" s="2">
        <f ca="1">IFERROR(_xlfn.STDEV.S(OFFSET(Tabla3[[#This Row],[Close]],-29,0,30)),"")</f>
        <v>16.710012439309612</v>
      </c>
    </row>
    <row r="688" spans="1:12" x14ac:dyDescent="0.3">
      <c r="A688" s="1">
        <v>43403</v>
      </c>
      <c r="B688" s="3">
        <f>YEAR(Tabla3[[#This Row],[Date]])</f>
        <v>2018</v>
      </c>
      <c r="C688" s="1" t="str">
        <f>+TEXT(Tabla3[[#This Row],[Date]],"mmm")</f>
        <v>oct</v>
      </c>
      <c r="D688" s="2">
        <v>1222.59997558593</v>
      </c>
      <c r="E688" s="2">
        <v>1222.59997558593</v>
      </c>
      <c r="F688" s="2">
        <v>1227.69995117187</v>
      </c>
      <c r="G688" s="2">
        <v>1219.80004882812</v>
      </c>
      <c r="H688" s="2">
        <v>1227.69995117187</v>
      </c>
      <c r="I688">
        <v>72</v>
      </c>
      <c r="J688" s="2">
        <f ca="1">IFERROR((Tabla3[[#This Row],[Close]]-OFFSET(Tabla3[[#This Row],[Close]],-1,0))/OFFSET(Tabla3[[#This Row],[Close]],-1,0),"")</f>
        <v>-1.5516736742098843E-3</v>
      </c>
      <c r="K688" s="2">
        <f ca="1">IFERROR(AVERAGE(OFFSET(Tabla3[[#This Row],[Close]],-6,0,7)),"")</f>
        <v>1227.2999965122729</v>
      </c>
      <c r="L688" s="2">
        <f ca="1">IFERROR(_xlfn.STDEV.S(OFFSET(Tabla3[[#This Row],[Close]],-29,0,30)),"")</f>
        <v>16.751135312559082</v>
      </c>
    </row>
    <row r="689" spans="1:12" x14ac:dyDescent="0.3">
      <c r="A689" s="1">
        <v>43404</v>
      </c>
      <c r="B689" s="3">
        <f>YEAR(Tabla3[[#This Row],[Date]])</f>
        <v>2018</v>
      </c>
      <c r="C689" s="1" t="str">
        <f>+TEXT(Tabla3[[#This Row],[Date]],"mmm")</f>
        <v>oct</v>
      </c>
      <c r="D689" s="2">
        <v>1212.30004882812</v>
      </c>
      <c r="E689" s="2">
        <v>1212.30004882812</v>
      </c>
      <c r="F689" s="2">
        <v>1216.59997558593</v>
      </c>
      <c r="G689" s="2">
        <v>1212</v>
      </c>
      <c r="H689" s="2">
        <v>1216</v>
      </c>
      <c r="I689">
        <v>121</v>
      </c>
      <c r="J689" s="2">
        <f ca="1">IFERROR((Tabla3[[#This Row],[Close]]-OFFSET(Tabla3[[#This Row],[Close]],-1,0))/OFFSET(Tabla3[[#This Row],[Close]],-1,0),"")</f>
        <v>-8.4246090000727903E-3</v>
      </c>
      <c r="K689" s="2">
        <f ca="1">IFERROR(AVERAGE(OFFSET(Tabla3[[#This Row],[Close]],-6,0,7)),"")</f>
        <v>1226.0285818917371</v>
      </c>
      <c r="L689" s="2">
        <f ca="1">IFERROR(_xlfn.STDEV.S(OFFSET(Tabla3[[#This Row],[Close]],-29,0,30)),"")</f>
        <v>16.703767951133671</v>
      </c>
    </row>
    <row r="690" spans="1:12" x14ac:dyDescent="0.3">
      <c r="A690" s="1">
        <v>43405</v>
      </c>
      <c r="B690" s="3">
        <f>YEAR(Tabla3[[#This Row],[Date]])</f>
        <v>2018</v>
      </c>
      <c r="C690" s="1" t="str">
        <f>+TEXT(Tabla3[[#This Row],[Date]],"mmm")</f>
        <v>nov</v>
      </c>
      <c r="D690" s="2">
        <v>1236</v>
      </c>
      <c r="E690" s="2">
        <v>1236</v>
      </c>
      <c r="F690" s="2">
        <v>1236</v>
      </c>
      <c r="G690" s="2">
        <v>1215.40002441406</v>
      </c>
      <c r="H690" s="2">
        <v>1215.40002441406</v>
      </c>
      <c r="I690">
        <v>14</v>
      </c>
      <c r="J690" s="2">
        <f ca="1">IFERROR((Tabla3[[#This Row],[Close]]-OFFSET(Tabla3[[#This Row],[Close]],-1,0))/OFFSET(Tabla3[[#This Row],[Close]],-1,0),"")</f>
        <v>1.9549575366914946E-2</v>
      </c>
      <c r="K690" s="2">
        <f ca="1">IFERROR(AVERAGE(OFFSET(Tabla3[[#This Row],[Close]],-6,0,7)),"")</f>
        <v>1226.4000069754427</v>
      </c>
      <c r="L690" s="2">
        <f ca="1">IFERROR(_xlfn.STDEV.S(OFFSET(Tabla3[[#This Row],[Close]],-29,0,30)),"")</f>
        <v>17.361963493397148</v>
      </c>
    </row>
    <row r="691" spans="1:12" x14ac:dyDescent="0.3">
      <c r="A691" s="1">
        <v>43406</v>
      </c>
      <c r="B691" s="3">
        <f>YEAR(Tabla3[[#This Row],[Date]])</f>
        <v>2018</v>
      </c>
      <c r="C691" s="1" t="str">
        <f>+TEXT(Tabla3[[#This Row],[Date]],"mmm")</f>
        <v>nov</v>
      </c>
      <c r="D691" s="2">
        <v>1230.90002441406</v>
      </c>
      <c r="E691" s="2">
        <v>1230.90002441406</v>
      </c>
      <c r="F691" s="2">
        <v>1233.30004882812</v>
      </c>
      <c r="G691" s="2">
        <v>1230.90002441406</v>
      </c>
      <c r="H691" s="2">
        <v>1233.30004882812</v>
      </c>
      <c r="I691">
        <v>18</v>
      </c>
      <c r="J691" s="2">
        <f ca="1">IFERROR((Tabla3[[#This Row],[Close]]-OFFSET(Tabla3[[#This Row],[Close]],-1,0))/OFFSET(Tabla3[[#This Row],[Close]],-1,0),"")</f>
        <v>-4.1261938397572822E-3</v>
      </c>
      <c r="K691" s="2">
        <f ca="1">IFERROR(AVERAGE(OFFSET(Tabla3[[#This Row],[Close]],-6,0,7)),"")</f>
        <v>1226.8428606305772</v>
      </c>
      <c r="L691" s="2">
        <f ca="1">IFERROR(_xlfn.STDEV.S(OFFSET(Tabla3[[#This Row],[Close]],-29,0,30)),"")</f>
        <v>17.518732526733558</v>
      </c>
    </row>
    <row r="692" spans="1:12" x14ac:dyDescent="0.3">
      <c r="A692" s="1">
        <v>43409</v>
      </c>
      <c r="B692" s="3">
        <f>YEAR(Tabla3[[#This Row],[Date]])</f>
        <v>2018</v>
      </c>
      <c r="C692" s="1" t="str">
        <f>+TEXT(Tabla3[[#This Row],[Date]],"mmm")</f>
        <v>nov</v>
      </c>
      <c r="D692" s="2">
        <v>1229.80004882812</v>
      </c>
      <c r="E692" s="2">
        <v>1229.80004882812</v>
      </c>
      <c r="F692" s="2">
        <v>1231.5</v>
      </c>
      <c r="G692" s="2">
        <v>1226.69995117187</v>
      </c>
      <c r="H692" s="2">
        <v>1230.59997558593</v>
      </c>
      <c r="I692">
        <v>15</v>
      </c>
      <c r="J692" s="2">
        <f ca="1">IFERROR((Tabla3[[#This Row],[Close]]-OFFSET(Tabla3[[#This Row],[Close]],-1,0))/OFFSET(Tabla3[[#This Row],[Close]],-1,0),"")</f>
        <v>-8.9363519711003147E-4</v>
      </c>
      <c r="K692" s="2">
        <f ca="1">IFERROR(AVERAGE(OFFSET(Tabla3[[#This Row],[Close]],-6,0,7)),"")</f>
        <v>1226.942871093747</v>
      </c>
      <c r="L692" s="2">
        <f ca="1">IFERROR(_xlfn.STDEV.S(OFFSET(Tabla3[[#This Row],[Close]],-29,0,30)),"")</f>
        <v>17.650217010787731</v>
      </c>
    </row>
    <row r="693" spans="1:12" x14ac:dyDescent="0.3">
      <c r="A693" s="1">
        <v>43410</v>
      </c>
      <c r="B693" s="3">
        <f>YEAR(Tabla3[[#This Row],[Date]])</f>
        <v>2018</v>
      </c>
      <c r="C693" s="1" t="str">
        <f>+TEXT(Tabla3[[#This Row],[Date]],"mmm")</f>
        <v>nov</v>
      </c>
      <c r="D693" s="2">
        <v>1223.80004882812</v>
      </c>
      <c r="E693" s="2">
        <v>1223.80004882812</v>
      </c>
      <c r="F693" s="2">
        <v>1233.80004882812</v>
      </c>
      <c r="G693" s="2">
        <v>1223.80004882812</v>
      </c>
      <c r="H693" s="2">
        <v>1230.69995117187</v>
      </c>
      <c r="I693">
        <v>4</v>
      </c>
      <c r="J693" s="2">
        <f ca="1">IFERROR((Tabla3[[#This Row],[Close]]-OFFSET(Tabla3[[#This Row],[Close]],-1,0))/OFFSET(Tabla3[[#This Row],[Close]],-1,0),"")</f>
        <v>-4.8788418944343166E-3</v>
      </c>
      <c r="K693" s="2">
        <f ca="1">IFERROR(AVERAGE(OFFSET(Tabla3[[#This Row],[Close]],-6,0,7)),"")</f>
        <v>1225.7000209263356</v>
      </c>
      <c r="L693" s="2">
        <f ca="1">IFERROR(_xlfn.STDEV.S(OFFSET(Tabla3[[#This Row],[Close]],-29,0,30)),"")</f>
        <v>17.587023078065815</v>
      </c>
    </row>
    <row r="694" spans="1:12" x14ac:dyDescent="0.3">
      <c r="A694" s="1">
        <v>43411</v>
      </c>
      <c r="B694" s="3">
        <f>YEAR(Tabla3[[#This Row],[Date]])</f>
        <v>2018</v>
      </c>
      <c r="C694" s="1" t="str">
        <f>+TEXT(Tabla3[[#This Row],[Date]],"mmm")</f>
        <v>nov</v>
      </c>
      <c r="D694" s="2">
        <v>1226.19995117187</v>
      </c>
      <c r="E694" s="2">
        <v>1226.19995117187</v>
      </c>
      <c r="F694" s="2">
        <v>1228.59997558593</v>
      </c>
      <c r="G694" s="2">
        <v>1226.19995117187</v>
      </c>
      <c r="H694" s="2">
        <v>1228.59997558593</v>
      </c>
      <c r="I694">
        <v>1</v>
      </c>
      <c r="J694" s="2">
        <f ca="1">IFERROR((Tabla3[[#This Row],[Close]]-OFFSET(Tabla3[[#This Row],[Close]],-1,0))/OFFSET(Tabla3[[#This Row],[Close]],-1,0),"")</f>
        <v>1.9610248798797533E-3</v>
      </c>
      <c r="K694" s="2">
        <f ca="1">IFERROR(AVERAGE(OFFSET(Tabla3[[#This Row],[Close]],-6,0,7)),"")</f>
        <v>1225.9428710937457</v>
      </c>
      <c r="L694" s="2">
        <f ca="1">IFERROR(_xlfn.STDEV.S(OFFSET(Tabla3[[#This Row],[Close]],-29,0,30)),"")</f>
        <v>17.326878113442724</v>
      </c>
    </row>
    <row r="695" spans="1:12" x14ac:dyDescent="0.3">
      <c r="A695" s="1">
        <v>43412</v>
      </c>
      <c r="B695" s="3">
        <f>YEAR(Tabla3[[#This Row],[Date]])</f>
        <v>2018</v>
      </c>
      <c r="C695" s="1" t="str">
        <f>+TEXT(Tabla3[[#This Row],[Date]],"mmm")</f>
        <v>nov</v>
      </c>
      <c r="D695" s="2">
        <v>1222.90002441406</v>
      </c>
      <c r="E695" s="2">
        <v>1222.90002441406</v>
      </c>
      <c r="F695" s="2">
        <v>1222.90002441406</v>
      </c>
      <c r="G695" s="2">
        <v>1222.90002441406</v>
      </c>
      <c r="H695" s="2">
        <v>1222.90002441406</v>
      </c>
      <c r="I695">
        <v>2</v>
      </c>
      <c r="J695" s="2">
        <f ca="1">IFERROR((Tabla3[[#This Row],[Close]]-OFFSET(Tabla3[[#This Row],[Close]],-1,0))/OFFSET(Tabla3[[#This Row],[Close]],-1,0),"")</f>
        <v>-2.6911816092116819E-3</v>
      </c>
      <c r="K695" s="2">
        <f ca="1">IFERROR(AVERAGE(OFFSET(Tabla3[[#This Row],[Close]],-6,0,7)),"")</f>
        <v>1225.98573521205</v>
      </c>
      <c r="L695" s="2">
        <f ca="1">IFERROR(_xlfn.STDEV.S(OFFSET(Tabla3[[#This Row],[Close]],-29,0,30)),"")</f>
        <v>16.259504331618285</v>
      </c>
    </row>
    <row r="696" spans="1:12" x14ac:dyDescent="0.3">
      <c r="A696" s="1">
        <v>43413</v>
      </c>
      <c r="B696" s="3">
        <f>YEAR(Tabla3[[#This Row],[Date]])</f>
        <v>2018</v>
      </c>
      <c r="C696" s="1" t="str">
        <f>+TEXT(Tabla3[[#This Row],[Date]],"mmm")</f>
        <v>nov</v>
      </c>
      <c r="D696" s="2">
        <v>1206.40002441406</v>
      </c>
      <c r="E696" s="2">
        <v>1206.40002441406</v>
      </c>
      <c r="F696" s="2">
        <v>1207.90002441406</v>
      </c>
      <c r="G696" s="2">
        <v>1206.40002441406</v>
      </c>
      <c r="H696" s="2">
        <v>1207.90002441406</v>
      </c>
      <c r="I696">
        <v>14</v>
      </c>
      <c r="J696" s="2">
        <f ca="1">IFERROR((Tabla3[[#This Row],[Close]]-OFFSET(Tabla3[[#This Row],[Close]],-1,0))/OFFSET(Tabla3[[#This Row],[Close]],-1,0),"")</f>
        <v>-1.3492517516226075E-2</v>
      </c>
      <c r="K696" s="2">
        <f ca="1">IFERROR(AVERAGE(OFFSET(Tabla3[[#This Row],[Close]],-6,0,7)),"")</f>
        <v>1225.1428745814699</v>
      </c>
      <c r="L696" s="2">
        <f ca="1">IFERROR(_xlfn.STDEV.S(OFFSET(Tabla3[[#This Row],[Close]],-29,0,30)),"")</f>
        <v>15.700755501742369</v>
      </c>
    </row>
    <row r="697" spans="1:12" x14ac:dyDescent="0.3">
      <c r="A697" s="1">
        <v>43416</v>
      </c>
      <c r="B697" s="3">
        <f>YEAR(Tabla3[[#This Row],[Date]])</f>
        <v>2018</v>
      </c>
      <c r="C697" s="1" t="str">
        <f>+TEXT(Tabla3[[#This Row],[Date]],"mmm")</f>
        <v>nov</v>
      </c>
      <c r="D697" s="2">
        <v>1201.30004882812</v>
      </c>
      <c r="E697" s="2">
        <v>1201.30004882812</v>
      </c>
      <c r="F697" s="2">
        <v>1201.59997558593</v>
      </c>
      <c r="G697" s="2">
        <v>1201.30004882812</v>
      </c>
      <c r="H697" s="2">
        <v>1201.59997558593</v>
      </c>
      <c r="I697">
        <v>1</v>
      </c>
      <c r="J697" s="2">
        <f ca="1">IFERROR((Tabla3[[#This Row],[Close]]-OFFSET(Tabla3[[#This Row],[Close]],-1,0))/OFFSET(Tabla3[[#This Row],[Close]],-1,0),"")</f>
        <v>-4.2274332582320885E-3</v>
      </c>
      <c r="K697" s="2">
        <f ca="1">IFERROR(AVERAGE(OFFSET(Tabla3[[#This Row],[Close]],-6,0,7)),"")</f>
        <v>1220.1857386997729</v>
      </c>
      <c r="L697" s="2">
        <f ca="1">IFERROR(_xlfn.STDEV.S(OFFSET(Tabla3[[#This Row],[Close]],-29,0,30)),"")</f>
        <v>14.978923292990027</v>
      </c>
    </row>
    <row r="698" spans="1:12" x14ac:dyDescent="0.3">
      <c r="A698" s="1">
        <v>43417</v>
      </c>
      <c r="B698" s="3">
        <f>YEAR(Tabla3[[#This Row],[Date]])</f>
        <v>2018</v>
      </c>
      <c r="C698" s="1" t="str">
        <f>+TEXT(Tabla3[[#This Row],[Date]],"mmm")</f>
        <v>nov</v>
      </c>
      <c r="D698" s="2">
        <v>1199.19995117187</v>
      </c>
      <c r="E698" s="2">
        <v>1199.19995117187</v>
      </c>
      <c r="F698" s="2">
        <v>1201.30004882812</v>
      </c>
      <c r="G698" s="2">
        <v>1196.30004882812</v>
      </c>
      <c r="H698" s="2">
        <v>1196.30004882812</v>
      </c>
      <c r="I698">
        <v>5</v>
      </c>
      <c r="J698" s="2">
        <f ca="1">IFERROR((Tabla3[[#This Row],[Close]]-OFFSET(Tabla3[[#This Row],[Close]],-1,0))/OFFSET(Tabla3[[#This Row],[Close]],-1,0),"")</f>
        <v>-1.7481874393484509E-3</v>
      </c>
      <c r="K698" s="2">
        <f ca="1">IFERROR(AVERAGE(OFFSET(Tabla3[[#This Row],[Close]],-6,0,7)),"")</f>
        <v>1215.6571568080312</v>
      </c>
      <c r="L698" s="2">
        <f ca="1">IFERROR(_xlfn.STDEV.S(OFFSET(Tabla3[[#This Row],[Close]],-29,0,30)),"")</f>
        <v>15.097770227152715</v>
      </c>
    </row>
    <row r="699" spans="1:12" x14ac:dyDescent="0.3">
      <c r="A699" s="1">
        <v>43418</v>
      </c>
      <c r="B699" s="3">
        <f>YEAR(Tabla3[[#This Row],[Date]])</f>
        <v>2018</v>
      </c>
      <c r="C699" s="1" t="str">
        <f>+TEXT(Tabla3[[#This Row],[Date]],"mmm")</f>
        <v>nov</v>
      </c>
      <c r="D699" s="2">
        <v>1207.90002441406</v>
      </c>
      <c r="E699" s="2">
        <v>1207.90002441406</v>
      </c>
      <c r="F699" s="2">
        <v>1207.90002441406</v>
      </c>
      <c r="G699" s="2">
        <v>1207.90002441406</v>
      </c>
      <c r="H699" s="2">
        <v>1207.90002441406</v>
      </c>
      <c r="I699">
        <v>0</v>
      </c>
      <c r="J699" s="2">
        <f ca="1">IFERROR((Tabla3[[#This Row],[Close]]-OFFSET(Tabla3[[#This Row],[Close]],-1,0))/OFFSET(Tabla3[[#This Row],[Close]],-1,0),"")</f>
        <v>7.2548979289802371E-3</v>
      </c>
      <c r="K699" s="2">
        <f ca="1">IFERROR(AVERAGE(OFFSET(Tabla3[[#This Row],[Close]],-6,0,7)),"")</f>
        <v>1212.5285818917371</v>
      </c>
      <c r="L699" s="2">
        <f ca="1">IFERROR(_xlfn.STDEV.S(OFFSET(Tabla3[[#This Row],[Close]],-29,0,30)),"")</f>
        <v>14.787546711317466</v>
      </c>
    </row>
    <row r="700" spans="1:12" x14ac:dyDescent="0.3">
      <c r="A700" s="1">
        <v>43419</v>
      </c>
      <c r="B700" s="3">
        <f>YEAR(Tabla3[[#This Row],[Date]])</f>
        <v>2018</v>
      </c>
      <c r="C700" s="1" t="str">
        <f>+TEXT(Tabla3[[#This Row],[Date]],"mmm")</f>
        <v>nov</v>
      </c>
      <c r="D700" s="2">
        <v>1212.80004882812</v>
      </c>
      <c r="E700" s="2">
        <v>1212.80004882812</v>
      </c>
      <c r="F700" s="2">
        <v>1212.80004882812</v>
      </c>
      <c r="G700" s="2">
        <v>1212.80004882812</v>
      </c>
      <c r="H700" s="2">
        <v>1212.80004882812</v>
      </c>
      <c r="I700">
        <v>0</v>
      </c>
      <c r="J700" s="2">
        <f ca="1">IFERROR((Tabla3[[#This Row],[Close]]-OFFSET(Tabla3[[#This Row],[Close]],-1,0))/OFFSET(Tabla3[[#This Row],[Close]],-1,0),"")</f>
        <v>4.0566473342336018E-3</v>
      </c>
      <c r="K700" s="2">
        <f ca="1">IFERROR(AVERAGE(OFFSET(Tabla3[[#This Row],[Close]],-6,0,7)),"")</f>
        <v>1210.9571533203086</v>
      </c>
      <c r="L700" s="2">
        <f ca="1">IFERROR(_xlfn.STDEV.S(OFFSET(Tabla3[[#This Row],[Close]],-29,0,30)),"")</f>
        <v>14.324736195865018</v>
      </c>
    </row>
    <row r="701" spans="1:12" x14ac:dyDescent="0.3">
      <c r="A701" s="1">
        <v>43420</v>
      </c>
      <c r="B701" s="3">
        <f>YEAR(Tabla3[[#This Row],[Date]])</f>
        <v>2018</v>
      </c>
      <c r="C701" s="1" t="str">
        <f>+TEXT(Tabla3[[#This Row],[Date]],"mmm")</f>
        <v>nov</v>
      </c>
      <c r="D701" s="2">
        <v>1220.80004882812</v>
      </c>
      <c r="E701" s="2">
        <v>1220.80004882812</v>
      </c>
      <c r="F701" s="2">
        <v>1223.80004882812</v>
      </c>
      <c r="G701" s="2">
        <v>1216.69995117187</v>
      </c>
      <c r="H701" s="2">
        <v>1216.69995117187</v>
      </c>
      <c r="I701">
        <v>5</v>
      </c>
      <c r="J701" s="2">
        <f ca="1">IFERROR((Tabla3[[#This Row],[Close]]-OFFSET(Tabla3[[#This Row],[Close]],-1,0))/OFFSET(Tabla3[[#This Row],[Close]],-1,0),"")</f>
        <v>6.5963058030300038E-3</v>
      </c>
      <c r="K701" s="2">
        <f ca="1">IFERROR(AVERAGE(OFFSET(Tabla3[[#This Row],[Close]],-6,0,7)),"")</f>
        <v>1210.1857386997729</v>
      </c>
      <c r="L701" s="2">
        <f ca="1">IFERROR(_xlfn.STDEV.S(OFFSET(Tabla3[[#This Row],[Close]],-29,0,30)),"")</f>
        <v>13.985251065844336</v>
      </c>
    </row>
    <row r="702" spans="1:12" x14ac:dyDescent="0.3">
      <c r="A702" s="1">
        <v>43423</v>
      </c>
      <c r="B702" s="3">
        <f>YEAR(Tabla3[[#This Row],[Date]])</f>
        <v>2018</v>
      </c>
      <c r="C702" s="1" t="str">
        <f>+TEXT(Tabla3[[#This Row],[Date]],"mmm")</f>
        <v>nov</v>
      </c>
      <c r="D702" s="2">
        <v>1223.09997558593</v>
      </c>
      <c r="E702" s="2">
        <v>1223.09997558593</v>
      </c>
      <c r="F702" s="2">
        <v>1223.09997558593</v>
      </c>
      <c r="G702" s="2">
        <v>1223.09997558593</v>
      </c>
      <c r="H702" s="2">
        <v>1223.09997558593</v>
      </c>
      <c r="I702">
        <v>0</v>
      </c>
      <c r="J702" s="2">
        <f ca="1">IFERROR((Tabla3[[#This Row],[Close]]-OFFSET(Tabla3[[#This Row],[Close]],-1,0))/OFFSET(Tabla3[[#This Row],[Close]],-1,0),"")</f>
        <v>1.8839504143350605E-3</v>
      </c>
      <c r="K702" s="2">
        <f ca="1">IFERROR(AVERAGE(OFFSET(Tabla3[[#This Row],[Close]],-6,0,7)),"")</f>
        <v>1210.2143031528972</v>
      </c>
      <c r="L702" s="2">
        <f ca="1">IFERROR(_xlfn.STDEV.S(OFFSET(Tabla3[[#This Row],[Close]],-29,0,30)),"")</f>
        <v>12.43654216863218</v>
      </c>
    </row>
    <row r="703" spans="1:12" x14ac:dyDescent="0.3">
      <c r="A703" s="1">
        <v>43424</v>
      </c>
      <c r="B703" s="3">
        <f>YEAR(Tabla3[[#This Row],[Date]])</f>
        <v>2018</v>
      </c>
      <c r="C703" s="1" t="str">
        <f>+TEXT(Tabla3[[#This Row],[Date]],"mmm")</f>
        <v>nov</v>
      </c>
      <c r="D703" s="2">
        <v>1219</v>
      </c>
      <c r="E703" s="2">
        <v>1219</v>
      </c>
      <c r="F703" s="2">
        <v>1228.80004882812</v>
      </c>
      <c r="G703" s="2">
        <v>1219</v>
      </c>
      <c r="H703" s="2">
        <v>1225.30004882812</v>
      </c>
      <c r="I703">
        <v>12</v>
      </c>
      <c r="J703" s="2">
        <f ca="1">IFERROR((Tabla3[[#This Row],[Close]]-OFFSET(Tabla3[[#This Row],[Close]],-1,0))/OFFSET(Tabla3[[#This Row],[Close]],-1,0),"")</f>
        <v>-3.3521181160729645E-3</v>
      </c>
      <c r="K703" s="2">
        <f ca="1">IFERROR(AVERAGE(OFFSET(Tabla3[[#This Row],[Close]],-6,0,7)),"")</f>
        <v>1212.0142996651741</v>
      </c>
      <c r="L703" s="2">
        <f ca="1">IFERROR(_xlfn.STDEV.S(OFFSET(Tabla3[[#This Row],[Close]],-29,0,30)),"")</f>
        <v>10.818553589356638</v>
      </c>
    </row>
    <row r="704" spans="1:12" x14ac:dyDescent="0.3">
      <c r="A704" s="1">
        <v>43425</v>
      </c>
      <c r="B704" s="3">
        <f>YEAR(Tabla3[[#This Row],[Date]])</f>
        <v>2018</v>
      </c>
      <c r="C704" s="1" t="str">
        <f>+TEXT(Tabla3[[#This Row],[Date]],"mmm")</f>
        <v>nov</v>
      </c>
      <c r="D704" s="2">
        <v>1225.80004882812</v>
      </c>
      <c r="E704" s="2">
        <v>1225.80004882812</v>
      </c>
      <c r="F704" s="2">
        <v>1225.80004882812</v>
      </c>
      <c r="G704" s="2">
        <v>1225.80004882812</v>
      </c>
      <c r="H704" s="2">
        <v>1225.80004882812</v>
      </c>
      <c r="I704">
        <v>0</v>
      </c>
      <c r="J704" s="2">
        <f ca="1">IFERROR((Tabla3[[#This Row],[Close]]-OFFSET(Tabla3[[#This Row],[Close]],-1,0))/OFFSET(Tabla3[[#This Row],[Close]],-1,0),"")</f>
        <v>5.5783829599015565E-3</v>
      </c>
      <c r="K704" s="2">
        <f ca="1">IFERROR(AVERAGE(OFFSET(Tabla3[[#This Row],[Close]],-6,0,7)),"")</f>
        <v>1215.5142996651743</v>
      </c>
      <c r="L704" s="2">
        <f ca="1">IFERROR(_xlfn.STDEV.S(OFFSET(Tabla3[[#This Row],[Close]],-29,0,30)),"")</f>
        <v>9.0658694619929054</v>
      </c>
    </row>
    <row r="705" spans="1:12" x14ac:dyDescent="0.3">
      <c r="A705" s="1">
        <v>43427</v>
      </c>
      <c r="B705" s="3">
        <f>YEAR(Tabla3[[#This Row],[Date]])</f>
        <v>2018</v>
      </c>
      <c r="C705" s="1" t="str">
        <f>+TEXT(Tabla3[[#This Row],[Date]],"mmm")</f>
        <v>nov</v>
      </c>
      <c r="D705" s="2">
        <v>1221</v>
      </c>
      <c r="E705" s="2">
        <v>1221</v>
      </c>
      <c r="F705" s="2">
        <v>1224.80004882812</v>
      </c>
      <c r="G705" s="2">
        <v>1221</v>
      </c>
      <c r="H705" s="2">
        <v>1224.80004882812</v>
      </c>
      <c r="I705">
        <v>1</v>
      </c>
      <c r="J705" s="2">
        <f ca="1">IFERROR((Tabla3[[#This Row],[Close]]-OFFSET(Tabla3[[#This Row],[Close]],-1,0))/OFFSET(Tabla3[[#This Row],[Close]],-1,0),"")</f>
        <v>-3.9158497609042388E-3</v>
      </c>
      <c r="K705" s="2">
        <f ca="1">IFERROR(AVERAGE(OFFSET(Tabla3[[#This Row],[Close]],-6,0,7)),"")</f>
        <v>1218.6285923549071</v>
      </c>
      <c r="L705" s="2">
        <f ca="1">IFERROR(_xlfn.STDEV.S(OFFSET(Tabla3[[#This Row],[Close]],-29,0,30)),"")</f>
        <v>9.0631274084924218</v>
      </c>
    </row>
    <row r="706" spans="1:12" x14ac:dyDescent="0.3">
      <c r="A706" s="1">
        <v>43430</v>
      </c>
      <c r="B706" s="3">
        <f>YEAR(Tabla3[[#This Row],[Date]])</f>
        <v>2018</v>
      </c>
      <c r="C706" s="1" t="str">
        <f>+TEXT(Tabla3[[#This Row],[Date]],"mmm")</f>
        <v>nov</v>
      </c>
      <c r="D706" s="2">
        <v>1220.19995117187</v>
      </c>
      <c r="E706" s="2">
        <v>1220.19995117187</v>
      </c>
      <c r="F706" s="2">
        <v>1222</v>
      </c>
      <c r="G706" s="2">
        <v>1220.19995117187</v>
      </c>
      <c r="H706" s="2">
        <v>1220.19995117187</v>
      </c>
      <c r="I706">
        <v>2</v>
      </c>
      <c r="J706" s="2">
        <f ca="1">IFERROR((Tabla3[[#This Row],[Close]]-OFFSET(Tabla3[[#This Row],[Close]],-1,0))/OFFSET(Tabla3[[#This Row],[Close]],-1,0),"")</f>
        <v>-6.5524064547911728E-4</v>
      </c>
      <c r="K706" s="2">
        <f ca="1">IFERROR(AVERAGE(OFFSET(Tabla3[[#This Row],[Close]],-6,0,7)),"")</f>
        <v>1220.38572474888</v>
      </c>
      <c r="L706" s="2">
        <f ca="1">IFERROR(_xlfn.STDEV.S(OFFSET(Tabla3[[#This Row],[Close]],-29,0,30)),"")</f>
        <v>9.0406877432707429</v>
      </c>
    </row>
    <row r="707" spans="1:12" x14ac:dyDescent="0.3">
      <c r="A707" s="1">
        <v>43431</v>
      </c>
      <c r="B707" s="3">
        <f>YEAR(Tabla3[[#This Row],[Date]])</f>
        <v>2018</v>
      </c>
      <c r="C707" s="1" t="str">
        <f>+TEXT(Tabla3[[#This Row],[Date]],"mmm")</f>
        <v>nov</v>
      </c>
      <c r="D707" s="2">
        <v>1211.19995117187</v>
      </c>
      <c r="E707" s="2">
        <v>1211.19995117187</v>
      </c>
      <c r="F707" s="2">
        <v>1222</v>
      </c>
      <c r="G707" s="2">
        <v>1211.19995117187</v>
      </c>
      <c r="H707" s="2">
        <v>1221.90002441406</v>
      </c>
      <c r="I707">
        <v>5</v>
      </c>
      <c r="J707" s="2">
        <f ca="1">IFERROR((Tabla3[[#This Row],[Close]]-OFFSET(Tabla3[[#This Row],[Close]],-1,0))/OFFSET(Tabla3[[#This Row],[Close]],-1,0),"")</f>
        <v>-7.3758403213805036E-3</v>
      </c>
      <c r="K707" s="2">
        <f ca="1">IFERROR(AVERAGE(OFFSET(Tabla3[[#This Row],[Close]],-6,0,7)),"")</f>
        <v>1220.1571393694155</v>
      </c>
      <c r="L707" s="2">
        <f ca="1">IFERROR(_xlfn.STDEV.S(OFFSET(Tabla3[[#This Row],[Close]],-29,0,30)),"")</f>
        <v>9.2093707219088916</v>
      </c>
    </row>
    <row r="708" spans="1:12" x14ac:dyDescent="0.3">
      <c r="A708" s="1">
        <v>43432</v>
      </c>
      <c r="B708" s="3">
        <f>YEAR(Tabla3[[#This Row],[Date]])</f>
        <v>2018</v>
      </c>
      <c r="C708" s="1" t="str">
        <f>+TEXT(Tabla3[[#This Row],[Date]],"mmm")</f>
        <v>nov</v>
      </c>
      <c r="D708" s="2">
        <v>1221.40002441406</v>
      </c>
      <c r="E708" s="2">
        <v>1221.40002441406</v>
      </c>
      <c r="F708" s="2">
        <v>1221.40002441406</v>
      </c>
      <c r="G708" s="2">
        <v>1211.5</v>
      </c>
      <c r="H708" s="2">
        <v>1211.5</v>
      </c>
      <c r="I708">
        <v>247168</v>
      </c>
      <c r="J708" s="2">
        <f ca="1">IFERROR((Tabla3[[#This Row],[Close]]-OFFSET(Tabla3[[#This Row],[Close]],-1,0))/OFFSET(Tabla3[[#This Row],[Close]],-1,0),"")</f>
        <v>8.4214610744668076E-3</v>
      </c>
      <c r="K708" s="2">
        <f ca="1">IFERROR(AVERAGE(OFFSET(Tabla3[[#This Row],[Close]],-6,0,7)),"")</f>
        <v>1220.2428501674071</v>
      </c>
      <c r="L708" s="2">
        <f ca="1">IFERROR(_xlfn.STDEV.S(OFFSET(Tabla3[[#This Row],[Close]],-29,0,30)),"")</f>
        <v>9.143634073504737</v>
      </c>
    </row>
    <row r="709" spans="1:12" x14ac:dyDescent="0.3">
      <c r="A709" s="1">
        <v>43433</v>
      </c>
      <c r="B709" s="3">
        <f>YEAR(Tabla3[[#This Row],[Date]])</f>
        <v>2018</v>
      </c>
      <c r="C709" s="1" t="str">
        <f>+TEXT(Tabla3[[#This Row],[Date]],"mmm")</f>
        <v>nov</v>
      </c>
      <c r="D709" s="2">
        <v>1224.09997558593</v>
      </c>
      <c r="E709" s="2">
        <v>1224.09997558593</v>
      </c>
      <c r="F709" s="2">
        <v>1228.69995117187</v>
      </c>
      <c r="G709" s="2">
        <v>1220.5</v>
      </c>
      <c r="H709" s="2">
        <v>1221</v>
      </c>
      <c r="I709">
        <v>55478</v>
      </c>
      <c r="J709" s="2">
        <f ca="1">IFERROR((Tabla3[[#This Row],[Close]]-OFFSET(Tabla3[[#This Row],[Close]],-1,0))/OFFSET(Tabla3[[#This Row],[Close]],-1,0),"")</f>
        <v>2.210538003849509E-3</v>
      </c>
      <c r="K709" s="2">
        <f ca="1">IFERROR(AVERAGE(OFFSET(Tabla3[[#This Row],[Close]],-6,0,7)),"")</f>
        <v>1220.3857073102643</v>
      </c>
      <c r="L709" s="2">
        <f ca="1">IFERROR(_xlfn.STDEV.S(OFFSET(Tabla3[[#This Row],[Close]],-29,0,30)),"")</f>
        <v>9.1475655385172363</v>
      </c>
    </row>
    <row r="710" spans="1:12" x14ac:dyDescent="0.3">
      <c r="A710" s="1">
        <v>43434</v>
      </c>
      <c r="B710" s="3">
        <f>YEAR(Tabla3[[#This Row],[Date]])</f>
        <v>2018</v>
      </c>
      <c r="C710" s="1" t="str">
        <f>+TEXT(Tabla3[[#This Row],[Date]],"mmm")</f>
        <v>nov</v>
      </c>
      <c r="D710" s="2">
        <v>1220.19995117187</v>
      </c>
      <c r="E710" s="2">
        <v>1220.19995117187</v>
      </c>
      <c r="F710" s="2">
        <v>1225</v>
      </c>
      <c r="G710" s="2">
        <v>1216.09997558593</v>
      </c>
      <c r="H710" s="2">
        <v>1224.09997558593</v>
      </c>
      <c r="I710">
        <v>2060</v>
      </c>
      <c r="J710" s="2">
        <f ca="1">IFERROR((Tabla3[[#This Row],[Close]]-OFFSET(Tabla3[[#This Row],[Close]],-1,0))/OFFSET(Tabla3[[#This Row],[Close]],-1,0),"")</f>
        <v>-3.1860342225668338E-3</v>
      </c>
      <c r="K710" s="2">
        <f ca="1">IFERROR(AVERAGE(OFFSET(Tabla3[[#This Row],[Close]],-6,0,7)),"")</f>
        <v>1220.5571289062459</v>
      </c>
      <c r="L710" s="2">
        <f ca="1">IFERROR(_xlfn.STDEV.S(OFFSET(Tabla3[[#This Row],[Close]],-29,0,30)),"")</f>
        <v>9.0962438110251007</v>
      </c>
    </row>
    <row r="711" spans="1:12" x14ac:dyDescent="0.3">
      <c r="A711" s="1">
        <v>43437</v>
      </c>
      <c r="B711" s="3">
        <f>YEAR(Tabla3[[#This Row],[Date]])</f>
        <v>2018</v>
      </c>
      <c r="C711" s="1" t="str">
        <f>+TEXT(Tabla3[[#This Row],[Date]],"mmm")</f>
        <v>dic</v>
      </c>
      <c r="D711" s="2">
        <v>1233.90002441406</v>
      </c>
      <c r="E711" s="2">
        <v>1233.90002441406</v>
      </c>
      <c r="F711" s="2">
        <v>1234.09997558593</v>
      </c>
      <c r="G711" s="2">
        <v>1221.30004882812</v>
      </c>
      <c r="H711" s="2">
        <v>1222.5</v>
      </c>
      <c r="I711">
        <v>751</v>
      </c>
      <c r="J711" s="2">
        <f ca="1">IFERROR((Tabla3[[#This Row],[Close]]-OFFSET(Tabla3[[#This Row],[Close]],-1,0))/OFFSET(Tabla3[[#This Row],[Close]],-1,0),"")</f>
        <v>1.1227728069512348E-2</v>
      </c>
      <c r="K711" s="2">
        <f ca="1">IFERROR(AVERAGE(OFFSET(Tabla3[[#This Row],[Close]],-6,0,7)),"")</f>
        <v>1221.7142682756657</v>
      </c>
      <c r="L711" s="2">
        <f ca="1">IFERROR(_xlfn.STDEV.S(OFFSET(Tabla3[[#This Row],[Close]],-29,0,30)),"")</f>
        <v>9.36503893921555</v>
      </c>
    </row>
    <row r="712" spans="1:12" x14ac:dyDescent="0.3">
      <c r="A712" s="1">
        <v>43438</v>
      </c>
      <c r="B712" s="3">
        <f>YEAR(Tabla3[[#This Row],[Date]])</f>
        <v>2018</v>
      </c>
      <c r="C712" s="1" t="str">
        <f>+TEXT(Tabla3[[#This Row],[Date]],"mmm")</f>
        <v>dic</v>
      </c>
      <c r="D712" s="2">
        <v>1241.09997558593</v>
      </c>
      <c r="E712" s="2">
        <v>1241.09997558593</v>
      </c>
      <c r="F712" s="2">
        <v>1241.40002441406</v>
      </c>
      <c r="G712" s="2">
        <v>1230.40002441406</v>
      </c>
      <c r="H712" s="2">
        <v>1231</v>
      </c>
      <c r="I712">
        <v>474</v>
      </c>
      <c r="J712" s="2">
        <f ca="1">IFERROR((Tabla3[[#This Row],[Close]]-OFFSET(Tabla3[[#This Row],[Close]],-1,0))/OFFSET(Tabla3[[#This Row],[Close]],-1,0),"")</f>
        <v>5.835117132191505E-3</v>
      </c>
      <c r="K712" s="2">
        <f ca="1">IFERROR(AVERAGE(OFFSET(Tabla3[[#This Row],[Close]],-6,0,7)),"")</f>
        <v>1224.5856933593698</v>
      </c>
      <c r="L712" s="2">
        <f ca="1">IFERROR(_xlfn.STDEV.S(OFFSET(Tabla3[[#This Row],[Close]],-29,0,30)),"")</f>
        <v>10.033034693328071</v>
      </c>
    </row>
    <row r="713" spans="1:12" x14ac:dyDescent="0.3">
      <c r="A713" s="1">
        <v>43440</v>
      </c>
      <c r="B713" s="3">
        <f>YEAR(Tabla3[[#This Row],[Date]])</f>
        <v>2018</v>
      </c>
      <c r="C713" s="1" t="str">
        <f>+TEXT(Tabla3[[#This Row],[Date]],"mmm")</f>
        <v>dic</v>
      </c>
      <c r="D713" s="2">
        <v>1238.09997558593</v>
      </c>
      <c r="E713" s="2">
        <v>1238.09997558593</v>
      </c>
      <c r="F713" s="2">
        <v>1244.40002441406</v>
      </c>
      <c r="G713" s="2">
        <v>1234.80004882812</v>
      </c>
      <c r="H713" s="2">
        <v>1237.5</v>
      </c>
      <c r="I713">
        <v>434</v>
      </c>
      <c r="J713" s="2">
        <f ca="1">IFERROR((Tabla3[[#This Row],[Close]]-OFFSET(Tabla3[[#This Row],[Close]],-1,0))/OFFSET(Tabla3[[#This Row],[Close]],-1,0),"")</f>
        <v>-2.4172105865876629E-3</v>
      </c>
      <c r="K713" s="2">
        <f ca="1">IFERROR(AVERAGE(OFFSET(Tabla3[[#This Row],[Close]],-6,0,7)),"")</f>
        <v>1227.1428397042357</v>
      </c>
      <c r="L713" s="2">
        <f ca="1">IFERROR(_xlfn.STDEV.S(OFFSET(Tabla3[[#This Row],[Close]],-29,0,30)),"")</f>
        <v>10.250867165117555</v>
      </c>
    </row>
    <row r="714" spans="1:12" x14ac:dyDescent="0.3">
      <c r="A714" s="1">
        <v>43441</v>
      </c>
      <c r="B714" s="3">
        <f>YEAR(Tabla3[[#This Row],[Date]])</f>
        <v>2018</v>
      </c>
      <c r="C714" s="1" t="str">
        <f>+TEXT(Tabla3[[#This Row],[Date]],"mmm")</f>
        <v>dic</v>
      </c>
      <c r="D714" s="2">
        <v>1246.80004882812</v>
      </c>
      <c r="E714" s="2">
        <v>1246.80004882812</v>
      </c>
      <c r="F714" s="2">
        <v>1249.80004882812</v>
      </c>
      <c r="G714" s="2">
        <v>1237.59997558593</v>
      </c>
      <c r="H714" s="2">
        <v>1238.30004882812</v>
      </c>
      <c r="I714">
        <v>211</v>
      </c>
      <c r="J714" s="2">
        <f ca="1">IFERROR((Tabla3[[#This Row],[Close]]-OFFSET(Tabla3[[#This Row],[Close]],-1,0))/OFFSET(Tabla3[[#This Row],[Close]],-1,0),"")</f>
        <v>7.0269553458901391E-3</v>
      </c>
      <c r="K714" s="2">
        <f ca="1">IFERROR(AVERAGE(OFFSET(Tabla3[[#This Row],[Close]],-6,0,7)),"")</f>
        <v>1232.228567940843</v>
      </c>
      <c r="L714" s="2">
        <f ca="1">IFERROR(_xlfn.STDEV.S(OFFSET(Tabla3[[#This Row],[Close]],-29,0,30)),"")</f>
        <v>11.155983479922561</v>
      </c>
    </row>
    <row r="715" spans="1:12" x14ac:dyDescent="0.3">
      <c r="A715" s="1">
        <v>43444</v>
      </c>
      <c r="B715" s="3">
        <f>YEAR(Tabla3[[#This Row],[Date]])</f>
        <v>2018</v>
      </c>
      <c r="C715" s="1" t="str">
        <f>+TEXT(Tabla3[[#This Row],[Date]],"mmm")</f>
        <v>dic</v>
      </c>
      <c r="D715" s="2">
        <v>1243.69995117187</v>
      </c>
      <c r="E715" s="2">
        <v>1243.69995117187</v>
      </c>
      <c r="F715" s="2">
        <v>1249.59997558593</v>
      </c>
      <c r="G715" s="2">
        <v>1241.69995117187</v>
      </c>
      <c r="H715" s="2">
        <v>1249.59997558593</v>
      </c>
      <c r="I715">
        <v>131</v>
      </c>
      <c r="J715" s="2">
        <f ca="1">IFERROR((Tabla3[[#This Row],[Close]]-OFFSET(Tabla3[[#This Row],[Close]],-1,0))/OFFSET(Tabla3[[#This Row],[Close]],-1,0),"")</f>
        <v>-2.4864433227796334E-3</v>
      </c>
      <c r="K715" s="2">
        <f ca="1">IFERROR(AVERAGE(OFFSET(Tabla3[[#This Row],[Close]],-6,0,7)),"")</f>
        <v>1235.4142717633872</v>
      </c>
      <c r="L715" s="2">
        <f ca="1">IFERROR(_xlfn.STDEV.S(OFFSET(Tabla3[[#This Row],[Close]],-29,0,30)),"")</f>
        <v>11.741996350625284</v>
      </c>
    </row>
    <row r="716" spans="1:12" x14ac:dyDescent="0.3">
      <c r="A716" s="1">
        <v>43445</v>
      </c>
      <c r="B716" s="3">
        <f>YEAR(Tabla3[[#This Row],[Date]])</f>
        <v>2018</v>
      </c>
      <c r="C716" s="1" t="str">
        <f>+TEXT(Tabla3[[#This Row],[Date]],"mmm")</f>
        <v>dic</v>
      </c>
      <c r="D716" s="2">
        <v>1241.90002441406</v>
      </c>
      <c r="E716" s="2">
        <v>1241.90002441406</v>
      </c>
      <c r="F716" s="2">
        <v>1248.69995117187</v>
      </c>
      <c r="G716" s="2">
        <v>1241.5</v>
      </c>
      <c r="H716" s="2">
        <v>1245.80004882812</v>
      </c>
      <c r="I716">
        <v>117</v>
      </c>
      <c r="J716" s="2">
        <f ca="1">IFERROR((Tabla3[[#This Row],[Close]]-OFFSET(Tabla3[[#This Row],[Close]],-1,0))/OFFSET(Tabla3[[#This Row],[Close]],-1,0),"")</f>
        <v>-1.4472355298510923E-3</v>
      </c>
      <c r="K716" s="2">
        <f ca="1">IFERROR(AVERAGE(OFFSET(Tabla3[[#This Row],[Close]],-6,0,7)),"")</f>
        <v>1237.9571358816916</v>
      </c>
      <c r="L716" s="2">
        <f ca="1">IFERROR(_xlfn.STDEV.S(OFFSET(Tabla3[[#This Row],[Close]],-29,0,30)),"")</f>
        <v>12.114997857558794</v>
      </c>
    </row>
    <row r="717" spans="1:12" x14ac:dyDescent="0.3">
      <c r="A717" s="1">
        <v>43446</v>
      </c>
      <c r="B717" s="3">
        <f>YEAR(Tabla3[[#This Row],[Date]])</f>
        <v>2018</v>
      </c>
      <c r="C717" s="1" t="str">
        <f>+TEXT(Tabla3[[#This Row],[Date]],"mmm")</f>
        <v>dic</v>
      </c>
      <c r="D717" s="2">
        <v>1244.40002441406</v>
      </c>
      <c r="E717" s="2">
        <v>1244.40002441406</v>
      </c>
      <c r="F717" s="2">
        <v>1245.59997558593</v>
      </c>
      <c r="G717" s="2">
        <v>1244.09997558593</v>
      </c>
      <c r="H717" s="2">
        <v>1245.30004882812</v>
      </c>
      <c r="I717">
        <v>84</v>
      </c>
      <c r="J717" s="2">
        <f ca="1">IFERROR((Tabla3[[#This Row],[Close]]-OFFSET(Tabla3[[#This Row],[Close]],-1,0))/OFFSET(Tabla3[[#This Row],[Close]],-1,0),"")</f>
        <v>2.0130444889712626E-3</v>
      </c>
      <c r="K717" s="2">
        <f ca="1">IFERROR(AVERAGE(OFFSET(Tabla3[[#This Row],[Close]],-6,0,7)),"")</f>
        <v>1241.4142892020043</v>
      </c>
      <c r="L717" s="2">
        <f ca="1">IFERROR(_xlfn.STDEV.S(OFFSET(Tabla3[[#This Row],[Close]],-29,0,30)),"")</f>
        <v>12.695177571618638</v>
      </c>
    </row>
    <row r="718" spans="1:12" x14ac:dyDescent="0.3">
      <c r="A718" s="1">
        <v>43447</v>
      </c>
      <c r="B718" s="3">
        <f>YEAR(Tabla3[[#This Row],[Date]])</f>
        <v>2018</v>
      </c>
      <c r="C718" s="1" t="str">
        <f>+TEXT(Tabla3[[#This Row],[Date]],"mmm")</f>
        <v>dic</v>
      </c>
      <c r="D718" s="2">
        <v>1242.69995117187</v>
      </c>
      <c r="E718" s="2">
        <v>1242.69995117187</v>
      </c>
      <c r="F718" s="2">
        <v>1243.5</v>
      </c>
      <c r="G718" s="2">
        <v>1241</v>
      </c>
      <c r="H718" s="2">
        <v>1243.5</v>
      </c>
      <c r="I718">
        <v>194</v>
      </c>
      <c r="J718" s="2">
        <f ca="1">IFERROR((Tabla3[[#This Row],[Close]]-OFFSET(Tabla3[[#This Row],[Close]],-1,0))/OFFSET(Tabla3[[#This Row],[Close]],-1,0),"")</f>
        <v>-1.3661790492092765E-3</v>
      </c>
      <c r="K718" s="2">
        <f ca="1">IFERROR(AVERAGE(OFFSET(Tabla3[[#This Row],[Close]],-6,0,7)),"")</f>
        <v>1242.6714215959769</v>
      </c>
      <c r="L718" s="2">
        <f ca="1">IFERROR(_xlfn.STDEV.S(OFFSET(Tabla3[[#This Row],[Close]],-29,0,30)),"")</f>
        <v>13.125820036356281</v>
      </c>
    </row>
    <row r="719" spans="1:12" x14ac:dyDescent="0.3">
      <c r="A719" s="1">
        <v>43448</v>
      </c>
      <c r="B719" s="3">
        <f>YEAR(Tabla3[[#This Row],[Date]])</f>
        <v>2018</v>
      </c>
      <c r="C719" s="1" t="str">
        <f>+TEXT(Tabla3[[#This Row],[Date]],"mmm")</f>
        <v>dic</v>
      </c>
      <c r="D719" s="2">
        <v>1237</v>
      </c>
      <c r="E719" s="2">
        <v>1237</v>
      </c>
      <c r="F719" s="2">
        <v>1241.69995117187</v>
      </c>
      <c r="G719" s="2">
        <v>1234.09997558593</v>
      </c>
      <c r="H719" s="2">
        <v>1241.69995117187</v>
      </c>
      <c r="I719">
        <v>33</v>
      </c>
      <c r="J719" s="2">
        <f ca="1">IFERROR((Tabla3[[#This Row],[Close]]-OFFSET(Tabla3[[#This Row],[Close]],-1,0))/OFFSET(Tabla3[[#This Row],[Close]],-1,0),"")</f>
        <v>-4.5867477233703319E-3</v>
      </c>
      <c r="K719" s="2">
        <f ca="1">IFERROR(AVERAGE(OFFSET(Tabla3[[#This Row],[Close]],-6,0,7)),"")</f>
        <v>1242.0857107979871</v>
      </c>
      <c r="L719" s="2">
        <f ca="1">IFERROR(_xlfn.STDEV.S(OFFSET(Tabla3[[#This Row],[Close]],-29,0,30)),"")</f>
        <v>13.078692164161367</v>
      </c>
    </row>
    <row r="720" spans="1:12" x14ac:dyDescent="0.3">
      <c r="A720" s="1">
        <v>43451</v>
      </c>
      <c r="B720" s="3">
        <f>YEAR(Tabla3[[#This Row],[Date]])</f>
        <v>2018</v>
      </c>
      <c r="C720" s="1" t="str">
        <f>+TEXT(Tabla3[[#This Row],[Date]],"mmm")</f>
        <v>dic</v>
      </c>
      <c r="D720" s="2">
        <v>1247.40002441406</v>
      </c>
      <c r="E720" s="2">
        <v>1247.40002441406</v>
      </c>
      <c r="F720" s="2">
        <v>1247.40002441406</v>
      </c>
      <c r="G720" s="2">
        <v>1239.30004882812</v>
      </c>
      <c r="H720" s="2">
        <v>1239.30004882812</v>
      </c>
      <c r="I720">
        <v>10</v>
      </c>
      <c r="J720" s="2">
        <f ca="1">IFERROR((Tabla3[[#This Row],[Close]]-OFFSET(Tabla3[[#This Row],[Close]],-1,0))/OFFSET(Tabla3[[#This Row],[Close]],-1,0),"")</f>
        <v>8.4074570849312844E-3</v>
      </c>
      <c r="K720" s="2">
        <f ca="1">IFERROR(AVERAGE(OFFSET(Tabla3[[#This Row],[Close]],-6,0,7)),"")</f>
        <v>1243.4142892020059</v>
      </c>
      <c r="L720" s="2">
        <f ca="1">IFERROR(_xlfn.STDEV.S(OFFSET(Tabla3[[#This Row],[Close]],-29,0,30)),"")</f>
        <v>13.543043048748622</v>
      </c>
    </row>
    <row r="721" spans="1:12" x14ac:dyDescent="0.3">
      <c r="A721" s="1">
        <v>43452</v>
      </c>
      <c r="B721" s="3">
        <f>YEAR(Tabla3[[#This Row],[Date]])</f>
        <v>2018</v>
      </c>
      <c r="C721" s="1" t="str">
        <f>+TEXT(Tabla3[[#This Row],[Date]],"mmm")</f>
        <v>dic</v>
      </c>
      <c r="D721" s="2">
        <v>1249.19995117187</v>
      </c>
      <c r="E721" s="2">
        <v>1249.19995117187</v>
      </c>
      <c r="F721" s="2">
        <v>1249.19995117187</v>
      </c>
      <c r="G721" s="2">
        <v>1245.59997558593</v>
      </c>
      <c r="H721" s="2">
        <v>1248.19995117187</v>
      </c>
      <c r="I721">
        <v>31</v>
      </c>
      <c r="J721" s="2">
        <f ca="1">IFERROR((Tabla3[[#This Row],[Close]]-OFFSET(Tabla3[[#This Row],[Close]],-1,0))/OFFSET(Tabla3[[#This Row],[Close]],-1,0),"")</f>
        <v>1.4429426988791961E-3</v>
      </c>
      <c r="K721" s="2">
        <f ca="1">IFERROR(AVERAGE(OFFSET(Tabla3[[#This Row],[Close]],-6,0,7)),"")</f>
        <v>1243.7571323939701</v>
      </c>
      <c r="L721" s="2">
        <f ca="1">IFERROR(_xlfn.STDEV.S(OFFSET(Tabla3[[#This Row],[Close]],-29,0,30)),"")</f>
        <v>14.161593149650459</v>
      </c>
    </row>
    <row r="722" spans="1:12" x14ac:dyDescent="0.3">
      <c r="A722" s="1">
        <v>43453</v>
      </c>
      <c r="B722" s="3">
        <f>YEAR(Tabla3[[#This Row],[Date]])</f>
        <v>2018</v>
      </c>
      <c r="C722" s="1" t="str">
        <f>+TEXT(Tabla3[[#This Row],[Date]],"mmm")</f>
        <v>dic</v>
      </c>
      <c r="D722" s="2">
        <v>1252.09997558593</v>
      </c>
      <c r="E722" s="2">
        <v>1252.09997558593</v>
      </c>
      <c r="F722" s="2">
        <v>1255.80004882812</v>
      </c>
      <c r="G722" s="2">
        <v>1252.09997558593</v>
      </c>
      <c r="H722" s="2">
        <v>1255.80004882812</v>
      </c>
      <c r="I722">
        <v>268</v>
      </c>
      <c r="J722" s="2">
        <f ca="1">IFERROR((Tabla3[[#This Row],[Close]]-OFFSET(Tabla3[[#This Row],[Close]],-1,0))/OFFSET(Tabla3[[#This Row],[Close]],-1,0),"")</f>
        <v>2.3215053853784546E-3</v>
      </c>
      <c r="K722" s="2">
        <f ca="1">IFERROR(AVERAGE(OFFSET(Tabla3[[#This Row],[Close]],-6,0,7)),"")</f>
        <v>1244.9571358816927</v>
      </c>
      <c r="L722" s="2">
        <f ca="1">IFERROR(_xlfn.STDEV.S(OFFSET(Tabla3[[#This Row],[Close]],-29,0,30)),"")</f>
        <v>14.892168427177578</v>
      </c>
    </row>
    <row r="723" spans="1:12" x14ac:dyDescent="0.3">
      <c r="A723" s="1">
        <v>43454</v>
      </c>
      <c r="B723" s="3">
        <f>YEAR(Tabla3[[#This Row],[Date]])</f>
        <v>2018</v>
      </c>
      <c r="C723" s="1" t="str">
        <f>+TEXT(Tabla3[[#This Row],[Date]],"mmm")</f>
        <v>dic</v>
      </c>
      <c r="D723" s="2">
        <v>1263.59997558593</v>
      </c>
      <c r="E723" s="2">
        <v>1263.59997558593</v>
      </c>
      <c r="F723" s="2">
        <v>1263.59997558593</v>
      </c>
      <c r="G723" s="2">
        <v>1243.19995117187</v>
      </c>
      <c r="H723" s="2">
        <v>1243.19995117187</v>
      </c>
      <c r="I723">
        <v>49</v>
      </c>
      <c r="J723" s="2">
        <f ca="1">IFERROR((Tabla3[[#This Row],[Close]]-OFFSET(Tabla3[[#This Row],[Close]],-1,0))/OFFSET(Tabla3[[#This Row],[Close]],-1,0),"")</f>
        <v>9.184570101615476E-3</v>
      </c>
      <c r="K723" s="2">
        <f ca="1">IFERROR(AVERAGE(OFFSET(Tabla3[[#This Row],[Close]],-6,0,7)),"")</f>
        <v>1248.0571289062459</v>
      </c>
      <c r="L723" s="2">
        <f ca="1">IFERROR(_xlfn.STDEV.S(OFFSET(Tabla3[[#This Row],[Close]],-29,0,30)),"")</f>
        <v>16.259373170236028</v>
      </c>
    </row>
    <row r="724" spans="1:12" x14ac:dyDescent="0.3">
      <c r="A724" s="1">
        <v>43455</v>
      </c>
      <c r="B724" s="3">
        <f>YEAR(Tabla3[[#This Row],[Date]])</f>
        <v>2018</v>
      </c>
      <c r="C724" s="1" t="str">
        <f>+TEXT(Tabla3[[#This Row],[Date]],"mmm")</f>
        <v>dic</v>
      </c>
      <c r="D724" s="2">
        <v>1253.80004882812</v>
      </c>
      <c r="E724" s="2">
        <v>1253.80004882812</v>
      </c>
      <c r="F724" s="2">
        <v>1261.30004882812</v>
      </c>
      <c r="G724" s="2">
        <v>1253.80004882812</v>
      </c>
      <c r="H724" s="2">
        <v>1260.30004882812</v>
      </c>
      <c r="I724">
        <v>96</v>
      </c>
      <c r="J724" s="2">
        <f ca="1">IFERROR((Tabla3[[#This Row],[Close]]-OFFSET(Tabla3[[#This Row],[Close]],-1,0))/OFFSET(Tabla3[[#This Row],[Close]],-1,0),"")</f>
        <v>-7.7555610534621794E-3</v>
      </c>
      <c r="K724" s="2">
        <f ca="1">IFERROR(AVERAGE(OFFSET(Tabla3[[#This Row],[Close]],-6,0,7)),"")</f>
        <v>1249.3999895368256</v>
      </c>
      <c r="L724" s="2">
        <f ca="1">IFERROR(_xlfn.STDEV.S(OFFSET(Tabla3[[#This Row],[Close]],-29,0,30)),"")</f>
        <v>16.873692479783173</v>
      </c>
    </row>
    <row r="725" spans="1:12" x14ac:dyDescent="0.3">
      <c r="A725" s="1">
        <v>43458</v>
      </c>
      <c r="B725" s="3">
        <f>YEAR(Tabla3[[#This Row],[Date]])</f>
        <v>2018</v>
      </c>
      <c r="C725" s="1" t="str">
        <f>+TEXT(Tabla3[[#This Row],[Date]],"mmm")</f>
        <v>dic</v>
      </c>
      <c r="D725" s="2">
        <v>1267.5</v>
      </c>
      <c r="E725" s="2">
        <v>1267.5</v>
      </c>
      <c r="F725" s="2">
        <v>1268.5</v>
      </c>
      <c r="G725" s="2">
        <v>1260.30004882812</v>
      </c>
      <c r="H725" s="2">
        <v>1260.30004882812</v>
      </c>
      <c r="I725">
        <v>27</v>
      </c>
      <c r="J725" s="2">
        <f ca="1">IFERROR((Tabla3[[#This Row],[Close]]-OFFSET(Tabla3[[#This Row],[Close]],-1,0))/OFFSET(Tabla3[[#This Row],[Close]],-1,0),"")</f>
        <v>1.0926743211315738E-2</v>
      </c>
      <c r="K725" s="2">
        <f ca="1">IFERROR(AVERAGE(OFFSET(Tabla3[[#This Row],[Close]],-6,0,7)),"")</f>
        <v>1252.94285365513</v>
      </c>
      <c r="L725" s="2">
        <f ca="1">IFERROR(_xlfn.STDEV.S(OFFSET(Tabla3[[#This Row],[Close]],-29,0,30)),"")</f>
        <v>18.163312631789665</v>
      </c>
    </row>
    <row r="726" spans="1:12" x14ac:dyDescent="0.3">
      <c r="A726" s="1">
        <v>43460</v>
      </c>
      <c r="B726" s="3">
        <f>YEAR(Tabla3[[#This Row],[Date]])</f>
        <v>2018</v>
      </c>
      <c r="C726" s="1" t="str">
        <f>+TEXT(Tabla3[[#This Row],[Date]],"mmm")</f>
        <v>dic</v>
      </c>
      <c r="D726" s="2">
        <v>1269.19995117187</v>
      </c>
      <c r="E726" s="2">
        <v>1269.19995117187</v>
      </c>
      <c r="F726" s="2">
        <v>1277.40002441406</v>
      </c>
      <c r="G726" s="2">
        <v>1269.19995117187</v>
      </c>
      <c r="H726" s="2">
        <v>1269.30004882812</v>
      </c>
      <c r="I726">
        <v>63</v>
      </c>
      <c r="J726" s="2">
        <f ca="1">IFERROR((Tabla3[[#This Row],[Close]]-OFFSET(Tabla3[[#This Row],[Close]],-1,0))/OFFSET(Tabla3[[#This Row],[Close]],-1,0),"")</f>
        <v>1.3411843565049291E-3</v>
      </c>
      <c r="K726" s="2">
        <f ca="1">IFERROR(AVERAGE(OFFSET(Tabla3[[#This Row],[Close]],-6,0,7)),"")</f>
        <v>1257.5428466796827</v>
      </c>
      <c r="L726" s="2">
        <f ca="1">IFERROR(_xlfn.STDEV.S(OFFSET(Tabla3[[#This Row],[Close]],-29,0,30)),"")</f>
        <v>18.807619295813996</v>
      </c>
    </row>
    <row r="727" spans="1:12" x14ac:dyDescent="0.3">
      <c r="A727" s="1">
        <v>43461</v>
      </c>
      <c r="B727" s="3">
        <f>YEAR(Tabla3[[#This Row],[Date]])</f>
        <v>2018</v>
      </c>
      <c r="C727" s="1" t="str">
        <f>+TEXT(Tabla3[[#This Row],[Date]],"mmm")</f>
        <v>dic</v>
      </c>
      <c r="D727" s="2">
        <v>1277.30004882812</v>
      </c>
      <c r="E727" s="2">
        <v>1277.30004882812</v>
      </c>
      <c r="F727" s="2">
        <v>1277.30004882812</v>
      </c>
      <c r="G727" s="2">
        <v>1276.69995117187</v>
      </c>
      <c r="H727" s="2">
        <v>1276.69995117187</v>
      </c>
      <c r="I727">
        <v>480</v>
      </c>
      <c r="J727" s="2">
        <f ca="1">IFERROR((Tabla3[[#This Row],[Close]]-OFFSET(Tabla3[[#This Row],[Close]],-1,0))/OFFSET(Tabla3[[#This Row],[Close]],-1,0),"")</f>
        <v>6.3820500849933589E-3</v>
      </c>
      <c r="K727" s="2">
        <f ca="1">IFERROR(AVERAGE(OFFSET(Tabla3[[#This Row],[Close]],-6,0,7)),"")</f>
        <v>1261.814278738834</v>
      </c>
      <c r="L727" s="2">
        <f ca="1">IFERROR(_xlfn.STDEV.S(OFFSET(Tabla3[[#This Row],[Close]],-29,0,30)),"")</f>
        <v>19.449715017601839</v>
      </c>
    </row>
    <row r="728" spans="1:12" x14ac:dyDescent="0.3">
      <c r="A728" s="1">
        <v>43462</v>
      </c>
      <c r="B728" s="3">
        <f>YEAR(Tabla3[[#This Row],[Date]])</f>
        <v>2018</v>
      </c>
      <c r="C728" s="1" t="str">
        <f>+TEXT(Tabla3[[#This Row],[Date]],"mmm")</f>
        <v>dic</v>
      </c>
      <c r="D728" s="2">
        <v>1279.90002441406</v>
      </c>
      <c r="E728" s="2">
        <v>1279.90002441406</v>
      </c>
      <c r="F728" s="2">
        <v>1280.09997558593</v>
      </c>
      <c r="G728" s="2">
        <v>1273.5</v>
      </c>
      <c r="H728" s="2">
        <v>1273.5</v>
      </c>
      <c r="I728">
        <v>805</v>
      </c>
      <c r="J728" s="2">
        <f ca="1">IFERROR((Tabla3[[#This Row],[Close]]-OFFSET(Tabla3[[#This Row],[Close]],-1,0))/OFFSET(Tabla3[[#This Row],[Close]],-1,0),"")</f>
        <v>2.0355245334292373E-3</v>
      </c>
      <c r="K728" s="2">
        <f ca="1">IFERROR(AVERAGE(OFFSET(Tabla3[[#This Row],[Close]],-6,0,7)),"")</f>
        <v>1266.2000034877185</v>
      </c>
      <c r="L728" s="2">
        <f ca="1">IFERROR(_xlfn.STDEV.S(OFFSET(Tabla3[[#This Row],[Close]],-29,0,30)),"")</f>
        <v>19.779565136289587</v>
      </c>
    </row>
    <row r="729" spans="1:12" x14ac:dyDescent="0.3">
      <c r="A729" s="1">
        <v>43465</v>
      </c>
      <c r="B729" s="3">
        <f>YEAR(Tabla3[[#This Row],[Date]])</f>
        <v>2018</v>
      </c>
      <c r="C729" s="1" t="str">
        <f>+TEXT(Tabla3[[#This Row],[Date]],"mmm")</f>
        <v>dic</v>
      </c>
      <c r="D729" s="2">
        <v>1278.30004882812</v>
      </c>
      <c r="E729" s="2">
        <v>1278.30004882812</v>
      </c>
      <c r="F729" s="2">
        <v>1281.30004882812</v>
      </c>
      <c r="G729" s="2">
        <v>1277.59997558593</v>
      </c>
      <c r="H729" s="2">
        <v>1278</v>
      </c>
      <c r="I729">
        <v>19</v>
      </c>
      <c r="J729" s="2">
        <f ca="1">IFERROR((Tabla3[[#This Row],[Close]]-OFFSET(Tabla3[[#This Row],[Close]],-1,0))/OFFSET(Tabla3[[#This Row],[Close]],-1,0),"")</f>
        <v>-1.2500785650601672E-3</v>
      </c>
      <c r="K729" s="2">
        <f ca="1">IFERROR(AVERAGE(OFFSET(Tabla3[[#This Row],[Close]],-6,0,7)),"")</f>
        <v>1269.9428710937457</v>
      </c>
      <c r="L729" s="2">
        <f ca="1">IFERROR(_xlfn.STDEV.S(OFFSET(Tabla3[[#This Row],[Close]],-29,0,30)),"")</f>
        <v>20.187337065896031</v>
      </c>
    </row>
    <row r="730" spans="1:12" x14ac:dyDescent="0.3">
      <c r="A730" s="1">
        <v>43467</v>
      </c>
      <c r="B730" s="3">
        <f>YEAR(Tabla3[[#This Row],[Date]])</f>
        <v>2019</v>
      </c>
      <c r="C730" s="1" t="str">
        <f>+TEXT(Tabla3[[#This Row],[Date]],"mmm")</f>
        <v>ene</v>
      </c>
      <c r="D730" s="2">
        <v>1281</v>
      </c>
      <c r="E730" s="2">
        <v>1281</v>
      </c>
      <c r="F730" s="2">
        <v>1286</v>
      </c>
      <c r="G730" s="2">
        <v>1277.59997558593</v>
      </c>
      <c r="H730" s="2">
        <v>1286</v>
      </c>
      <c r="I730">
        <v>149</v>
      </c>
      <c r="J730" s="2">
        <f ca="1">IFERROR((Tabla3[[#This Row],[Close]]-OFFSET(Tabla3[[#This Row],[Close]],-1,0))/OFFSET(Tabla3[[#This Row],[Close]],-1,0),"")</f>
        <v>2.1121419610013932E-3</v>
      </c>
      <c r="K730" s="2">
        <f ca="1">IFERROR(AVERAGE(OFFSET(Tabla3[[#This Row],[Close]],-6,0,7)),"")</f>
        <v>1272.4285888671843</v>
      </c>
      <c r="L730" s="2">
        <f ca="1">IFERROR(_xlfn.STDEV.S(OFFSET(Tabla3[[#This Row],[Close]],-29,0,30)),"")</f>
        <v>20.744269717829336</v>
      </c>
    </row>
    <row r="731" spans="1:12" x14ac:dyDescent="0.3">
      <c r="A731" s="1">
        <v>43468</v>
      </c>
      <c r="B731" s="3">
        <f>YEAR(Tabla3[[#This Row],[Date]])</f>
        <v>2019</v>
      </c>
      <c r="C731" s="1" t="str">
        <f>+TEXT(Tabla3[[#This Row],[Date]],"mmm")</f>
        <v>ene</v>
      </c>
      <c r="D731" s="2">
        <v>1291.80004882812</v>
      </c>
      <c r="E731" s="2">
        <v>1291.80004882812</v>
      </c>
      <c r="F731" s="2">
        <v>1292</v>
      </c>
      <c r="G731" s="2">
        <v>1286.69995117187</v>
      </c>
      <c r="H731" s="2">
        <v>1286.80004882812</v>
      </c>
      <c r="I731">
        <v>10</v>
      </c>
      <c r="J731" s="2">
        <f ca="1">IFERROR((Tabla3[[#This Row],[Close]]-OFFSET(Tabla3[[#This Row],[Close]],-1,0))/OFFSET(Tabla3[[#This Row],[Close]],-1,0),"")</f>
        <v>8.4309514661358304E-3</v>
      </c>
      <c r="K731" s="2">
        <f ca="1">IFERROR(AVERAGE(OFFSET(Tabla3[[#This Row],[Close]],-6,0,7)),"")</f>
        <v>1277.8571602957556</v>
      </c>
      <c r="L731" s="2">
        <f ca="1">IFERROR(_xlfn.STDEV.S(OFFSET(Tabla3[[#This Row],[Close]],-29,0,30)),"")</f>
        <v>22.107114542947929</v>
      </c>
    </row>
    <row r="732" spans="1:12" x14ac:dyDescent="0.3">
      <c r="A732" s="1">
        <v>43469</v>
      </c>
      <c r="B732" s="3">
        <f>YEAR(Tabla3[[#This Row],[Date]])</f>
        <v>2019</v>
      </c>
      <c r="C732" s="1" t="str">
        <f>+TEXT(Tabla3[[#This Row],[Date]],"mmm")</f>
        <v>ene</v>
      </c>
      <c r="D732" s="2">
        <v>1282.69995117187</v>
      </c>
      <c r="E732" s="2">
        <v>1282.69995117187</v>
      </c>
      <c r="F732" s="2">
        <v>1294.19995117187</v>
      </c>
      <c r="G732" s="2">
        <v>1275.30004882812</v>
      </c>
      <c r="H732" s="2">
        <v>1294.19995117187</v>
      </c>
      <c r="I732">
        <v>34</v>
      </c>
      <c r="J732" s="2">
        <f ca="1">IFERROR((Tabla3[[#This Row],[Close]]-OFFSET(Tabla3[[#This Row],[Close]],-1,0))/OFFSET(Tabla3[[#This Row],[Close]],-1,0),"")</f>
        <v>-7.044509453692404E-3</v>
      </c>
      <c r="K732" s="2">
        <f ca="1">IFERROR(AVERAGE(OFFSET(Tabla3[[#This Row],[Close]],-6,0,7)),"")</f>
        <v>1280.0285818917368</v>
      </c>
      <c r="L732" s="2">
        <f ca="1">IFERROR(_xlfn.STDEV.S(OFFSET(Tabla3[[#This Row],[Close]],-29,0,30)),"")</f>
        <v>22.689756504109113</v>
      </c>
    </row>
    <row r="733" spans="1:12" x14ac:dyDescent="0.3">
      <c r="A733" s="1">
        <v>43472</v>
      </c>
      <c r="B733" s="3">
        <f>YEAR(Tabla3[[#This Row],[Date]])</f>
        <v>2019</v>
      </c>
      <c r="C733" s="1" t="str">
        <f>+TEXT(Tabla3[[#This Row],[Date]],"mmm")</f>
        <v>ene</v>
      </c>
      <c r="D733" s="2">
        <v>1286.80004882812</v>
      </c>
      <c r="E733" s="2">
        <v>1286.80004882812</v>
      </c>
      <c r="F733" s="2">
        <v>1286.80004882812</v>
      </c>
      <c r="G733" s="2">
        <v>1286.59997558593</v>
      </c>
      <c r="H733" s="2">
        <v>1286.80004882812</v>
      </c>
      <c r="I733">
        <v>2</v>
      </c>
      <c r="J733" s="2">
        <f ca="1">IFERROR((Tabla3[[#This Row],[Close]]-OFFSET(Tabla3[[#This Row],[Close]],-1,0))/OFFSET(Tabla3[[#This Row],[Close]],-1,0),"")</f>
        <v>3.1964588854191235E-3</v>
      </c>
      <c r="K733" s="2">
        <f ca="1">IFERROR(AVERAGE(OFFSET(Tabla3[[#This Row],[Close]],-6,0,7)),"")</f>
        <v>1282.5428815569155</v>
      </c>
      <c r="L733" s="2">
        <f ca="1">IFERROR(_xlfn.STDEV.S(OFFSET(Tabla3[[#This Row],[Close]],-29,0,30)),"")</f>
        <v>23.121169878728949</v>
      </c>
    </row>
    <row r="734" spans="1:12" x14ac:dyDescent="0.3">
      <c r="A734" s="1">
        <v>43473</v>
      </c>
      <c r="B734" s="3">
        <f>YEAR(Tabla3[[#This Row],[Date]])</f>
        <v>2019</v>
      </c>
      <c r="C734" s="1" t="str">
        <f>+TEXT(Tabla3[[#This Row],[Date]],"mmm")</f>
        <v>ene</v>
      </c>
      <c r="D734" s="2">
        <v>1283.19995117187</v>
      </c>
      <c r="E734" s="2">
        <v>1283.19995117187</v>
      </c>
      <c r="F734" s="2">
        <v>1283.19995117187</v>
      </c>
      <c r="G734" s="2">
        <v>1278.19995117187</v>
      </c>
      <c r="H734" s="2">
        <v>1280.5</v>
      </c>
      <c r="I734">
        <v>54</v>
      </c>
      <c r="J734" s="2">
        <f ca="1">IFERROR((Tabla3[[#This Row],[Close]]-OFFSET(Tabla3[[#This Row],[Close]],-1,0))/OFFSET(Tabla3[[#This Row],[Close]],-1,0),"")</f>
        <v>-2.7977133351281612E-3</v>
      </c>
      <c r="K734" s="2">
        <f ca="1">IFERROR(AVERAGE(OFFSET(Tabla3[[#This Row],[Close]],-6,0,7)),"")</f>
        <v>1283.3857247488797</v>
      </c>
      <c r="L734" s="2">
        <f ca="1">IFERROR(_xlfn.STDEV.S(OFFSET(Tabla3[[#This Row],[Close]],-29,0,30)),"")</f>
        <v>23.439149353514459</v>
      </c>
    </row>
    <row r="735" spans="1:12" x14ac:dyDescent="0.3">
      <c r="A735" s="1">
        <v>43474</v>
      </c>
      <c r="B735" s="3">
        <f>YEAR(Tabla3[[#This Row],[Date]])</f>
        <v>2019</v>
      </c>
      <c r="C735" s="1" t="str">
        <f>+TEXT(Tabla3[[#This Row],[Date]],"mmm")</f>
        <v>ene</v>
      </c>
      <c r="D735" s="2">
        <v>1289.30004882812</v>
      </c>
      <c r="E735" s="2">
        <v>1289.30004882812</v>
      </c>
      <c r="F735" s="2">
        <v>1289.30004882812</v>
      </c>
      <c r="G735" s="2">
        <v>1279.19995117187</v>
      </c>
      <c r="H735" s="2">
        <v>1279.40002441406</v>
      </c>
      <c r="I735">
        <v>102</v>
      </c>
      <c r="J735" s="2">
        <f ca="1">IFERROR((Tabla3[[#This Row],[Close]]-OFFSET(Tabla3[[#This Row],[Close]],-1,0))/OFFSET(Tabla3[[#This Row],[Close]],-1,0),"")</f>
        <v>4.7538169329566643E-3</v>
      </c>
      <c r="K735" s="2">
        <f ca="1">IFERROR(AVERAGE(OFFSET(Tabla3[[#This Row],[Close]],-6,0,7)),"")</f>
        <v>1284.7285853794599</v>
      </c>
      <c r="L735" s="2">
        <f ca="1">IFERROR(_xlfn.STDEV.S(OFFSET(Tabla3[[#This Row],[Close]],-29,0,30)),"")</f>
        <v>23.668631178331566</v>
      </c>
    </row>
    <row r="736" spans="1:12" x14ac:dyDescent="0.3">
      <c r="A736" s="1">
        <v>43475</v>
      </c>
      <c r="B736" s="3">
        <f>YEAR(Tabla3[[#This Row],[Date]])</f>
        <v>2019</v>
      </c>
      <c r="C736" s="1" t="str">
        <f>+TEXT(Tabla3[[#This Row],[Date]],"mmm")</f>
        <v>ene</v>
      </c>
      <c r="D736" s="2">
        <v>1284.69995117187</v>
      </c>
      <c r="E736" s="2">
        <v>1284.69995117187</v>
      </c>
      <c r="F736" s="2">
        <v>1284.69995117187</v>
      </c>
      <c r="G736" s="2">
        <v>1284.69995117187</v>
      </c>
      <c r="H736" s="2">
        <v>1284.69995117187</v>
      </c>
      <c r="I736">
        <v>0</v>
      </c>
      <c r="J736" s="2">
        <f ca="1">IFERROR((Tabla3[[#This Row],[Close]]-OFFSET(Tabla3[[#This Row],[Close]],-1,0))/OFFSET(Tabla3[[#This Row],[Close]],-1,0),"")</f>
        <v>-3.5679031117939958E-3</v>
      </c>
      <c r="K736" s="2">
        <f ca="1">IFERROR(AVERAGE(OFFSET(Tabla3[[#This Row],[Close]],-6,0,7)),"")</f>
        <v>1285.6428571428528</v>
      </c>
      <c r="L736" s="2">
        <f ca="1">IFERROR(_xlfn.STDEV.S(OFFSET(Tabla3[[#This Row],[Close]],-29,0,30)),"")</f>
        <v>23.421290027439728</v>
      </c>
    </row>
    <row r="737" spans="1:12" x14ac:dyDescent="0.3">
      <c r="A737" s="1">
        <v>43476</v>
      </c>
      <c r="B737" s="3">
        <f>YEAR(Tabla3[[#This Row],[Date]])</f>
        <v>2019</v>
      </c>
      <c r="C737" s="1" t="str">
        <f>+TEXT(Tabla3[[#This Row],[Date]],"mmm")</f>
        <v>ene</v>
      </c>
      <c r="D737" s="2">
        <v>1287.09997558593</v>
      </c>
      <c r="E737" s="2">
        <v>1287.09997558593</v>
      </c>
      <c r="F737" s="2">
        <v>1291.19995117187</v>
      </c>
      <c r="G737" s="2">
        <v>1286.30004882812</v>
      </c>
      <c r="H737" s="2">
        <v>1291.19995117187</v>
      </c>
      <c r="I737">
        <v>11</v>
      </c>
      <c r="J737" s="2">
        <f ca="1">IFERROR((Tabla3[[#This Row],[Close]]-OFFSET(Tabla3[[#This Row],[Close]],-1,0))/OFFSET(Tabla3[[#This Row],[Close]],-1,0),"")</f>
        <v>1.8681594965974419E-3</v>
      </c>
      <c r="K737" s="2">
        <f ca="1">IFERROR(AVERAGE(OFFSET(Tabla3[[#This Row],[Close]],-6,0,7)),"")</f>
        <v>1286.514282226557</v>
      </c>
      <c r="L737" s="2">
        <f ca="1">IFERROR(_xlfn.STDEV.S(OFFSET(Tabla3[[#This Row],[Close]],-29,0,30)),"")</f>
        <v>22.479513521280076</v>
      </c>
    </row>
    <row r="738" spans="1:12" x14ac:dyDescent="0.3">
      <c r="A738" s="1">
        <v>43479</v>
      </c>
      <c r="B738" s="3">
        <f>YEAR(Tabla3[[#This Row],[Date]])</f>
        <v>2019</v>
      </c>
      <c r="C738" s="1" t="str">
        <f>+TEXT(Tabla3[[#This Row],[Date]],"mmm")</f>
        <v>ene</v>
      </c>
      <c r="D738" s="2">
        <v>1289.09997558593</v>
      </c>
      <c r="E738" s="2">
        <v>1289.09997558593</v>
      </c>
      <c r="F738" s="2">
        <v>1293.90002441406</v>
      </c>
      <c r="G738" s="2">
        <v>1289.09997558593</v>
      </c>
      <c r="H738" s="2">
        <v>1292.40002441406</v>
      </c>
      <c r="I738">
        <v>7</v>
      </c>
      <c r="J738" s="2">
        <f ca="1">IFERROR((Tabla3[[#This Row],[Close]]-OFFSET(Tabla3[[#This Row],[Close]],-1,0))/OFFSET(Tabla3[[#This Row],[Close]],-1,0),"")</f>
        <v>1.553880846815753E-3</v>
      </c>
      <c r="K738" s="2">
        <f ca="1">IFERROR(AVERAGE(OFFSET(Tabla3[[#This Row],[Close]],-6,0,7)),"")</f>
        <v>1286.1285574776728</v>
      </c>
      <c r="L738" s="2">
        <f ca="1">IFERROR(_xlfn.STDEV.S(OFFSET(Tabla3[[#This Row],[Close]],-29,0,30)),"")</f>
        <v>22.001749479692389</v>
      </c>
    </row>
    <row r="739" spans="1:12" x14ac:dyDescent="0.3">
      <c r="A739" s="1">
        <v>43480</v>
      </c>
      <c r="B739" s="3">
        <f>YEAR(Tabla3[[#This Row],[Date]])</f>
        <v>2019</v>
      </c>
      <c r="C739" s="1" t="str">
        <f>+TEXT(Tabla3[[#This Row],[Date]],"mmm")</f>
        <v>ene</v>
      </c>
      <c r="D739" s="2">
        <v>1286.19995117187</v>
      </c>
      <c r="E739" s="2">
        <v>1286.19995117187</v>
      </c>
      <c r="F739" s="2">
        <v>1292.69995117187</v>
      </c>
      <c r="G739" s="2">
        <v>1286.19995117187</v>
      </c>
      <c r="H739" s="2">
        <v>1290.09997558593</v>
      </c>
      <c r="I739">
        <v>3</v>
      </c>
      <c r="J739" s="2">
        <f ca="1">IFERROR((Tabla3[[#This Row],[Close]]-OFFSET(Tabla3[[#This Row],[Close]],-1,0))/OFFSET(Tabla3[[#This Row],[Close]],-1,0),"")</f>
        <v>-2.2496505073176043E-3</v>
      </c>
      <c r="K739" s="2">
        <f ca="1">IFERROR(AVERAGE(OFFSET(Tabla3[[#This Row],[Close]],-6,0,7)),"")</f>
        <v>1286.6285574776728</v>
      </c>
      <c r="L739" s="2">
        <f ca="1">IFERROR(_xlfn.STDEV.S(OFFSET(Tabla3[[#This Row],[Close]],-29,0,30)),"")</f>
        <v>21.328146906996551</v>
      </c>
    </row>
    <row r="740" spans="1:12" x14ac:dyDescent="0.3">
      <c r="A740" s="1">
        <v>43481</v>
      </c>
      <c r="B740" s="3">
        <f>YEAR(Tabla3[[#This Row],[Date]])</f>
        <v>2019</v>
      </c>
      <c r="C740" s="1" t="str">
        <f>+TEXT(Tabla3[[#This Row],[Date]],"mmm")</f>
        <v>ene</v>
      </c>
      <c r="D740" s="2">
        <v>1291.59997558593</v>
      </c>
      <c r="E740" s="2">
        <v>1291.59997558593</v>
      </c>
      <c r="F740" s="2">
        <v>1291.59997558593</v>
      </c>
      <c r="G740" s="2">
        <v>1291.59997558593</v>
      </c>
      <c r="H740" s="2">
        <v>1291.59997558593</v>
      </c>
      <c r="I740">
        <v>2</v>
      </c>
      <c r="J740" s="2">
        <f ca="1">IFERROR((Tabla3[[#This Row],[Close]]-OFFSET(Tabla3[[#This Row],[Close]],-1,0))/OFFSET(Tabla3[[#This Row],[Close]],-1,0),"")</f>
        <v>4.1984330734424159E-3</v>
      </c>
      <c r="K740" s="2">
        <f ca="1">IFERROR(AVERAGE(OFFSET(Tabla3[[#This Row],[Close]],-6,0,7)),"")</f>
        <v>1287.3142613002171</v>
      </c>
      <c r="L740" s="2">
        <f ca="1">IFERROR(_xlfn.STDEV.S(OFFSET(Tabla3[[#This Row],[Close]],-29,0,30)),"")</f>
        <v>20.348674914730804</v>
      </c>
    </row>
    <row r="741" spans="1:12" x14ac:dyDescent="0.3">
      <c r="A741" s="1">
        <v>43482</v>
      </c>
      <c r="B741" s="3">
        <f>YEAR(Tabla3[[#This Row],[Date]])</f>
        <v>2019</v>
      </c>
      <c r="C741" s="1" t="str">
        <f>+TEXT(Tabla3[[#This Row],[Date]],"mmm")</f>
        <v>ene</v>
      </c>
      <c r="D741" s="2">
        <v>1291</v>
      </c>
      <c r="E741" s="2">
        <v>1291</v>
      </c>
      <c r="F741" s="2">
        <v>1292.69995117187</v>
      </c>
      <c r="G741" s="2">
        <v>1288.5</v>
      </c>
      <c r="H741" s="2">
        <v>1291.59997558593</v>
      </c>
      <c r="I741">
        <v>10</v>
      </c>
      <c r="J741" s="2">
        <f ca="1">IFERROR((Tabla3[[#This Row],[Close]]-OFFSET(Tabla3[[#This Row],[Close]],-1,0))/OFFSET(Tabla3[[#This Row],[Close]],-1,0),"")</f>
        <v>-4.6452121188514248E-4</v>
      </c>
      <c r="K741" s="2">
        <f ca="1">IFERROR(AVERAGE(OFFSET(Tabla3[[#This Row],[Close]],-6,0,7)),"")</f>
        <v>1288.4285539899502</v>
      </c>
      <c r="L741" s="2">
        <f ca="1">IFERROR(_xlfn.STDEV.S(OFFSET(Tabla3[[#This Row],[Close]],-29,0,30)),"")</f>
        <v>19.969549423571145</v>
      </c>
    </row>
    <row r="742" spans="1:12" x14ac:dyDescent="0.3">
      <c r="A742" s="1">
        <v>43483</v>
      </c>
      <c r="B742" s="3">
        <f>YEAR(Tabla3[[#This Row],[Date]])</f>
        <v>2019</v>
      </c>
      <c r="C742" s="1" t="str">
        <f>+TEXT(Tabla3[[#This Row],[Date]],"mmm")</f>
        <v>ene</v>
      </c>
      <c r="D742" s="2">
        <v>1281.30004882812</v>
      </c>
      <c r="E742" s="2">
        <v>1281.30004882812</v>
      </c>
      <c r="F742" s="2">
        <v>1281.30004882812</v>
      </c>
      <c r="G742" s="2">
        <v>1281.30004882812</v>
      </c>
      <c r="H742" s="2">
        <v>1281.30004882812</v>
      </c>
      <c r="I742">
        <v>3</v>
      </c>
      <c r="J742" s="2">
        <f ca="1">IFERROR((Tabla3[[#This Row],[Close]]-OFFSET(Tabla3[[#This Row],[Close]],-1,0))/OFFSET(Tabla3[[#This Row],[Close]],-1,0),"")</f>
        <v>-7.5135175614872212E-3</v>
      </c>
      <c r="K742" s="2">
        <f ca="1">IFERROR(AVERAGE(OFFSET(Tabla3[[#This Row],[Close]],-6,0,7)),"")</f>
        <v>1287.2856968470928</v>
      </c>
      <c r="L742" s="2">
        <f ca="1">IFERROR(_xlfn.STDEV.S(OFFSET(Tabla3[[#This Row],[Close]],-29,0,30)),"")</f>
        <v>19.495124450104235</v>
      </c>
    </row>
    <row r="743" spans="1:12" x14ac:dyDescent="0.3">
      <c r="A743" s="1">
        <v>43487</v>
      </c>
      <c r="B743" s="3">
        <f>YEAR(Tabla3[[#This Row],[Date]])</f>
        <v>2019</v>
      </c>
      <c r="C743" s="1" t="str">
        <f>+TEXT(Tabla3[[#This Row],[Date]],"mmm")</f>
        <v>ene</v>
      </c>
      <c r="D743" s="2">
        <v>1282.5</v>
      </c>
      <c r="E743" s="2">
        <v>1282.5</v>
      </c>
      <c r="F743" s="2">
        <v>1283.30004882812</v>
      </c>
      <c r="G743" s="2">
        <v>1282.5</v>
      </c>
      <c r="H743" s="2">
        <v>1282.5</v>
      </c>
      <c r="I743">
        <v>7</v>
      </c>
      <c r="J743" s="2">
        <f ca="1">IFERROR((Tabla3[[#This Row],[Close]]-OFFSET(Tabla3[[#This Row],[Close]],-1,0))/OFFSET(Tabla3[[#This Row],[Close]],-1,0),"")</f>
        <v>9.365106736532792E-4</v>
      </c>
      <c r="K743" s="2">
        <f ca="1">IFERROR(AVERAGE(OFFSET(Tabla3[[#This Row],[Close]],-6,0,7)),"")</f>
        <v>1286.9714181082543</v>
      </c>
      <c r="L743" s="2">
        <f ca="1">IFERROR(_xlfn.STDEV.S(OFFSET(Tabla3[[#This Row],[Close]],-29,0,30)),"")</f>
        <v>18.769850204511656</v>
      </c>
    </row>
    <row r="744" spans="1:12" x14ac:dyDescent="0.3">
      <c r="A744" s="1">
        <v>43488</v>
      </c>
      <c r="B744" s="3">
        <f>YEAR(Tabla3[[#This Row],[Date]])</f>
        <v>2019</v>
      </c>
      <c r="C744" s="1" t="str">
        <f>+TEXT(Tabla3[[#This Row],[Date]],"mmm")</f>
        <v>ene</v>
      </c>
      <c r="D744" s="2">
        <v>1283.09997558593</v>
      </c>
      <c r="E744" s="2">
        <v>1283.09997558593</v>
      </c>
      <c r="F744" s="2">
        <v>1283.90002441406</v>
      </c>
      <c r="G744" s="2">
        <v>1278.69995117187</v>
      </c>
      <c r="H744" s="2">
        <v>1281.69995117187</v>
      </c>
      <c r="I744">
        <v>14</v>
      </c>
      <c r="J744" s="2">
        <f ca="1">IFERROR((Tabla3[[#This Row],[Close]]-OFFSET(Tabla3[[#This Row],[Close]],-1,0))/OFFSET(Tabla3[[#This Row],[Close]],-1,0),"")</f>
        <v>4.6781722099804808E-4</v>
      </c>
      <c r="K744" s="2">
        <f ca="1">IFERROR(AVERAGE(OFFSET(Tabla3[[#This Row],[Close]],-6,0,7)),"")</f>
        <v>1286.3999895368256</v>
      </c>
      <c r="L744" s="2">
        <f ca="1">IFERROR(_xlfn.STDEV.S(OFFSET(Tabla3[[#This Row],[Close]],-29,0,30)),"")</f>
        <v>18.381829391655142</v>
      </c>
    </row>
    <row r="745" spans="1:12" x14ac:dyDescent="0.3">
      <c r="A745" s="1">
        <v>43489</v>
      </c>
      <c r="B745" s="3">
        <f>YEAR(Tabla3[[#This Row],[Date]])</f>
        <v>2019</v>
      </c>
      <c r="C745" s="1" t="str">
        <f>+TEXT(Tabla3[[#This Row],[Date]],"mmm")</f>
        <v>ene</v>
      </c>
      <c r="D745" s="2">
        <v>1279.09997558593</v>
      </c>
      <c r="E745" s="2">
        <v>1279.09997558593</v>
      </c>
      <c r="F745" s="2">
        <v>1279.09997558593</v>
      </c>
      <c r="G745" s="2">
        <v>1278.5</v>
      </c>
      <c r="H745" s="2">
        <v>1279.09997558593</v>
      </c>
      <c r="I745">
        <v>1</v>
      </c>
      <c r="J745" s="2">
        <f ca="1">IFERROR((Tabla3[[#This Row],[Close]]-OFFSET(Tabla3[[#This Row],[Close]],-1,0))/OFFSET(Tabla3[[#This Row],[Close]],-1,0),"")</f>
        <v>-3.117449985277564E-3</v>
      </c>
      <c r="K745" s="2">
        <f ca="1">IFERROR(AVERAGE(OFFSET(Tabla3[[#This Row],[Close]],-6,0,7)),"")</f>
        <v>1284.9714181082543</v>
      </c>
      <c r="L745" s="2">
        <f ca="1">IFERROR(_xlfn.STDEV.S(OFFSET(Tabla3[[#This Row],[Close]],-29,0,30)),"")</f>
        <v>17.670566797849432</v>
      </c>
    </row>
    <row r="746" spans="1:12" x14ac:dyDescent="0.3">
      <c r="A746" s="1">
        <v>43490</v>
      </c>
      <c r="B746" s="3">
        <f>YEAR(Tabla3[[#This Row],[Date]])</f>
        <v>2019</v>
      </c>
      <c r="C746" s="1" t="str">
        <f>+TEXT(Tabla3[[#This Row],[Date]],"mmm")</f>
        <v>ene</v>
      </c>
      <c r="D746" s="2">
        <v>1297.40002441406</v>
      </c>
      <c r="E746" s="2">
        <v>1297.40002441406</v>
      </c>
      <c r="F746" s="2">
        <v>1297.40002441406</v>
      </c>
      <c r="G746" s="2">
        <v>1297.40002441406</v>
      </c>
      <c r="H746" s="2">
        <v>1297.40002441406</v>
      </c>
      <c r="I746">
        <v>0</v>
      </c>
      <c r="J746" s="2">
        <f ca="1">IFERROR((Tabla3[[#This Row],[Close]]-OFFSET(Tabla3[[#This Row],[Close]],-1,0))/OFFSET(Tabla3[[#This Row],[Close]],-1,0),"")</f>
        <v>1.430697301025834E-2</v>
      </c>
      <c r="K746" s="2">
        <f ca="1">IFERROR(AVERAGE(OFFSET(Tabla3[[#This Row],[Close]],-6,0,7)),"")</f>
        <v>1286.5714285714243</v>
      </c>
      <c r="L746" s="2">
        <f ca="1">IFERROR(_xlfn.STDEV.S(OFFSET(Tabla3[[#This Row],[Close]],-29,0,30)),"")</f>
        <v>17.257618985805447</v>
      </c>
    </row>
    <row r="747" spans="1:12" x14ac:dyDescent="0.3">
      <c r="A747" s="1">
        <v>43493</v>
      </c>
      <c r="B747" s="3">
        <f>YEAR(Tabla3[[#This Row],[Date]])</f>
        <v>2019</v>
      </c>
      <c r="C747" s="1" t="str">
        <f>+TEXT(Tabla3[[#This Row],[Date]],"mmm")</f>
        <v>ene</v>
      </c>
      <c r="D747" s="2">
        <v>1302.40002441406</v>
      </c>
      <c r="E747" s="2">
        <v>1302.40002441406</v>
      </c>
      <c r="F747" s="2">
        <v>1307.09997558593</v>
      </c>
      <c r="G747" s="2">
        <v>1298.40002441406</v>
      </c>
      <c r="H747" s="2">
        <v>1300.80004882812</v>
      </c>
      <c r="I747">
        <v>54</v>
      </c>
      <c r="J747" s="2">
        <f ca="1">IFERROR((Tabla3[[#This Row],[Close]]-OFFSET(Tabla3[[#This Row],[Close]],-1,0))/OFFSET(Tabla3[[#This Row],[Close]],-1,0),"")</f>
        <v>3.8538614967716929E-3</v>
      </c>
      <c r="K747" s="2">
        <f ca="1">IFERROR(AVERAGE(OFFSET(Tabla3[[#This Row],[Close]],-6,0,7)),"")</f>
        <v>1288.1142926897285</v>
      </c>
      <c r="L747" s="2">
        <f ca="1">IFERROR(_xlfn.STDEV.S(OFFSET(Tabla3[[#This Row],[Close]],-29,0,30)),"")</f>
        <v>17.034832563929566</v>
      </c>
    </row>
    <row r="748" spans="1:12" x14ac:dyDescent="0.3">
      <c r="A748" s="1">
        <v>43494</v>
      </c>
      <c r="B748" s="3">
        <f>YEAR(Tabla3[[#This Row],[Date]])</f>
        <v>2019</v>
      </c>
      <c r="C748" s="1" t="str">
        <f>+TEXT(Tabla3[[#This Row],[Date]],"mmm")</f>
        <v>ene</v>
      </c>
      <c r="D748" s="2">
        <v>1308.19995117187</v>
      </c>
      <c r="E748" s="2">
        <v>1308.19995117187</v>
      </c>
      <c r="F748" s="2">
        <v>1308.19995117187</v>
      </c>
      <c r="G748" s="2">
        <v>1308.19995117187</v>
      </c>
      <c r="H748" s="2">
        <v>1308.19995117187</v>
      </c>
      <c r="I748">
        <v>213607</v>
      </c>
      <c r="J748" s="2">
        <f ca="1">IFERROR((Tabla3[[#This Row],[Close]]-OFFSET(Tabla3[[#This Row],[Close]],-1,0))/OFFSET(Tabla3[[#This Row],[Close]],-1,0),"")</f>
        <v>4.4532606335133803E-3</v>
      </c>
      <c r="K748" s="2">
        <f ca="1">IFERROR(AVERAGE(OFFSET(Tabla3[[#This Row],[Close]],-6,0,7)),"")</f>
        <v>1290.5714285714241</v>
      </c>
      <c r="L748" s="2">
        <f ca="1">IFERROR(_xlfn.STDEV.S(OFFSET(Tabla3[[#This Row],[Close]],-29,0,30)),"")</f>
        <v>16.7785498845539</v>
      </c>
    </row>
    <row r="749" spans="1:12" x14ac:dyDescent="0.3">
      <c r="A749" s="1">
        <v>43495</v>
      </c>
      <c r="B749" s="3">
        <f>YEAR(Tabla3[[#This Row],[Date]])</f>
        <v>2019</v>
      </c>
      <c r="C749" s="1" t="str">
        <f>+TEXT(Tabla3[[#This Row],[Date]],"mmm")</f>
        <v>ene</v>
      </c>
      <c r="D749" s="2">
        <v>1309.90002441406</v>
      </c>
      <c r="E749" s="2">
        <v>1309.90002441406</v>
      </c>
      <c r="F749" s="2">
        <v>1323.40002441406</v>
      </c>
      <c r="G749" s="2">
        <v>1308.09997558593</v>
      </c>
      <c r="H749" s="2">
        <v>1310.40002441406</v>
      </c>
      <c r="I749">
        <v>54958</v>
      </c>
      <c r="J749" s="2">
        <f ca="1">IFERROR((Tabla3[[#This Row],[Close]]-OFFSET(Tabla3[[#This Row],[Close]],-1,0))/OFFSET(Tabla3[[#This Row],[Close]],-1,0),"")</f>
        <v>1.299551525488971E-3</v>
      </c>
      <c r="K749" s="2">
        <f ca="1">IFERROR(AVERAGE(OFFSET(Tabla3[[#This Row],[Close]],-6,0,7)),"")</f>
        <v>1294.6571393694157</v>
      </c>
      <c r="L749" s="2">
        <f ca="1">IFERROR(_xlfn.STDEV.S(OFFSET(Tabla3[[#This Row],[Close]],-29,0,30)),"")</f>
        <v>15.818440922224806</v>
      </c>
    </row>
    <row r="750" spans="1:12" x14ac:dyDescent="0.3">
      <c r="A750" s="1">
        <v>43496</v>
      </c>
      <c r="B750" s="3">
        <f>YEAR(Tabla3[[#This Row],[Date]])</f>
        <v>2019</v>
      </c>
      <c r="C750" s="1" t="str">
        <f>+TEXT(Tabla3[[#This Row],[Date]],"mmm")</f>
        <v>ene</v>
      </c>
      <c r="D750" s="2">
        <v>1319.69995117187</v>
      </c>
      <c r="E750" s="2">
        <v>1319.69995117187</v>
      </c>
      <c r="F750" s="2">
        <v>1325.40002441406</v>
      </c>
      <c r="G750" s="2">
        <v>1316.69995117187</v>
      </c>
      <c r="H750" s="2">
        <v>1320</v>
      </c>
      <c r="I750">
        <v>1970</v>
      </c>
      <c r="J750" s="2">
        <f ca="1">IFERROR((Tabla3[[#This Row],[Close]]-OFFSET(Tabla3[[#This Row],[Close]],-1,0))/OFFSET(Tabla3[[#This Row],[Close]],-1,0),"")</f>
        <v>7.4814310826459207E-3</v>
      </c>
      <c r="K750" s="2">
        <f ca="1">IFERROR(AVERAGE(OFFSET(Tabla3[[#This Row],[Close]],-6,0,7)),"")</f>
        <v>1299.9714181082543</v>
      </c>
      <c r="L750" s="2">
        <f ca="1">IFERROR(_xlfn.STDEV.S(OFFSET(Tabla3[[#This Row],[Close]],-29,0,30)),"")</f>
        <v>16.046119475762406</v>
      </c>
    </row>
    <row r="751" spans="1:12" x14ac:dyDescent="0.3">
      <c r="A751" s="1">
        <v>43497</v>
      </c>
      <c r="B751" s="3">
        <f>YEAR(Tabla3[[#This Row],[Date]])</f>
        <v>2019</v>
      </c>
      <c r="C751" s="1" t="str">
        <f>+TEXT(Tabla3[[#This Row],[Date]],"mmm")</f>
        <v>feb</v>
      </c>
      <c r="D751" s="2">
        <v>1316.90002441406</v>
      </c>
      <c r="E751" s="2">
        <v>1316.90002441406</v>
      </c>
      <c r="F751" s="2">
        <v>1320.69995117187</v>
      </c>
      <c r="G751" s="2">
        <v>1315.40002441406</v>
      </c>
      <c r="H751" s="2">
        <v>1320.30004882812</v>
      </c>
      <c r="I751">
        <v>878</v>
      </c>
      <c r="J751" s="2">
        <f ca="1">IFERROR((Tabla3[[#This Row],[Close]]-OFFSET(Tabla3[[#This Row],[Close]],-1,0))/OFFSET(Tabla3[[#This Row],[Close]],-1,0),"")</f>
        <v>-2.1216389038460704E-3</v>
      </c>
      <c r="K751" s="2">
        <f ca="1">IFERROR(AVERAGE(OFFSET(Tabla3[[#This Row],[Close]],-6,0,7)),"")</f>
        <v>1304.7999965122729</v>
      </c>
      <c r="L751" s="2">
        <f ca="1">IFERROR(_xlfn.STDEV.S(OFFSET(Tabla3[[#This Row],[Close]],-29,0,30)),"")</f>
        <v>15.844321025781554</v>
      </c>
    </row>
    <row r="752" spans="1:12" x14ac:dyDescent="0.3">
      <c r="A752" s="1">
        <v>43500</v>
      </c>
      <c r="B752" s="3">
        <f>YEAR(Tabla3[[#This Row],[Date]])</f>
        <v>2019</v>
      </c>
      <c r="C752" s="1" t="str">
        <f>+TEXT(Tabla3[[#This Row],[Date]],"mmm")</f>
        <v>feb</v>
      </c>
      <c r="D752" s="2">
        <v>1314.30004882812</v>
      </c>
      <c r="E752" s="2">
        <v>1314.30004882812</v>
      </c>
      <c r="F752" s="2">
        <v>1318.09997558593</v>
      </c>
      <c r="G752" s="2">
        <v>1308.30004882812</v>
      </c>
      <c r="H752" s="2">
        <v>1318.09997558593</v>
      </c>
      <c r="I752">
        <v>675</v>
      </c>
      <c r="J752" s="2">
        <f ca="1">IFERROR((Tabla3[[#This Row],[Close]]-OFFSET(Tabla3[[#This Row],[Close]],-1,0))/OFFSET(Tabla3[[#This Row],[Close]],-1,0),"")</f>
        <v>-1.9743150867483896E-3</v>
      </c>
      <c r="K752" s="2">
        <f ca="1">IFERROR(AVERAGE(OFFSET(Tabla3[[#This Row],[Close]],-6,0,7)),"")</f>
        <v>1309.8285784040143</v>
      </c>
      <c r="L752" s="2">
        <f ca="1">IFERROR(_xlfn.STDEV.S(OFFSET(Tabla3[[#This Row],[Close]],-29,0,30)),"")</f>
        <v>15.37811158276873</v>
      </c>
    </row>
    <row r="753" spans="1:12" x14ac:dyDescent="0.3">
      <c r="A753" s="1">
        <v>43501</v>
      </c>
      <c r="B753" s="3">
        <f>YEAR(Tabla3[[#This Row],[Date]])</f>
        <v>2019</v>
      </c>
      <c r="C753" s="1" t="str">
        <f>+TEXT(Tabla3[[#This Row],[Date]],"mmm")</f>
        <v>feb</v>
      </c>
      <c r="D753" s="2">
        <v>1314.19995117187</v>
      </c>
      <c r="E753" s="2">
        <v>1314.19995117187</v>
      </c>
      <c r="F753" s="2">
        <v>1315.09997558593</v>
      </c>
      <c r="G753" s="2">
        <v>1311</v>
      </c>
      <c r="H753" s="2">
        <v>1311.09997558593</v>
      </c>
      <c r="I753">
        <v>362</v>
      </c>
      <c r="J753" s="2">
        <f ca="1">IFERROR((Tabla3[[#This Row],[Close]]-OFFSET(Tabla3[[#This Row],[Close]],-1,0))/OFFSET(Tabla3[[#This Row],[Close]],-1,0),"")</f>
        <v>-7.6160429529962273E-5</v>
      </c>
      <c r="K753" s="2">
        <f ca="1">IFERROR(AVERAGE(OFFSET(Tabla3[[#This Row],[Close]],-6,0,7)),"")</f>
        <v>1312.2285679408444</v>
      </c>
      <c r="L753" s="2">
        <f ca="1">IFERROR(_xlfn.STDEV.S(OFFSET(Tabla3[[#This Row],[Close]],-29,0,30)),"")</f>
        <v>15.426441762734759</v>
      </c>
    </row>
    <row r="754" spans="1:12" x14ac:dyDescent="0.3">
      <c r="A754" s="1">
        <v>43502</v>
      </c>
      <c r="B754" s="3">
        <f>YEAR(Tabla3[[#This Row],[Date]])</f>
        <v>2019</v>
      </c>
      <c r="C754" s="1" t="str">
        <f>+TEXT(Tabla3[[#This Row],[Date]],"mmm")</f>
        <v>feb</v>
      </c>
      <c r="D754" s="2">
        <v>1309.5</v>
      </c>
      <c r="E754" s="2">
        <v>1309.5</v>
      </c>
      <c r="F754" s="2">
        <v>1313.5</v>
      </c>
      <c r="G754" s="2">
        <v>1305</v>
      </c>
      <c r="H754" s="2">
        <v>1312.5</v>
      </c>
      <c r="I754">
        <v>358</v>
      </c>
      <c r="J754" s="2">
        <f ca="1">IFERROR((Tabla3[[#This Row],[Close]]-OFFSET(Tabla3[[#This Row],[Close]],-1,0))/OFFSET(Tabla3[[#This Row],[Close]],-1,0),"")</f>
        <v>-3.5762831734083224E-3</v>
      </c>
      <c r="K754" s="2">
        <f ca="1">IFERROR(AVERAGE(OFFSET(Tabla3[[#This Row],[Close]],-6,0,7)),"")</f>
        <v>1313.2428501674071</v>
      </c>
      <c r="L754" s="2">
        <f ca="1">IFERROR(_xlfn.STDEV.S(OFFSET(Tabla3[[#This Row],[Close]],-29,0,30)),"")</f>
        <v>14.316374406239913</v>
      </c>
    </row>
    <row r="755" spans="1:12" x14ac:dyDescent="0.3">
      <c r="A755" s="1">
        <v>43503</v>
      </c>
      <c r="B755" s="3">
        <f>YEAR(Tabla3[[#This Row],[Date]])</f>
        <v>2019</v>
      </c>
      <c r="C755" s="1" t="str">
        <f>+TEXT(Tabla3[[#This Row],[Date]],"mmm")</f>
        <v>feb</v>
      </c>
      <c r="D755" s="2">
        <v>1309.40002441406</v>
      </c>
      <c r="E755" s="2">
        <v>1309.40002441406</v>
      </c>
      <c r="F755" s="2">
        <v>1310.40002441406</v>
      </c>
      <c r="G755" s="2">
        <v>1302.19995117187</v>
      </c>
      <c r="H755" s="2">
        <v>1302.90002441406</v>
      </c>
      <c r="I755">
        <v>203</v>
      </c>
      <c r="J755" s="2">
        <f ca="1">IFERROR((Tabla3[[#This Row],[Close]]-OFFSET(Tabla3[[#This Row],[Close]],-1,0))/OFFSET(Tabla3[[#This Row],[Close]],-1,0),"")</f>
        <v>-7.6346381015655675E-5</v>
      </c>
      <c r="K755" s="2">
        <f ca="1">IFERROR(AVERAGE(OFFSET(Tabla3[[#This Row],[Close]],-6,0,7)),"")</f>
        <v>1313.4142892020059</v>
      </c>
      <c r="L755" s="2">
        <f ca="1">IFERROR(_xlfn.STDEV.S(OFFSET(Tabla3[[#This Row],[Close]],-29,0,30)),"")</f>
        <v>13.966788191936912</v>
      </c>
    </row>
    <row r="756" spans="1:12" x14ac:dyDescent="0.3">
      <c r="A756" s="1">
        <v>43504</v>
      </c>
      <c r="B756" s="3">
        <f>YEAR(Tabla3[[#This Row],[Date]])</f>
        <v>2019</v>
      </c>
      <c r="C756" s="1" t="str">
        <f>+TEXT(Tabla3[[#This Row],[Date]],"mmm")</f>
        <v>feb</v>
      </c>
      <c r="D756" s="2">
        <v>1313.69995117187</v>
      </c>
      <c r="E756" s="2">
        <v>1313.69995117187</v>
      </c>
      <c r="F756" s="2">
        <v>1314</v>
      </c>
      <c r="G756" s="2">
        <v>1307.80004882812</v>
      </c>
      <c r="H756" s="2">
        <v>1309.5</v>
      </c>
      <c r="I756">
        <v>122</v>
      </c>
      <c r="J756" s="2">
        <f ca="1">IFERROR((Tabla3[[#This Row],[Close]]-OFFSET(Tabla3[[#This Row],[Close]],-1,0))/OFFSET(Tabla3[[#This Row],[Close]],-1,0),"")</f>
        <v>3.2838908489666186E-3</v>
      </c>
      <c r="K756" s="2">
        <f ca="1">IFERROR(AVERAGE(OFFSET(Tabla3[[#This Row],[Close]],-6,0,7)),"")</f>
        <v>1313.9571358816927</v>
      </c>
      <c r="L756" s="2">
        <f ca="1">IFERROR(_xlfn.STDEV.S(OFFSET(Tabla3[[#This Row],[Close]],-29,0,30)),"")</f>
        <v>13.760727969098399</v>
      </c>
    </row>
    <row r="757" spans="1:12" x14ac:dyDescent="0.3">
      <c r="A757" s="1">
        <v>43507</v>
      </c>
      <c r="B757" s="3">
        <f>YEAR(Tabla3[[#This Row],[Date]])</f>
        <v>2019</v>
      </c>
      <c r="C757" s="1" t="str">
        <f>+TEXT(Tabla3[[#This Row],[Date]],"mmm")</f>
        <v>feb</v>
      </c>
      <c r="D757" s="2">
        <v>1307</v>
      </c>
      <c r="E757" s="2">
        <v>1307</v>
      </c>
      <c r="F757" s="2">
        <v>1313.40002441406</v>
      </c>
      <c r="G757" s="2">
        <v>1304.69995117187</v>
      </c>
      <c r="H757" s="2">
        <v>1313.40002441406</v>
      </c>
      <c r="I757">
        <v>119</v>
      </c>
      <c r="J757" s="2">
        <f ca="1">IFERROR((Tabla3[[#This Row],[Close]]-OFFSET(Tabla3[[#This Row],[Close]],-1,0))/OFFSET(Tabla3[[#This Row],[Close]],-1,0),"")</f>
        <v>-5.1000619783028748E-3</v>
      </c>
      <c r="K757" s="2">
        <f ca="1">IFERROR(AVERAGE(OFFSET(Tabla3[[#This Row],[Close]],-6,0,7)),"")</f>
        <v>1312.1428571428544</v>
      </c>
      <c r="L757" s="2">
        <f ca="1">IFERROR(_xlfn.STDEV.S(OFFSET(Tabla3[[#This Row],[Close]],-29,0,30)),"")</f>
        <v>13.581062085874624</v>
      </c>
    </row>
    <row r="758" spans="1:12" x14ac:dyDescent="0.3">
      <c r="A758" s="1">
        <v>43508</v>
      </c>
      <c r="B758" s="3">
        <f>YEAR(Tabla3[[#This Row],[Date]])</f>
        <v>2019</v>
      </c>
      <c r="C758" s="1" t="str">
        <f>+TEXT(Tabla3[[#This Row],[Date]],"mmm")</f>
        <v>feb</v>
      </c>
      <c r="D758" s="2">
        <v>1309.19995117187</v>
      </c>
      <c r="E758" s="2">
        <v>1309.19995117187</v>
      </c>
      <c r="F758" s="2">
        <v>1312</v>
      </c>
      <c r="G758" s="2">
        <v>1307.59997558593</v>
      </c>
      <c r="H758" s="2">
        <v>1310</v>
      </c>
      <c r="I758">
        <v>109</v>
      </c>
      <c r="J758" s="2">
        <f ca="1">IFERROR((Tabla3[[#This Row],[Close]]-OFFSET(Tabla3[[#This Row],[Close]],-1,0))/OFFSET(Tabla3[[#This Row],[Close]],-1,0),"")</f>
        <v>1.6832067114537091E-3</v>
      </c>
      <c r="K758" s="2">
        <f ca="1">IFERROR(AVERAGE(OFFSET(Tabla3[[#This Row],[Close]],-6,0,7)),"")</f>
        <v>1311.0428466796841</v>
      </c>
      <c r="L758" s="2">
        <f ca="1">IFERROR(_xlfn.STDEV.S(OFFSET(Tabla3[[#This Row],[Close]],-29,0,30)),"")</f>
        <v>13.507834445025207</v>
      </c>
    </row>
    <row r="759" spans="1:12" x14ac:dyDescent="0.3">
      <c r="A759" s="1">
        <v>43509</v>
      </c>
      <c r="B759" s="3">
        <f>YEAR(Tabla3[[#This Row],[Date]])</f>
        <v>2019</v>
      </c>
      <c r="C759" s="1" t="str">
        <f>+TEXT(Tabla3[[#This Row],[Date]],"mmm")</f>
        <v>feb</v>
      </c>
      <c r="D759" s="2">
        <v>1310.80004882812</v>
      </c>
      <c r="E759" s="2">
        <v>1310.80004882812</v>
      </c>
      <c r="F759" s="2">
        <v>1316</v>
      </c>
      <c r="G759" s="2">
        <v>1308.09997558593</v>
      </c>
      <c r="H759" s="2">
        <v>1311.59997558593</v>
      </c>
      <c r="I759">
        <v>143</v>
      </c>
      <c r="J759" s="2">
        <f ca="1">IFERROR((Tabla3[[#This Row],[Close]]-OFFSET(Tabla3[[#This Row],[Close]],-1,0))/OFFSET(Tabla3[[#This Row],[Close]],-1,0),"")</f>
        <v>1.2221950167487757E-3</v>
      </c>
      <c r="K759" s="2">
        <f ca="1">IFERROR(AVERAGE(OFFSET(Tabla3[[#This Row],[Close]],-6,0,7)),"")</f>
        <v>1310.5428466796841</v>
      </c>
      <c r="L759" s="2">
        <f ca="1">IFERROR(_xlfn.STDEV.S(OFFSET(Tabla3[[#This Row],[Close]],-29,0,30)),"")</f>
        <v>13.339895192047598</v>
      </c>
    </row>
    <row r="760" spans="1:12" x14ac:dyDescent="0.3">
      <c r="A760" s="1">
        <v>43510</v>
      </c>
      <c r="B760" s="3">
        <f>YEAR(Tabla3[[#This Row],[Date]])</f>
        <v>2019</v>
      </c>
      <c r="C760" s="1" t="str">
        <f>+TEXT(Tabla3[[#This Row],[Date]],"mmm")</f>
        <v>feb</v>
      </c>
      <c r="D760" s="2">
        <v>1309.80004882812</v>
      </c>
      <c r="E760" s="2">
        <v>1309.80004882812</v>
      </c>
      <c r="F760" s="2">
        <v>1311.80004882812</v>
      </c>
      <c r="G760" s="2">
        <v>1301.59997558593</v>
      </c>
      <c r="H760" s="2">
        <v>1305</v>
      </c>
      <c r="I760">
        <v>858</v>
      </c>
      <c r="J760" s="2">
        <f ca="1">IFERROR((Tabla3[[#This Row],[Close]]-OFFSET(Tabla3[[#This Row],[Close]],-1,0))/OFFSET(Tabla3[[#This Row],[Close]],-1,0),"")</f>
        <v>-7.628928614200304E-4</v>
      </c>
      <c r="K760" s="2">
        <f ca="1">IFERROR(AVERAGE(OFFSET(Tabla3[[#This Row],[Close]],-6,0,7)),"")</f>
        <v>1309.9142892020056</v>
      </c>
      <c r="L760" s="2">
        <f ca="1">IFERROR(_xlfn.STDEV.S(OFFSET(Tabla3[[#This Row],[Close]],-29,0,30)),"")</f>
        <v>13.176353867127725</v>
      </c>
    </row>
    <row r="761" spans="1:12" x14ac:dyDescent="0.3">
      <c r="A761" s="1">
        <v>43511</v>
      </c>
      <c r="B761" s="3">
        <f>YEAR(Tabla3[[#This Row],[Date]])</f>
        <v>2019</v>
      </c>
      <c r="C761" s="1" t="str">
        <f>+TEXT(Tabla3[[#This Row],[Date]],"mmm")</f>
        <v>feb</v>
      </c>
      <c r="D761" s="2">
        <v>1318.09997558593</v>
      </c>
      <c r="E761" s="2">
        <v>1318.09997558593</v>
      </c>
      <c r="F761" s="2">
        <v>1318.80004882812</v>
      </c>
      <c r="G761" s="2">
        <v>1313.59997558593</v>
      </c>
      <c r="H761" s="2">
        <v>1313.59997558593</v>
      </c>
      <c r="I761">
        <v>190</v>
      </c>
      <c r="J761" s="2">
        <f ca="1">IFERROR((Tabla3[[#This Row],[Close]]-OFFSET(Tabla3[[#This Row],[Close]],-1,0))/OFFSET(Tabla3[[#This Row],[Close]],-1,0),"")</f>
        <v>6.3367891650606941E-3</v>
      </c>
      <c r="K761" s="2">
        <f ca="1">IFERROR(AVERAGE(OFFSET(Tabla3[[#This Row],[Close]],-6,0,7)),"")</f>
        <v>1311.1428571428528</v>
      </c>
      <c r="L761" s="2">
        <f ca="1">IFERROR(_xlfn.STDEV.S(OFFSET(Tabla3[[#This Row],[Close]],-29,0,30)),"")</f>
        <v>13.612943893519073</v>
      </c>
    </row>
    <row r="762" spans="1:12" x14ac:dyDescent="0.3">
      <c r="A762" s="1">
        <v>43515</v>
      </c>
      <c r="B762" s="3">
        <f>YEAR(Tabla3[[#This Row],[Date]])</f>
        <v>2019</v>
      </c>
      <c r="C762" s="1" t="str">
        <f>+TEXT(Tabla3[[#This Row],[Date]],"mmm")</f>
        <v>feb</v>
      </c>
      <c r="D762" s="2">
        <v>1340.09997558593</v>
      </c>
      <c r="E762" s="2">
        <v>1340.09997558593</v>
      </c>
      <c r="F762" s="2">
        <v>1340.09997558593</v>
      </c>
      <c r="G762" s="2">
        <v>1320.5</v>
      </c>
      <c r="H762" s="2">
        <v>1320.90002441406</v>
      </c>
      <c r="I762">
        <v>390</v>
      </c>
      <c r="J762" s="2">
        <f ca="1">IFERROR((Tabla3[[#This Row],[Close]]-OFFSET(Tabla3[[#This Row],[Close]],-1,0))/OFFSET(Tabla3[[#This Row],[Close]],-1,0),"")</f>
        <v>1.6690691455494809E-2</v>
      </c>
      <c r="K762" s="2">
        <f ca="1">IFERROR(AVERAGE(OFFSET(Tabla3[[#This Row],[Close]],-6,0,7)),"")</f>
        <v>1315.52856445312</v>
      </c>
      <c r="L762" s="2">
        <f ca="1">IFERROR(_xlfn.STDEV.S(OFFSET(Tabla3[[#This Row],[Close]],-29,0,30)),"")</f>
        <v>15.193731277102719</v>
      </c>
    </row>
    <row r="763" spans="1:12" x14ac:dyDescent="0.3">
      <c r="A763" s="1">
        <v>43516</v>
      </c>
      <c r="B763" s="3">
        <f>YEAR(Tabla3[[#This Row],[Date]])</f>
        <v>2019</v>
      </c>
      <c r="C763" s="1" t="str">
        <f>+TEXT(Tabla3[[#This Row],[Date]],"mmm")</f>
        <v>feb</v>
      </c>
      <c r="D763" s="2">
        <v>1343.30004882812</v>
      </c>
      <c r="E763" s="2">
        <v>1343.30004882812</v>
      </c>
      <c r="F763" s="2">
        <v>1344</v>
      </c>
      <c r="G763" s="2">
        <v>1338</v>
      </c>
      <c r="H763" s="2">
        <v>1342.19995117187</v>
      </c>
      <c r="I763">
        <v>581</v>
      </c>
      <c r="J763" s="2">
        <f ca="1">IFERROR((Tabla3[[#This Row],[Close]]-OFFSET(Tabla3[[#This Row],[Close]],-1,0))/OFFSET(Tabla3[[#This Row],[Close]],-1,0),"")</f>
        <v>2.3879361991562143E-3</v>
      </c>
      <c r="K763" s="2">
        <f ca="1">IFERROR(AVERAGE(OFFSET(Tabla3[[#This Row],[Close]],-6,0,7)),"")</f>
        <v>1319.7571498325844</v>
      </c>
      <c r="L763" s="2">
        <f ca="1">IFERROR(_xlfn.STDEV.S(OFFSET(Tabla3[[#This Row],[Close]],-29,0,30)),"")</f>
        <v>16.807690873873835</v>
      </c>
    </row>
    <row r="764" spans="1:12" x14ac:dyDescent="0.3">
      <c r="A764" s="1">
        <v>43517</v>
      </c>
      <c r="B764" s="3">
        <f>YEAR(Tabla3[[#This Row],[Date]])</f>
        <v>2019</v>
      </c>
      <c r="C764" s="1" t="str">
        <f>+TEXT(Tabla3[[#This Row],[Date]],"mmm")</f>
        <v>feb</v>
      </c>
      <c r="D764" s="2">
        <v>1323.5</v>
      </c>
      <c r="E764" s="2">
        <v>1323.5</v>
      </c>
      <c r="F764" s="2">
        <v>1334.90002441406</v>
      </c>
      <c r="G764" s="2">
        <v>1320.90002441406</v>
      </c>
      <c r="H764" s="2">
        <v>1331.30004882812</v>
      </c>
      <c r="I764">
        <v>414</v>
      </c>
      <c r="J764" s="2">
        <f ca="1">IFERROR((Tabla3[[#This Row],[Close]]-OFFSET(Tabla3[[#This Row],[Close]],-1,0))/OFFSET(Tabla3[[#This Row],[Close]],-1,0),"")</f>
        <v>-1.4739855660240123E-2</v>
      </c>
      <c r="K764" s="2">
        <f ca="1">IFERROR(AVERAGE(OFFSET(Tabla3[[#This Row],[Close]],-6,0,7)),"")</f>
        <v>1322.1142926897271</v>
      </c>
      <c r="L764" s="2">
        <f ca="1">IFERROR(_xlfn.STDEV.S(OFFSET(Tabla3[[#This Row],[Close]],-29,0,30)),"")</f>
        <v>16.802865509585214</v>
      </c>
    </row>
    <row r="765" spans="1:12" x14ac:dyDescent="0.3">
      <c r="A765" s="1">
        <v>43518</v>
      </c>
      <c r="B765" s="3">
        <f>YEAR(Tabla3[[#This Row],[Date]])</f>
        <v>2019</v>
      </c>
      <c r="C765" s="1" t="str">
        <f>+TEXT(Tabla3[[#This Row],[Date]],"mmm")</f>
        <v>feb</v>
      </c>
      <c r="D765" s="2">
        <v>1329.19995117187</v>
      </c>
      <c r="E765" s="2">
        <v>1329.19995117187</v>
      </c>
      <c r="F765" s="2">
        <v>1331.30004882812</v>
      </c>
      <c r="G765" s="2">
        <v>1321</v>
      </c>
      <c r="H765" s="2">
        <v>1324.19995117187</v>
      </c>
      <c r="I765">
        <v>718</v>
      </c>
      <c r="J765" s="2">
        <f ca="1">IFERROR((Tabla3[[#This Row],[Close]]-OFFSET(Tabla3[[#This Row],[Close]],-1,0))/OFFSET(Tabla3[[#This Row],[Close]],-1,0),"")</f>
        <v>4.3067254793124274E-3</v>
      </c>
      <c r="K765" s="2">
        <f ca="1">IFERROR(AVERAGE(OFFSET(Tabla3[[#This Row],[Close]],-6,0,7)),"")</f>
        <v>1324.97143554687</v>
      </c>
      <c r="L765" s="2">
        <f ca="1">IFERROR(_xlfn.STDEV.S(OFFSET(Tabla3[[#This Row],[Close]],-29,0,30)),"")</f>
        <v>17.167783481565674</v>
      </c>
    </row>
    <row r="766" spans="1:12" x14ac:dyDescent="0.3">
      <c r="A766" s="1">
        <v>43521</v>
      </c>
      <c r="B766" s="3">
        <f>YEAR(Tabla3[[#This Row],[Date]])</f>
        <v>2019</v>
      </c>
      <c r="C766" s="1" t="str">
        <f>+TEXT(Tabla3[[#This Row],[Date]],"mmm")</f>
        <v>feb</v>
      </c>
      <c r="D766" s="2">
        <v>1325.90002441406</v>
      </c>
      <c r="E766" s="2">
        <v>1325.90002441406</v>
      </c>
      <c r="F766" s="2">
        <v>1331.59997558593</v>
      </c>
      <c r="G766" s="2">
        <v>1325.59997558593</v>
      </c>
      <c r="H766" s="2">
        <v>1329.19995117187</v>
      </c>
      <c r="I766">
        <v>185</v>
      </c>
      <c r="J766" s="2">
        <f ca="1">IFERROR((Tabla3[[#This Row],[Close]]-OFFSET(Tabla3[[#This Row],[Close]],-1,0))/OFFSET(Tabla3[[#This Row],[Close]],-1,0),"")</f>
        <v>-2.4826413474516502E-3</v>
      </c>
      <c r="K766" s="2">
        <f ca="1">IFERROR(AVERAGE(OFFSET(Tabla3[[#This Row],[Close]],-6,0,7)),"")</f>
        <v>1327.1285749162901</v>
      </c>
      <c r="L766" s="2">
        <f ca="1">IFERROR(_xlfn.STDEV.S(OFFSET(Tabla3[[#This Row],[Close]],-29,0,30)),"")</f>
        <v>17.101728971280746</v>
      </c>
    </row>
    <row r="767" spans="1:12" x14ac:dyDescent="0.3">
      <c r="A767" s="1">
        <v>43522</v>
      </c>
      <c r="B767" s="3">
        <f>YEAR(Tabla3[[#This Row],[Date]])</f>
        <v>2019</v>
      </c>
      <c r="C767" s="1" t="str">
        <f>+TEXT(Tabla3[[#This Row],[Date]],"mmm")</f>
        <v>feb</v>
      </c>
      <c r="D767" s="2">
        <v>1325.09997558593</v>
      </c>
      <c r="E767" s="2">
        <v>1325.09997558593</v>
      </c>
      <c r="F767" s="2">
        <v>1325.5</v>
      </c>
      <c r="G767" s="2">
        <v>1323.30004882812</v>
      </c>
      <c r="H767" s="2">
        <v>1323.30004882812</v>
      </c>
      <c r="I767">
        <v>939</v>
      </c>
      <c r="J767" s="2">
        <f ca="1">IFERROR((Tabla3[[#This Row],[Close]]-OFFSET(Tabla3[[#This Row],[Close]],-1,0))/OFFSET(Tabla3[[#This Row],[Close]],-1,0),"")</f>
        <v>-6.0340056821671666E-4</v>
      </c>
      <c r="K767" s="2">
        <f ca="1">IFERROR(AVERAGE(OFFSET(Tabla3[[#This Row],[Close]],-6,0,7)),"")</f>
        <v>1329.314278738834</v>
      </c>
      <c r="L767" s="2">
        <f ca="1">IFERROR(_xlfn.STDEV.S(OFFSET(Tabla3[[#This Row],[Close]],-29,0,30)),"")</f>
        <v>17.000544278828944</v>
      </c>
    </row>
    <row r="768" spans="1:12" x14ac:dyDescent="0.3">
      <c r="A768" s="1">
        <v>43523</v>
      </c>
      <c r="B768" s="3">
        <f>YEAR(Tabla3[[#This Row],[Date]])</f>
        <v>2019</v>
      </c>
      <c r="C768" s="1" t="str">
        <f>+TEXT(Tabla3[[#This Row],[Date]],"mmm")</f>
        <v>feb</v>
      </c>
      <c r="D768" s="2">
        <v>1317.69995117187</v>
      </c>
      <c r="E768" s="2">
        <v>1317.69995117187</v>
      </c>
      <c r="F768" s="2">
        <v>1327.90002441406</v>
      </c>
      <c r="G768" s="2">
        <v>1316.5</v>
      </c>
      <c r="H768" s="2">
        <v>1327.69995117187</v>
      </c>
      <c r="I768">
        <v>604</v>
      </c>
      <c r="J768" s="2">
        <f ca="1">IFERROR((Tabla3[[#This Row],[Close]]-OFFSET(Tabla3[[#This Row],[Close]],-1,0))/OFFSET(Tabla3[[#This Row],[Close]],-1,0),"")</f>
        <v>-5.5845027170782881E-3</v>
      </c>
      <c r="K768" s="2">
        <f ca="1">IFERROR(AVERAGE(OFFSET(Tabla3[[#This Row],[Close]],-6,0,7)),"")</f>
        <v>1329.2571323939685</v>
      </c>
      <c r="L768" s="2">
        <f ca="1">IFERROR(_xlfn.STDEV.S(OFFSET(Tabla3[[#This Row],[Close]],-29,0,30)),"")</f>
        <v>16.700495290823248</v>
      </c>
    </row>
    <row r="769" spans="1:12" x14ac:dyDescent="0.3">
      <c r="A769" s="1">
        <v>43524</v>
      </c>
      <c r="B769" s="3">
        <f>YEAR(Tabla3[[#This Row],[Date]])</f>
        <v>2019</v>
      </c>
      <c r="C769" s="1" t="str">
        <f>+TEXT(Tabla3[[#This Row],[Date]],"mmm")</f>
        <v>feb</v>
      </c>
      <c r="D769" s="2">
        <v>1312.80004882812</v>
      </c>
      <c r="E769" s="2">
        <v>1312.80004882812</v>
      </c>
      <c r="F769" s="2">
        <v>1323.69995117187</v>
      </c>
      <c r="G769" s="2">
        <v>1311.5</v>
      </c>
      <c r="H769" s="2">
        <v>1321.09997558593</v>
      </c>
      <c r="I769">
        <v>141</v>
      </c>
      <c r="J769" s="2">
        <f ca="1">IFERROR((Tabla3[[#This Row],[Close]]-OFFSET(Tabla3[[#This Row],[Close]],-1,0))/OFFSET(Tabla3[[#This Row],[Close]],-1,0),"")</f>
        <v>-3.7185266185920172E-3</v>
      </c>
      <c r="K769" s="2">
        <f ca="1">IFERROR(AVERAGE(OFFSET(Tabla3[[#This Row],[Close]],-6,0,7)),"")</f>
        <v>1325.3571428571383</v>
      </c>
      <c r="L769" s="2">
        <f ca="1">IFERROR(_xlfn.STDEV.S(OFFSET(Tabla3[[#This Row],[Close]],-29,0,30)),"")</f>
        <v>16.144952568365248</v>
      </c>
    </row>
    <row r="770" spans="1:12" x14ac:dyDescent="0.3">
      <c r="A770" s="1">
        <v>43525</v>
      </c>
      <c r="B770" s="3">
        <f>YEAR(Tabla3[[#This Row],[Date]])</f>
        <v>2019</v>
      </c>
      <c r="C770" s="1" t="str">
        <f>+TEXT(Tabla3[[#This Row],[Date]],"mmm")</f>
        <v>mar</v>
      </c>
      <c r="D770" s="2">
        <v>1296.40002441406</v>
      </c>
      <c r="E770" s="2">
        <v>1296.40002441406</v>
      </c>
      <c r="F770" s="2">
        <v>1312.19995117187</v>
      </c>
      <c r="G770" s="2">
        <v>1288.90002441406</v>
      </c>
      <c r="H770" s="2">
        <v>1312.19995117187</v>
      </c>
      <c r="I770">
        <v>110</v>
      </c>
      <c r="J770" s="2">
        <f ca="1">IFERROR((Tabla3[[#This Row],[Close]]-OFFSET(Tabla3[[#This Row],[Close]],-1,0))/OFFSET(Tabla3[[#This Row],[Close]],-1,0),"")</f>
        <v>-1.2492400825776625E-2</v>
      </c>
      <c r="K770" s="2">
        <f ca="1">IFERROR(AVERAGE(OFFSET(Tabla3[[#This Row],[Close]],-6,0,7)),"")</f>
        <v>1318.6571393694157</v>
      </c>
      <c r="L770" s="2">
        <f ca="1">IFERROR(_xlfn.STDEV.S(OFFSET(Tabla3[[#This Row],[Close]],-29,0,30)),"")</f>
        <v>15.980388582140776</v>
      </c>
    </row>
    <row r="771" spans="1:12" x14ac:dyDescent="0.3">
      <c r="A771" s="1">
        <v>43528</v>
      </c>
      <c r="B771" s="3">
        <f>YEAR(Tabla3[[#This Row],[Date]])</f>
        <v>2019</v>
      </c>
      <c r="C771" s="1" t="str">
        <f>+TEXT(Tabla3[[#This Row],[Date]],"mmm")</f>
        <v>mar</v>
      </c>
      <c r="D771" s="2">
        <v>1284.80004882812</v>
      </c>
      <c r="E771" s="2">
        <v>1284.80004882812</v>
      </c>
      <c r="F771" s="2">
        <v>1287</v>
      </c>
      <c r="G771" s="2">
        <v>1281.90002441406</v>
      </c>
      <c r="H771" s="2">
        <v>1285.5</v>
      </c>
      <c r="I771">
        <v>28</v>
      </c>
      <c r="J771" s="2">
        <f ca="1">IFERROR((Tabla3[[#This Row],[Close]]-OFFSET(Tabla3[[#This Row],[Close]],-1,0))/OFFSET(Tabla3[[#This Row],[Close]],-1,0),"")</f>
        <v>-8.9478365994191469E-3</v>
      </c>
      <c r="K771" s="2">
        <f ca="1">IFERROR(AVERAGE(OFFSET(Tabla3[[#This Row],[Close]],-6,0,7)),"")</f>
        <v>1313.1285749162901</v>
      </c>
      <c r="L771" s="2">
        <f ca="1">IFERROR(_xlfn.STDEV.S(OFFSET(Tabla3[[#This Row],[Close]],-29,0,30)),"")</f>
        <v>16.272663748712709</v>
      </c>
    </row>
    <row r="772" spans="1:12" x14ac:dyDescent="0.3">
      <c r="A772" s="1">
        <v>43529</v>
      </c>
      <c r="B772" s="3">
        <f>YEAR(Tabla3[[#This Row],[Date]])</f>
        <v>2019</v>
      </c>
      <c r="C772" s="1" t="str">
        <f>+TEXT(Tabla3[[#This Row],[Date]],"mmm")</f>
        <v>mar</v>
      </c>
      <c r="D772" s="2">
        <v>1282</v>
      </c>
      <c r="E772" s="2">
        <v>1282</v>
      </c>
      <c r="F772" s="2">
        <v>1287</v>
      </c>
      <c r="G772" s="2">
        <v>1282</v>
      </c>
      <c r="H772" s="2">
        <v>1287</v>
      </c>
      <c r="I772">
        <v>114</v>
      </c>
      <c r="J772" s="2">
        <f ca="1">IFERROR((Tabla3[[#This Row],[Close]]-OFFSET(Tabla3[[#This Row],[Close]],-1,0))/OFFSET(Tabla3[[#This Row],[Close]],-1,0),"")</f>
        <v>-2.1793654434197388E-3</v>
      </c>
      <c r="K772" s="2">
        <f ca="1">IFERROR(AVERAGE(OFFSET(Tabla3[[#This Row],[Close]],-6,0,7)),"")</f>
        <v>1306.38572474888</v>
      </c>
      <c r="L772" s="2">
        <f ca="1">IFERROR(_xlfn.STDEV.S(OFFSET(Tabla3[[#This Row],[Close]],-29,0,30)),"")</f>
        <v>16.230775117269328</v>
      </c>
    </row>
    <row r="773" spans="1:12" x14ac:dyDescent="0.3">
      <c r="A773" s="1">
        <v>43530</v>
      </c>
      <c r="B773" s="3">
        <f>YEAR(Tabla3[[#This Row],[Date]])</f>
        <v>2019</v>
      </c>
      <c r="C773" s="1" t="str">
        <f>+TEXT(Tabla3[[#This Row],[Date]],"mmm")</f>
        <v>mar</v>
      </c>
      <c r="D773" s="2">
        <v>1284.90002441406</v>
      </c>
      <c r="E773" s="2">
        <v>1284.90002441406</v>
      </c>
      <c r="F773" s="2">
        <v>1287.09997558593</v>
      </c>
      <c r="G773" s="2">
        <v>1282.59997558593</v>
      </c>
      <c r="H773" s="2">
        <v>1287.09997558593</v>
      </c>
      <c r="I773">
        <v>14</v>
      </c>
      <c r="J773" s="2">
        <f ca="1">IFERROR((Tabla3[[#This Row],[Close]]-OFFSET(Tabla3[[#This Row],[Close]],-1,0))/OFFSET(Tabla3[[#This Row],[Close]],-1,0),"")</f>
        <v>2.2621095273478932E-3</v>
      </c>
      <c r="K773" s="2">
        <f ca="1">IFERROR(AVERAGE(OFFSET(Tabla3[[#This Row],[Close]],-6,0,7)),"")</f>
        <v>1300.5285818917371</v>
      </c>
      <c r="L773" s="2">
        <f ca="1">IFERROR(_xlfn.STDEV.S(OFFSET(Tabla3[[#This Row],[Close]],-29,0,30)),"")</f>
        <v>16.096594781605052</v>
      </c>
    </row>
    <row r="774" spans="1:12" x14ac:dyDescent="0.3">
      <c r="A774" s="1">
        <v>43531</v>
      </c>
      <c r="B774" s="3">
        <f>YEAR(Tabla3[[#This Row],[Date]])</f>
        <v>2019</v>
      </c>
      <c r="C774" s="1" t="str">
        <f>+TEXT(Tabla3[[#This Row],[Date]],"mmm")</f>
        <v>mar</v>
      </c>
      <c r="D774" s="2">
        <v>1283.80004882812</v>
      </c>
      <c r="E774" s="2">
        <v>1283.80004882812</v>
      </c>
      <c r="F774" s="2">
        <v>1284.59997558593</v>
      </c>
      <c r="G774" s="2">
        <v>1281</v>
      </c>
      <c r="H774" s="2">
        <v>1281</v>
      </c>
      <c r="I774">
        <v>11</v>
      </c>
      <c r="J774" s="2">
        <f ca="1">IFERROR((Tabla3[[#This Row],[Close]]-OFFSET(Tabla3[[#This Row],[Close]],-1,0))/OFFSET(Tabla3[[#This Row],[Close]],-1,0),"")</f>
        <v>-8.5607873378445293E-4</v>
      </c>
      <c r="K774" s="2">
        <f ca="1">IFERROR(AVERAGE(OFFSET(Tabla3[[#This Row],[Close]],-6,0,7)),"")</f>
        <v>1294.6285923549071</v>
      </c>
      <c r="L774" s="2">
        <f ca="1">IFERROR(_xlfn.STDEV.S(OFFSET(Tabla3[[#This Row],[Close]],-29,0,30)),"")</f>
        <v>16.05679038638003</v>
      </c>
    </row>
    <row r="775" spans="1:12" x14ac:dyDescent="0.3">
      <c r="A775" s="1">
        <v>43532</v>
      </c>
      <c r="B775" s="3">
        <f>YEAR(Tabla3[[#This Row],[Date]])</f>
        <v>2019</v>
      </c>
      <c r="C775" s="1" t="str">
        <f>+TEXT(Tabla3[[#This Row],[Date]],"mmm")</f>
        <v>mar</v>
      </c>
      <c r="D775" s="2">
        <v>1297</v>
      </c>
      <c r="E775" s="2">
        <v>1297</v>
      </c>
      <c r="F775" s="2">
        <v>1297.40002441406</v>
      </c>
      <c r="G775" s="2">
        <v>1291.59997558593</v>
      </c>
      <c r="H775" s="2">
        <v>1292.09997558593</v>
      </c>
      <c r="I775">
        <v>10</v>
      </c>
      <c r="J775" s="2">
        <f ca="1">IFERROR((Tabla3[[#This Row],[Close]]-OFFSET(Tabla3[[#This Row],[Close]],-1,0))/OFFSET(Tabla3[[#This Row],[Close]],-1,0),"")</f>
        <v>1.0281936960455172E-2</v>
      </c>
      <c r="K775" s="2">
        <f ca="1">IFERROR(AVERAGE(OFFSET(Tabla3[[#This Row],[Close]],-6,0,7)),"")</f>
        <v>1291.6714564732115</v>
      </c>
      <c r="L775" s="2">
        <f ca="1">IFERROR(_xlfn.STDEV.S(OFFSET(Tabla3[[#This Row],[Close]],-29,0,30)),"")</f>
        <v>15.178679490884587</v>
      </c>
    </row>
    <row r="776" spans="1:12" x14ac:dyDescent="0.3">
      <c r="A776" s="1">
        <v>43535</v>
      </c>
      <c r="B776" s="3">
        <f>YEAR(Tabla3[[#This Row],[Date]])</f>
        <v>2019</v>
      </c>
      <c r="C776" s="1" t="str">
        <f>+TEXT(Tabla3[[#This Row],[Date]],"mmm")</f>
        <v>mar</v>
      </c>
      <c r="D776" s="2">
        <v>1288.80004882812</v>
      </c>
      <c r="E776" s="2">
        <v>1288.80004882812</v>
      </c>
      <c r="F776" s="2">
        <v>1291</v>
      </c>
      <c r="G776" s="2">
        <v>1288.80004882812</v>
      </c>
      <c r="H776" s="2">
        <v>1291</v>
      </c>
      <c r="I776">
        <v>9</v>
      </c>
      <c r="J776" s="2">
        <f ca="1">IFERROR((Tabla3[[#This Row],[Close]]-OFFSET(Tabla3[[#This Row],[Close]],-1,0))/OFFSET(Tabla3[[#This Row],[Close]],-1,0),"")</f>
        <v>-6.3222445426985366E-3</v>
      </c>
      <c r="K776" s="2">
        <f ca="1">IFERROR(AVERAGE(OFFSET(Tabla3[[#This Row],[Close]],-6,0,7)),"")</f>
        <v>1288.2428850446399</v>
      </c>
      <c r="L776" s="2">
        <f ca="1">IFERROR(_xlfn.STDEV.S(OFFSET(Tabla3[[#This Row],[Close]],-29,0,30)),"")</f>
        <v>15.513439063904626</v>
      </c>
    </row>
    <row r="777" spans="1:12" x14ac:dyDescent="0.3">
      <c r="A777" s="1">
        <v>43536</v>
      </c>
      <c r="B777" s="3">
        <f>YEAR(Tabla3[[#This Row],[Date]])</f>
        <v>2019</v>
      </c>
      <c r="C777" s="1" t="str">
        <f>+TEXT(Tabla3[[#This Row],[Date]],"mmm")</f>
        <v>mar</v>
      </c>
      <c r="D777" s="2">
        <v>1296.30004882812</v>
      </c>
      <c r="E777" s="2">
        <v>1296.30004882812</v>
      </c>
      <c r="F777" s="2">
        <v>1296.30004882812</v>
      </c>
      <c r="G777" s="2">
        <v>1294.69995117187</v>
      </c>
      <c r="H777" s="2">
        <v>1294.69995117187</v>
      </c>
      <c r="I777">
        <v>1</v>
      </c>
      <c r="J777" s="2">
        <f ca="1">IFERROR((Tabla3[[#This Row],[Close]]-OFFSET(Tabla3[[#This Row],[Close]],-1,0))/OFFSET(Tabla3[[#This Row],[Close]],-1,0),"")</f>
        <v>5.8193666324109772E-3</v>
      </c>
      <c r="K777" s="2">
        <f ca="1">IFERROR(AVERAGE(OFFSET(Tabla3[[#This Row],[Close]],-6,0,7)),"")</f>
        <v>1288.228602818077</v>
      </c>
      <c r="L777" s="2">
        <f ca="1">IFERROR(_xlfn.STDEV.S(OFFSET(Tabla3[[#This Row],[Close]],-29,0,30)),"")</f>
        <v>15.659569853379374</v>
      </c>
    </row>
    <row r="778" spans="1:12" x14ac:dyDescent="0.3">
      <c r="A778" s="1">
        <v>43537</v>
      </c>
      <c r="B778" s="3">
        <f>YEAR(Tabla3[[#This Row],[Date]])</f>
        <v>2019</v>
      </c>
      <c r="C778" s="1" t="str">
        <f>+TEXT(Tabla3[[#This Row],[Date]],"mmm")</f>
        <v>mar</v>
      </c>
      <c r="D778" s="2">
        <v>1307.5</v>
      </c>
      <c r="E778" s="2">
        <v>1307.5</v>
      </c>
      <c r="F778" s="2">
        <v>1307.5</v>
      </c>
      <c r="G778" s="2">
        <v>1307.5</v>
      </c>
      <c r="H778" s="2">
        <v>1307.5</v>
      </c>
      <c r="I778">
        <v>0</v>
      </c>
      <c r="J778" s="2">
        <f ca="1">IFERROR((Tabla3[[#This Row],[Close]]-OFFSET(Tabla3[[#This Row],[Close]],-1,0))/OFFSET(Tabla3[[#This Row],[Close]],-1,0),"")</f>
        <v>8.639937321613906E-3</v>
      </c>
      <c r="K778" s="2">
        <f ca="1">IFERROR(AVERAGE(OFFSET(Tabla3[[#This Row],[Close]],-6,0,7)),"")</f>
        <v>1291.4714529854884</v>
      </c>
      <c r="L778" s="2">
        <f ca="1">IFERROR(_xlfn.STDEV.S(OFFSET(Tabla3[[#This Row],[Close]],-29,0,30)),"")</f>
        <v>15.662983530005857</v>
      </c>
    </row>
    <row r="779" spans="1:12" x14ac:dyDescent="0.3">
      <c r="A779" s="1">
        <v>43538</v>
      </c>
      <c r="B779" s="3">
        <f>YEAR(Tabla3[[#This Row],[Date]])</f>
        <v>2019</v>
      </c>
      <c r="C779" s="1" t="str">
        <f>+TEXT(Tabla3[[#This Row],[Date]],"mmm")</f>
        <v>mar</v>
      </c>
      <c r="D779" s="2">
        <v>1293.40002441406</v>
      </c>
      <c r="E779" s="2">
        <v>1293.40002441406</v>
      </c>
      <c r="F779" s="2">
        <v>1293.40002441406</v>
      </c>
      <c r="G779" s="2">
        <v>1293.40002441406</v>
      </c>
      <c r="H779" s="2">
        <v>1293.40002441406</v>
      </c>
      <c r="I779">
        <v>1</v>
      </c>
      <c r="J779" s="2">
        <f ca="1">IFERROR((Tabla3[[#This Row],[Close]]-OFFSET(Tabla3[[#This Row],[Close]],-1,0))/OFFSET(Tabla3[[#This Row],[Close]],-1,0),"")</f>
        <v>-1.0783920142210326E-2</v>
      </c>
      <c r="K779" s="2">
        <f ca="1">IFERROR(AVERAGE(OFFSET(Tabla3[[#This Row],[Close]],-6,0,7)),"")</f>
        <v>1293.1000279017828</v>
      </c>
      <c r="L779" s="2">
        <f ca="1">IFERROR(_xlfn.STDEV.S(OFFSET(Tabla3[[#This Row],[Close]],-29,0,30)),"")</f>
        <v>15.955516800554925</v>
      </c>
    </row>
    <row r="780" spans="1:12" x14ac:dyDescent="0.3">
      <c r="A780" s="1">
        <v>43539</v>
      </c>
      <c r="B780" s="3">
        <f>YEAR(Tabla3[[#This Row],[Date]])</f>
        <v>2019</v>
      </c>
      <c r="C780" s="1" t="str">
        <f>+TEXT(Tabla3[[#This Row],[Date]],"mmm")</f>
        <v>mar</v>
      </c>
      <c r="D780" s="2">
        <v>1301.80004882812</v>
      </c>
      <c r="E780" s="2">
        <v>1301.80004882812</v>
      </c>
      <c r="F780" s="2">
        <v>1304.69995117187</v>
      </c>
      <c r="G780" s="2">
        <v>1300.5</v>
      </c>
      <c r="H780" s="2">
        <v>1300.90002441406</v>
      </c>
      <c r="I780">
        <v>26</v>
      </c>
      <c r="J780" s="2">
        <f ca="1">IFERROR((Tabla3[[#This Row],[Close]]-OFFSET(Tabla3[[#This Row],[Close]],-1,0))/OFFSET(Tabla3[[#This Row],[Close]],-1,0),"")</f>
        <v>6.4945293455251039E-3</v>
      </c>
      <c r="K780" s="2">
        <f ca="1">IFERROR(AVERAGE(OFFSET(Tabla3[[#This Row],[Close]],-6,0,7)),"")</f>
        <v>1295.5143171037914</v>
      </c>
      <c r="L780" s="2">
        <f ca="1">IFERROR(_xlfn.STDEV.S(OFFSET(Tabla3[[#This Row],[Close]],-29,0,30)),"")</f>
        <v>15.895636570045742</v>
      </c>
    </row>
    <row r="781" spans="1:12" x14ac:dyDescent="0.3">
      <c r="A781" s="1">
        <v>43542</v>
      </c>
      <c r="B781" s="3">
        <f>YEAR(Tabla3[[#This Row],[Date]])</f>
        <v>2019</v>
      </c>
      <c r="C781" s="1" t="str">
        <f>+TEXT(Tabla3[[#This Row],[Date]],"mmm")</f>
        <v>mar</v>
      </c>
      <c r="D781" s="2">
        <v>1300.30004882812</v>
      </c>
      <c r="E781" s="2">
        <v>1300.30004882812</v>
      </c>
      <c r="F781" s="2">
        <v>1302.19995117187</v>
      </c>
      <c r="G781" s="2">
        <v>1297.30004882812</v>
      </c>
      <c r="H781" s="2">
        <v>1297.30004882812</v>
      </c>
      <c r="I781">
        <v>8</v>
      </c>
      <c r="J781" s="2">
        <f ca="1">IFERROR((Tabla3[[#This Row],[Close]]-OFFSET(Tabla3[[#This Row],[Close]],-1,0))/OFFSET(Tabla3[[#This Row],[Close]],-1,0),"")</f>
        <v>-1.1522506865399948E-3</v>
      </c>
      <c r="K781" s="2">
        <f ca="1">IFERROR(AVERAGE(OFFSET(Tabla3[[#This Row],[Close]],-6,0,7)),"")</f>
        <v>1297.8714599609341</v>
      </c>
      <c r="L781" s="2">
        <f ca="1">IFERROR(_xlfn.STDEV.S(OFFSET(Tabla3[[#This Row],[Close]],-29,0,30)),"")</f>
        <v>15.896715931182333</v>
      </c>
    </row>
    <row r="782" spans="1:12" x14ac:dyDescent="0.3">
      <c r="A782" s="1">
        <v>43543</v>
      </c>
      <c r="B782" s="3">
        <f>YEAR(Tabla3[[#This Row],[Date]])</f>
        <v>2019</v>
      </c>
      <c r="C782" s="1" t="str">
        <f>+TEXT(Tabla3[[#This Row],[Date]],"mmm")</f>
        <v>mar</v>
      </c>
      <c r="D782" s="2">
        <v>1305</v>
      </c>
      <c r="E782" s="2">
        <v>1305</v>
      </c>
      <c r="F782" s="2">
        <v>1306.90002441406</v>
      </c>
      <c r="G782" s="2">
        <v>1304.80004882812</v>
      </c>
      <c r="H782" s="2">
        <v>1306.90002441406</v>
      </c>
      <c r="I782">
        <v>20</v>
      </c>
      <c r="J782" s="2">
        <f ca="1">IFERROR((Tabla3[[#This Row],[Close]]-OFFSET(Tabla3[[#This Row],[Close]],-1,0))/OFFSET(Tabla3[[#This Row],[Close]],-1,0),"")</f>
        <v>3.6145128011921381E-3</v>
      </c>
      <c r="K782" s="2">
        <f ca="1">IFERROR(AVERAGE(OFFSET(Tabla3[[#This Row],[Close]],-6,0,7)),"")</f>
        <v>1299.0143171037912</v>
      </c>
      <c r="L782" s="2">
        <f ca="1">IFERROR(_xlfn.STDEV.S(OFFSET(Tabla3[[#This Row],[Close]],-29,0,30)),"")</f>
        <v>15.867403526395494</v>
      </c>
    </row>
    <row r="783" spans="1:12" x14ac:dyDescent="0.3">
      <c r="A783" s="1">
        <v>43544</v>
      </c>
      <c r="B783" s="3">
        <f>YEAR(Tabla3[[#This Row],[Date]])</f>
        <v>2019</v>
      </c>
      <c r="C783" s="1" t="str">
        <f>+TEXT(Tabla3[[#This Row],[Date]],"mmm")</f>
        <v>mar</v>
      </c>
      <c r="D783" s="2">
        <v>1300.5</v>
      </c>
      <c r="E783" s="2">
        <v>1300.5</v>
      </c>
      <c r="F783" s="2">
        <v>1300.69995117187</v>
      </c>
      <c r="G783" s="2">
        <v>1300.5</v>
      </c>
      <c r="H783" s="2">
        <v>1300.69995117187</v>
      </c>
      <c r="I783">
        <v>2</v>
      </c>
      <c r="J783" s="2">
        <f ca="1">IFERROR((Tabla3[[#This Row],[Close]]-OFFSET(Tabla3[[#This Row],[Close]],-1,0))/OFFSET(Tabla3[[#This Row],[Close]],-1,0),"")</f>
        <v>-3.4482758620689655E-3</v>
      </c>
      <c r="K783" s="2">
        <f ca="1">IFERROR(AVERAGE(OFFSET(Tabla3[[#This Row],[Close]],-6,0,7)),"")</f>
        <v>1300.6857386997742</v>
      </c>
      <c r="L783" s="2">
        <f ca="1">IFERROR(_xlfn.STDEV.S(OFFSET(Tabla3[[#This Row],[Close]],-29,0,30)),"")</f>
        <v>15.881242740852565</v>
      </c>
    </row>
    <row r="784" spans="1:12" x14ac:dyDescent="0.3">
      <c r="A784" s="1">
        <v>43545</v>
      </c>
      <c r="B784" s="3">
        <f>YEAR(Tabla3[[#This Row],[Date]])</f>
        <v>2019</v>
      </c>
      <c r="C784" s="1" t="str">
        <f>+TEXT(Tabla3[[#This Row],[Date]],"mmm")</f>
        <v>mar</v>
      </c>
      <c r="D784" s="2">
        <v>1306.09997558593</v>
      </c>
      <c r="E784" s="2">
        <v>1306.09997558593</v>
      </c>
      <c r="F784" s="2">
        <v>1306.09997558593</v>
      </c>
      <c r="G784" s="2">
        <v>1306.09997558593</v>
      </c>
      <c r="H784" s="2">
        <v>1306.09997558593</v>
      </c>
      <c r="I784">
        <v>0</v>
      </c>
      <c r="J784" s="2">
        <f ca="1">IFERROR((Tabla3[[#This Row],[Close]]-OFFSET(Tabla3[[#This Row],[Close]],-1,0))/OFFSET(Tabla3[[#This Row],[Close]],-1,0),"")</f>
        <v>4.3060173671126464E-3</v>
      </c>
      <c r="K784" s="2">
        <f ca="1">IFERROR(AVERAGE(OFFSET(Tabla3[[#This Row],[Close]],-6,0,7)),"")</f>
        <v>1302.0857282366044</v>
      </c>
      <c r="L784" s="2">
        <f ca="1">IFERROR(_xlfn.STDEV.S(OFFSET(Tabla3[[#This Row],[Close]],-29,0,30)),"")</f>
        <v>15.879249529903159</v>
      </c>
    </row>
    <row r="785" spans="1:12" x14ac:dyDescent="0.3">
      <c r="A785" s="1">
        <v>43546</v>
      </c>
      <c r="B785" s="3">
        <f>YEAR(Tabla3[[#This Row],[Date]])</f>
        <v>2019</v>
      </c>
      <c r="C785" s="1" t="str">
        <f>+TEXT(Tabla3[[#This Row],[Date]],"mmm")</f>
        <v>mar</v>
      </c>
      <c r="D785" s="2">
        <v>1311.59997558593</v>
      </c>
      <c r="E785" s="2">
        <v>1311.59997558593</v>
      </c>
      <c r="F785" s="2">
        <v>1311.59997558593</v>
      </c>
      <c r="G785" s="2">
        <v>1311.59997558593</v>
      </c>
      <c r="H785" s="2">
        <v>1311.59997558593</v>
      </c>
      <c r="I785">
        <v>0</v>
      </c>
      <c r="J785" s="2">
        <f ca="1">IFERROR((Tabla3[[#This Row],[Close]]-OFFSET(Tabla3[[#This Row],[Close]],-1,0))/OFFSET(Tabla3[[#This Row],[Close]],-1,0),"")</f>
        <v>4.2110099554459011E-3</v>
      </c>
      <c r="K785" s="2">
        <f ca="1">IFERROR(AVERAGE(OFFSET(Tabla3[[#This Row],[Close]],-6,0,7)),"")</f>
        <v>1302.6714390345944</v>
      </c>
      <c r="L785" s="2">
        <f ca="1">IFERROR(_xlfn.STDEV.S(OFFSET(Tabla3[[#This Row],[Close]],-29,0,30)),"")</f>
        <v>15.893527275435057</v>
      </c>
    </row>
    <row r="786" spans="1:12" x14ac:dyDescent="0.3">
      <c r="A786" s="1">
        <v>43549</v>
      </c>
      <c r="B786" s="3">
        <f>YEAR(Tabla3[[#This Row],[Date]])</f>
        <v>2019</v>
      </c>
      <c r="C786" s="1" t="str">
        <f>+TEXT(Tabla3[[#This Row],[Date]],"mmm")</f>
        <v>mar</v>
      </c>
      <c r="D786" s="2">
        <v>1321.90002441406</v>
      </c>
      <c r="E786" s="2">
        <v>1321.90002441406</v>
      </c>
      <c r="F786" s="2">
        <v>1322.90002441406</v>
      </c>
      <c r="G786" s="2">
        <v>1320.69995117187</v>
      </c>
      <c r="H786" s="2">
        <v>1320.69995117187</v>
      </c>
      <c r="I786">
        <v>19</v>
      </c>
      <c r="J786" s="2">
        <f ca="1">IFERROR((Tabla3[[#This Row],[Close]]-OFFSET(Tabla3[[#This Row],[Close]],-1,0))/OFFSET(Tabla3[[#This Row],[Close]],-1,0),"")</f>
        <v>7.853041338712034E-3</v>
      </c>
      <c r="K786" s="2">
        <f ca="1">IFERROR(AVERAGE(OFFSET(Tabla3[[#This Row],[Close]],-6,0,7)),"")</f>
        <v>1306.7428676060229</v>
      </c>
      <c r="L786" s="2">
        <f ca="1">IFERROR(_xlfn.STDEV.S(OFFSET(Tabla3[[#This Row],[Close]],-29,0,30)),"")</f>
        <v>16.072504382494571</v>
      </c>
    </row>
    <row r="787" spans="1:12" x14ac:dyDescent="0.3">
      <c r="A787" s="1">
        <v>43550</v>
      </c>
      <c r="B787" s="3">
        <f>YEAR(Tabla3[[#This Row],[Date]])</f>
        <v>2019</v>
      </c>
      <c r="C787" s="1" t="str">
        <f>+TEXT(Tabla3[[#This Row],[Date]],"mmm")</f>
        <v>mar</v>
      </c>
      <c r="D787" s="2">
        <v>1314.30004882812</v>
      </c>
      <c r="E787" s="2">
        <v>1314.30004882812</v>
      </c>
      <c r="F787" s="2">
        <v>1315.59997558593</v>
      </c>
      <c r="G787" s="2">
        <v>1314.30004882812</v>
      </c>
      <c r="H787" s="2">
        <v>1315.59997558593</v>
      </c>
      <c r="I787">
        <v>1</v>
      </c>
      <c r="J787" s="2">
        <f ca="1">IFERROR((Tabla3[[#This Row],[Close]]-OFFSET(Tabla3[[#This Row],[Close]],-1,0))/OFFSET(Tabla3[[#This Row],[Close]],-1,0),"")</f>
        <v>-5.7492816745417152E-3</v>
      </c>
      <c r="K787" s="2">
        <f ca="1">IFERROR(AVERAGE(OFFSET(Tabla3[[#This Row],[Close]],-6,0,7)),"")</f>
        <v>1308.5285818917371</v>
      </c>
      <c r="L787" s="2">
        <f ca="1">IFERROR(_xlfn.STDEV.S(OFFSET(Tabla3[[#This Row],[Close]],-29,0,30)),"")</f>
        <v>16.114866370475401</v>
      </c>
    </row>
    <row r="788" spans="1:12" x14ac:dyDescent="0.3">
      <c r="A788" s="1">
        <v>43551</v>
      </c>
      <c r="B788" s="3">
        <f>YEAR(Tabla3[[#This Row],[Date]])</f>
        <v>2019</v>
      </c>
      <c r="C788" s="1" t="str">
        <f>+TEXT(Tabla3[[#This Row],[Date]],"mmm")</f>
        <v>mar</v>
      </c>
      <c r="D788" s="2">
        <v>1309.90002441406</v>
      </c>
      <c r="E788" s="2">
        <v>1309.90002441406</v>
      </c>
      <c r="F788" s="2">
        <v>1309.90002441406</v>
      </c>
      <c r="G788" s="2">
        <v>1309.90002441406</v>
      </c>
      <c r="H788" s="2">
        <v>1309.90002441406</v>
      </c>
      <c r="I788">
        <v>206263</v>
      </c>
      <c r="J788" s="2">
        <f ca="1">IFERROR((Tabla3[[#This Row],[Close]]-OFFSET(Tabla3[[#This Row],[Close]],-1,0))/OFFSET(Tabla3[[#This Row],[Close]],-1,0),"")</f>
        <v>-3.3478081492755237E-3</v>
      </c>
      <c r="K788" s="2">
        <f ca="1">IFERROR(AVERAGE(OFFSET(Tabla3[[#This Row],[Close]],-6,0,7)),"")</f>
        <v>1309.9000069754431</v>
      </c>
      <c r="L788" s="2">
        <f ca="1">IFERROR(_xlfn.STDEV.S(OFFSET(Tabla3[[#This Row],[Close]],-29,0,30)),"")</f>
        <v>16.117075764802017</v>
      </c>
    </row>
    <row r="789" spans="1:12" x14ac:dyDescent="0.3">
      <c r="A789" s="1">
        <v>43552</v>
      </c>
      <c r="B789" s="3">
        <f>YEAR(Tabla3[[#This Row],[Date]])</f>
        <v>2019</v>
      </c>
      <c r="C789" s="1" t="str">
        <f>+TEXT(Tabla3[[#This Row],[Date]],"mmm")</f>
        <v>mar</v>
      </c>
      <c r="D789" s="2">
        <v>1289.80004882812</v>
      </c>
      <c r="E789" s="2">
        <v>1289.80004882812</v>
      </c>
      <c r="F789" s="2">
        <v>1311.09997558593</v>
      </c>
      <c r="G789" s="2">
        <v>1287.69995117187</v>
      </c>
      <c r="H789" s="2">
        <v>1308.40002441406</v>
      </c>
      <c r="I789">
        <v>87798</v>
      </c>
      <c r="J789" s="2">
        <f ca="1">IFERROR((Tabla3[[#This Row],[Close]]-OFFSET(Tabla3[[#This Row],[Close]],-1,0))/OFFSET(Tabla3[[#This Row],[Close]],-1,0),"")</f>
        <v>-1.5344663876108448E-2</v>
      </c>
      <c r="K789" s="2">
        <f ca="1">IFERROR(AVERAGE(OFFSET(Tabla3[[#This Row],[Close]],-6,0,7)),"")</f>
        <v>1307.7285853794601</v>
      </c>
      <c r="L789" s="2">
        <f ca="1">IFERROR(_xlfn.STDEV.S(OFFSET(Tabla3[[#This Row],[Close]],-29,0,30)),"")</f>
        <v>16.447809207093499</v>
      </c>
    </row>
    <row r="790" spans="1:12" x14ac:dyDescent="0.3">
      <c r="A790" s="1">
        <v>43553</v>
      </c>
      <c r="B790" s="3">
        <f>YEAR(Tabla3[[#This Row],[Date]])</f>
        <v>2019</v>
      </c>
      <c r="C790" s="1" t="str">
        <f>+TEXT(Tabla3[[#This Row],[Date]],"mmm")</f>
        <v>mar</v>
      </c>
      <c r="D790" s="2">
        <v>1293</v>
      </c>
      <c r="E790" s="2">
        <v>1293</v>
      </c>
      <c r="F790" s="2">
        <v>1298.5</v>
      </c>
      <c r="G790" s="2">
        <v>1286.09997558593</v>
      </c>
      <c r="H790" s="2">
        <v>1289.59997558593</v>
      </c>
      <c r="I790">
        <v>1265</v>
      </c>
      <c r="J790" s="2">
        <f ca="1">IFERROR((Tabla3[[#This Row],[Close]]-OFFSET(Tabla3[[#This Row],[Close]],-1,0))/OFFSET(Tabla3[[#This Row],[Close]],-1,0),"")</f>
        <v>2.4809668558994067E-3</v>
      </c>
      <c r="K790" s="2">
        <f ca="1">IFERROR(AVERAGE(OFFSET(Tabla3[[#This Row],[Close]],-6,0,7)),"")</f>
        <v>1306.6571568080315</v>
      </c>
      <c r="L790" s="2">
        <f ca="1">IFERROR(_xlfn.STDEV.S(OFFSET(Tabla3[[#This Row],[Close]],-29,0,30)),"")</f>
        <v>16.647591347824999</v>
      </c>
    </row>
    <row r="791" spans="1:12" x14ac:dyDescent="0.3">
      <c r="A791" s="1">
        <v>43556</v>
      </c>
      <c r="B791" s="3">
        <f>YEAR(Tabla3[[#This Row],[Date]])</f>
        <v>2019</v>
      </c>
      <c r="C791" s="1" t="str">
        <f>+TEXT(Tabla3[[#This Row],[Date]],"mmm")</f>
        <v>abr</v>
      </c>
      <c r="D791" s="2">
        <v>1288.40002441406</v>
      </c>
      <c r="E791" s="2">
        <v>1288.40002441406</v>
      </c>
      <c r="F791" s="2">
        <v>1295.90002441406</v>
      </c>
      <c r="G791" s="2">
        <v>1285.69995117187</v>
      </c>
      <c r="H791" s="2">
        <v>1291.80004882812</v>
      </c>
      <c r="I791">
        <v>675</v>
      </c>
      <c r="J791" s="2">
        <f ca="1">IFERROR((Tabla3[[#This Row],[Close]]-OFFSET(Tabla3[[#This Row],[Close]],-1,0))/OFFSET(Tabla3[[#This Row],[Close]],-1,0),"")</f>
        <v>-3.5575990610518184E-3</v>
      </c>
      <c r="K791" s="2">
        <f ca="1">IFERROR(AVERAGE(OFFSET(Tabla3[[#This Row],[Close]],-6,0,7)),"")</f>
        <v>1304.1285923549074</v>
      </c>
      <c r="L791" s="2">
        <f ca="1">IFERROR(_xlfn.STDEV.S(OFFSET(Tabla3[[#This Row],[Close]],-29,0,30)),"")</f>
        <v>16.836104678905606</v>
      </c>
    </row>
    <row r="792" spans="1:12" x14ac:dyDescent="0.3">
      <c r="A792" s="1">
        <v>43557</v>
      </c>
      <c r="B792" s="3">
        <f>YEAR(Tabla3[[#This Row],[Date]])</f>
        <v>2019</v>
      </c>
      <c r="C792" s="1" t="str">
        <f>+TEXT(Tabla3[[#This Row],[Date]],"mmm")</f>
        <v>abr</v>
      </c>
      <c r="D792" s="2">
        <v>1290</v>
      </c>
      <c r="E792" s="2">
        <v>1290</v>
      </c>
      <c r="F792" s="2">
        <v>1290.90002441406</v>
      </c>
      <c r="G792" s="2">
        <v>1284.5</v>
      </c>
      <c r="H792" s="2">
        <v>1286.30004882812</v>
      </c>
      <c r="I792">
        <v>525</v>
      </c>
      <c r="J792" s="2">
        <f ca="1">IFERROR((Tabla3[[#This Row],[Close]]-OFFSET(Tabla3[[#This Row],[Close]],-1,0))/OFFSET(Tabla3[[#This Row],[Close]],-1,0),"")</f>
        <v>1.2418313843696486E-3</v>
      </c>
      <c r="K792" s="2">
        <f ca="1">IFERROR(AVERAGE(OFFSET(Tabla3[[#This Row],[Close]],-6,0,7)),"")</f>
        <v>1301.0428815569171</v>
      </c>
      <c r="L792" s="2">
        <f ca="1">IFERROR(_xlfn.STDEV.S(OFFSET(Tabla3[[#This Row],[Close]],-29,0,30)),"")</f>
        <v>15.771360453295534</v>
      </c>
    </row>
    <row r="793" spans="1:12" x14ac:dyDescent="0.3">
      <c r="A793" s="1">
        <v>43558</v>
      </c>
      <c r="B793" s="3">
        <f>YEAR(Tabla3[[#This Row],[Date]])</f>
        <v>2019</v>
      </c>
      <c r="C793" s="1" t="str">
        <f>+TEXT(Tabla3[[#This Row],[Date]],"mmm")</f>
        <v>abr</v>
      </c>
      <c r="D793" s="2">
        <v>1289.90002441406</v>
      </c>
      <c r="E793" s="2">
        <v>1289.90002441406</v>
      </c>
      <c r="F793" s="2">
        <v>1293.09997558593</v>
      </c>
      <c r="G793" s="2">
        <v>1287.5</v>
      </c>
      <c r="H793" s="2">
        <v>1291.40002441406</v>
      </c>
      <c r="I793">
        <v>172</v>
      </c>
      <c r="J793" s="2">
        <f ca="1">IFERROR((Tabla3[[#This Row],[Close]]-OFFSET(Tabla3[[#This Row],[Close]],-1,0))/OFFSET(Tabla3[[#This Row],[Close]],-1,0),"")</f>
        <v>-7.7500454217055122E-5</v>
      </c>
      <c r="K793" s="2">
        <f ca="1">IFERROR(AVERAGE(OFFSET(Tabla3[[#This Row],[Close]],-6,0,7)),"")</f>
        <v>1296.4714529854884</v>
      </c>
      <c r="L793" s="2">
        <f ca="1">IFERROR(_xlfn.STDEV.S(OFFSET(Tabla3[[#This Row],[Close]],-29,0,30)),"")</f>
        <v>14.130431380562257</v>
      </c>
    </row>
    <row r="794" spans="1:12" x14ac:dyDescent="0.3">
      <c r="A794" s="1">
        <v>43559</v>
      </c>
      <c r="B794" s="3">
        <f>YEAR(Tabla3[[#This Row],[Date]])</f>
        <v>2019</v>
      </c>
      <c r="C794" s="1" t="str">
        <f>+TEXT(Tabla3[[#This Row],[Date]],"mmm")</f>
        <v>abr</v>
      </c>
      <c r="D794" s="2">
        <v>1289</v>
      </c>
      <c r="E794" s="2">
        <v>1289</v>
      </c>
      <c r="F794" s="2">
        <v>1292.59997558593</v>
      </c>
      <c r="G794" s="2">
        <v>1279.5</v>
      </c>
      <c r="H794" s="2">
        <v>1290.59997558593</v>
      </c>
      <c r="I794">
        <v>269</v>
      </c>
      <c r="J794" s="2">
        <f ca="1">IFERROR((Tabla3[[#This Row],[Close]]-OFFSET(Tabla3[[#This Row],[Close]],-1,0))/OFFSET(Tabla3[[#This Row],[Close]],-1,0),"")</f>
        <v>-6.9774741997453407E-4</v>
      </c>
      <c r="K794" s="2">
        <f ca="1">IFERROR(AVERAGE(OFFSET(Tabla3[[#This Row],[Close]],-6,0,7)),"")</f>
        <v>1292.857160295757</v>
      </c>
      <c r="L794" s="2">
        <f ca="1">IFERROR(_xlfn.STDEV.S(OFFSET(Tabla3[[#This Row],[Close]],-29,0,30)),"")</f>
        <v>13.75168918265841</v>
      </c>
    </row>
    <row r="795" spans="1:12" x14ac:dyDescent="0.3">
      <c r="A795" s="1">
        <v>43560</v>
      </c>
      <c r="B795" s="3">
        <f>YEAR(Tabla3[[#This Row],[Date]])</f>
        <v>2019</v>
      </c>
      <c r="C795" s="1" t="str">
        <f>+TEXT(Tabla3[[#This Row],[Date]],"mmm")</f>
        <v>abr</v>
      </c>
      <c r="D795" s="2">
        <v>1290.40002441406</v>
      </c>
      <c r="E795" s="2">
        <v>1290.40002441406</v>
      </c>
      <c r="F795" s="2">
        <v>1292</v>
      </c>
      <c r="G795" s="2">
        <v>1283.59997558593</v>
      </c>
      <c r="H795" s="2">
        <v>1292</v>
      </c>
      <c r="I795">
        <v>181</v>
      </c>
      <c r="J795" s="2">
        <f ca="1">IFERROR((Tabla3[[#This Row],[Close]]-OFFSET(Tabla3[[#This Row],[Close]],-1,0))/OFFSET(Tabla3[[#This Row],[Close]],-1,0),"")</f>
        <v>1.0861322064080674E-3</v>
      </c>
      <c r="K795" s="2">
        <f ca="1">IFERROR(AVERAGE(OFFSET(Tabla3[[#This Row],[Close]],-6,0,7)),"")</f>
        <v>1290.0714460100428</v>
      </c>
      <c r="L795" s="2">
        <f ca="1">IFERROR(_xlfn.STDEV.S(OFFSET(Tabla3[[#This Row],[Close]],-29,0,30)),"")</f>
        <v>12.824367023293258</v>
      </c>
    </row>
    <row r="796" spans="1:12" x14ac:dyDescent="0.3">
      <c r="A796" s="1">
        <v>43563</v>
      </c>
      <c r="B796" s="3">
        <f>YEAR(Tabla3[[#This Row],[Date]])</f>
        <v>2019</v>
      </c>
      <c r="C796" s="1" t="str">
        <f>+TEXT(Tabla3[[#This Row],[Date]],"mmm")</f>
        <v>abr</v>
      </c>
      <c r="D796" s="2">
        <v>1297.09997558593</v>
      </c>
      <c r="E796" s="2">
        <v>1297.09997558593</v>
      </c>
      <c r="F796" s="2">
        <v>1302.09997558593</v>
      </c>
      <c r="G796" s="2">
        <v>1291.80004882812</v>
      </c>
      <c r="H796" s="2">
        <v>1292.19995117187</v>
      </c>
      <c r="I796">
        <v>63</v>
      </c>
      <c r="J796" s="2">
        <f ca="1">IFERROR((Tabla3[[#This Row],[Close]]-OFFSET(Tabla3[[#This Row],[Close]],-1,0))/OFFSET(Tabla3[[#This Row],[Close]],-1,0),"")</f>
        <v>5.1921505309272496E-3</v>
      </c>
      <c r="K796" s="2">
        <f ca="1">IFERROR(AVERAGE(OFFSET(Tabla3[[#This Row],[Close]],-6,0,7)),"")</f>
        <v>1291.1142926897298</v>
      </c>
      <c r="L796" s="2">
        <f ca="1">IFERROR(_xlfn.STDEV.S(OFFSET(Tabla3[[#This Row],[Close]],-29,0,30)),"")</f>
        <v>11.855676809628804</v>
      </c>
    </row>
    <row r="797" spans="1:12" x14ac:dyDescent="0.3">
      <c r="A797" s="1">
        <v>43564</v>
      </c>
      <c r="B797" s="3">
        <f>YEAR(Tabla3[[#This Row],[Date]])</f>
        <v>2019</v>
      </c>
      <c r="C797" s="1" t="str">
        <f>+TEXT(Tabla3[[#This Row],[Date]],"mmm")</f>
        <v>abr</v>
      </c>
      <c r="D797" s="2">
        <v>1303.5</v>
      </c>
      <c r="E797" s="2">
        <v>1303.5</v>
      </c>
      <c r="F797" s="2">
        <v>1304.90002441406</v>
      </c>
      <c r="G797" s="2">
        <v>1298.5</v>
      </c>
      <c r="H797" s="2">
        <v>1298.5</v>
      </c>
      <c r="I797">
        <v>30</v>
      </c>
      <c r="J797" s="2">
        <f ca="1">IFERROR((Tabla3[[#This Row],[Close]]-OFFSET(Tabla3[[#This Row],[Close]],-1,0))/OFFSET(Tabla3[[#This Row],[Close]],-1,0),"")</f>
        <v>4.9341026401445772E-3</v>
      </c>
      <c r="K797" s="2">
        <f ca="1">IFERROR(AVERAGE(OFFSET(Tabla3[[#This Row],[Close]],-6,0,7)),"")</f>
        <v>1292.6142926897301</v>
      </c>
      <c r="L797" s="2">
        <f ca="1">IFERROR(_xlfn.STDEV.S(OFFSET(Tabla3[[#This Row],[Close]],-29,0,30)),"")</f>
        <v>10.82609414606544</v>
      </c>
    </row>
    <row r="798" spans="1:12" x14ac:dyDescent="0.3">
      <c r="A798" s="1">
        <v>43565</v>
      </c>
      <c r="B798" s="3">
        <f>YEAR(Tabla3[[#This Row],[Date]])</f>
        <v>2019</v>
      </c>
      <c r="C798" s="1" t="str">
        <f>+TEXT(Tabla3[[#This Row],[Date]],"mmm")</f>
        <v>abr</v>
      </c>
      <c r="D798" s="2">
        <v>1309.09997558593</v>
      </c>
      <c r="E798" s="2">
        <v>1309.09997558593</v>
      </c>
      <c r="F798" s="2">
        <v>1309.09997558593</v>
      </c>
      <c r="G798" s="2">
        <v>1301.5</v>
      </c>
      <c r="H798" s="2">
        <v>1304</v>
      </c>
      <c r="I798">
        <v>66</v>
      </c>
      <c r="J798" s="2">
        <f ca="1">IFERROR((Tabla3[[#This Row],[Close]]-OFFSET(Tabla3[[#This Row],[Close]],-1,0))/OFFSET(Tabla3[[#This Row],[Close]],-1,0),"")</f>
        <v>4.2961070854852295E-3</v>
      </c>
      <c r="K798" s="2">
        <f ca="1">IFERROR(AVERAGE(OFFSET(Tabla3[[#This Row],[Close]],-6,0,7)),"")</f>
        <v>1295.5714285714257</v>
      </c>
      <c r="L798" s="2">
        <f ca="1">IFERROR(_xlfn.STDEV.S(OFFSET(Tabla3[[#This Row],[Close]],-29,0,30)),"")</f>
        <v>10.399122635807917</v>
      </c>
    </row>
    <row r="799" spans="1:12" x14ac:dyDescent="0.3">
      <c r="A799" s="1">
        <v>43566</v>
      </c>
      <c r="B799" s="3">
        <f>YEAR(Tabla3[[#This Row],[Date]])</f>
        <v>2019</v>
      </c>
      <c r="C799" s="1" t="str">
        <f>+TEXT(Tabla3[[#This Row],[Date]],"mmm")</f>
        <v>abr</v>
      </c>
      <c r="D799" s="2">
        <v>1288.59997558593</v>
      </c>
      <c r="E799" s="2">
        <v>1288.59997558593</v>
      </c>
      <c r="F799" s="2">
        <v>1307.09997558593</v>
      </c>
      <c r="G799" s="2">
        <v>1288.59997558593</v>
      </c>
      <c r="H799" s="2">
        <v>1307</v>
      </c>
      <c r="I799">
        <v>420</v>
      </c>
      <c r="J799" s="2">
        <f ca="1">IFERROR((Tabla3[[#This Row],[Close]]-OFFSET(Tabla3[[#This Row],[Close]],-1,0))/OFFSET(Tabla3[[#This Row],[Close]],-1,0),"")</f>
        <v>-1.5659613766950506E-2</v>
      </c>
      <c r="K799" s="2">
        <f ca="1">IFERROR(AVERAGE(OFFSET(Tabla3[[#This Row],[Close]],-6,0,7)),"")</f>
        <v>1295.3714250837015</v>
      </c>
      <c r="L799" s="2">
        <f ca="1">IFERROR(_xlfn.STDEV.S(OFFSET(Tabla3[[#This Row],[Close]],-29,0,30)),"")</f>
        <v>10.145119241329501</v>
      </c>
    </row>
    <row r="800" spans="1:12" x14ac:dyDescent="0.3">
      <c r="A800" s="1">
        <v>43567</v>
      </c>
      <c r="B800" s="3">
        <f>YEAR(Tabla3[[#This Row],[Date]])</f>
        <v>2019</v>
      </c>
      <c r="C800" s="1" t="str">
        <f>+TEXT(Tabla3[[#This Row],[Date]],"mmm")</f>
        <v>abr</v>
      </c>
      <c r="D800" s="2">
        <v>1290.59997558593</v>
      </c>
      <c r="E800" s="2">
        <v>1290.59997558593</v>
      </c>
      <c r="F800" s="2">
        <v>1293.40002441406</v>
      </c>
      <c r="G800" s="2">
        <v>1289.19995117187</v>
      </c>
      <c r="H800" s="2">
        <v>1293.40002441406</v>
      </c>
      <c r="I800">
        <v>607</v>
      </c>
      <c r="J800" s="2">
        <f ca="1">IFERROR((Tabla3[[#This Row],[Close]]-OFFSET(Tabla3[[#This Row],[Close]],-1,0))/OFFSET(Tabla3[[#This Row],[Close]],-1,0),"")</f>
        <v>1.5520720455474125E-3</v>
      </c>
      <c r="K800" s="2">
        <f ca="1">IFERROR(AVERAGE(OFFSET(Tabla3[[#This Row],[Close]],-6,0,7)),"")</f>
        <v>1295.4714181082543</v>
      </c>
      <c r="L800" s="2">
        <f ca="1">IFERROR(_xlfn.STDEV.S(OFFSET(Tabla3[[#This Row],[Close]],-29,0,30)),"")</f>
        <v>10.215321612489724</v>
      </c>
    </row>
    <row r="801" spans="1:12" x14ac:dyDescent="0.3">
      <c r="A801" s="1">
        <v>43570</v>
      </c>
      <c r="B801" s="3">
        <f>YEAR(Tabla3[[#This Row],[Date]])</f>
        <v>2019</v>
      </c>
      <c r="C801" s="1" t="str">
        <f>+TEXT(Tabla3[[#This Row],[Date]],"mmm")</f>
        <v>abr</v>
      </c>
      <c r="D801" s="2">
        <v>1286.80004882812</v>
      </c>
      <c r="E801" s="2">
        <v>1286.80004882812</v>
      </c>
      <c r="F801" s="2">
        <v>1287.30004882812</v>
      </c>
      <c r="G801" s="2">
        <v>1282.30004882812</v>
      </c>
      <c r="H801" s="2">
        <v>1284.80004882812</v>
      </c>
      <c r="I801">
        <v>523</v>
      </c>
      <c r="J801" s="2">
        <f ca="1">IFERROR((Tabla3[[#This Row],[Close]]-OFFSET(Tabla3[[#This Row],[Close]],-1,0))/OFFSET(Tabla3[[#This Row],[Close]],-1,0),"")</f>
        <v>-2.9443102663045061E-3</v>
      </c>
      <c r="K801" s="2">
        <f ca="1">IFERROR(AVERAGE(OFFSET(Tabla3[[#This Row],[Close]],-6,0,7)),"")</f>
        <v>1295.1571393694144</v>
      </c>
      <c r="L801" s="2">
        <f ca="1">IFERROR(_xlfn.STDEV.S(OFFSET(Tabla3[[#This Row],[Close]],-29,0,30)),"")</f>
        <v>10.139358637346637</v>
      </c>
    </row>
    <row r="802" spans="1:12" x14ac:dyDescent="0.3">
      <c r="A802" s="1">
        <v>43571</v>
      </c>
      <c r="B802" s="3">
        <f>YEAR(Tabla3[[#This Row],[Date]])</f>
        <v>2019</v>
      </c>
      <c r="C802" s="1" t="str">
        <f>+TEXT(Tabla3[[#This Row],[Date]],"mmm")</f>
        <v>abr</v>
      </c>
      <c r="D802" s="2">
        <v>1272.59997558593</v>
      </c>
      <c r="E802" s="2">
        <v>1272.59997558593</v>
      </c>
      <c r="F802" s="2">
        <v>1285.19995117187</v>
      </c>
      <c r="G802" s="2">
        <v>1272.19995117187</v>
      </c>
      <c r="H802" s="2">
        <v>1285.19995117187</v>
      </c>
      <c r="I802">
        <v>643</v>
      </c>
      <c r="J802" s="2">
        <f ca="1">IFERROR((Tabla3[[#This Row],[Close]]-OFFSET(Tabla3[[#This Row],[Close]],-1,0))/OFFSET(Tabla3[[#This Row],[Close]],-1,0),"")</f>
        <v>-1.103518239303916E-2</v>
      </c>
      <c r="K802" s="2">
        <f ca="1">IFERROR(AVERAGE(OFFSET(Tabla3[[#This Row],[Close]],-6,0,7)),"")</f>
        <v>1292.61427525111</v>
      </c>
      <c r="L802" s="2">
        <f ca="1">IFERROR(_xlfn.STDEV.S(OFFSET(Tabla3[[#This Row],[Close]],-29,0,30)),"")</f>
        <v>10.747288327397186</v>
      </c>
    </row>
    <row r="803" spans="1:12" x14ac:dyDescent="0.3">
      <c r="A803" s="1">
        <v>43572</v>
      </c>
      <c r="B803" s="3">
        <f>YEAR(Tabla3[[#This Row],[Date]])</f>
        <v>2019</v>
      </c>
      <c r="C803" s="1" t="str">
        <f>+TEXT(Tabla3[[#This Row],[Date]],"mmm")</f>
        <v>abr</v>
      </c>
      <c r="D803" s="2">
        <v>1272.19995117187</v>
      </c>
      <c r="E803" s="2">
        <v>1272.19995117187</v>
      </c>
      <c r="F803" s="2">
        <v>1273.5</v>
      </c>
      <c r="G803" s="2">
        <v>1271.59997558593</v>
      </c>
      <c r="H803" s="2">
        <v>1273.5</v>
      </c>
      <c r="I803">
        <v>308</v>
      </c>
      <c r="J803" s="2">
        <f ca="1">IFERROR((Tabla3[[#This Row],[Close]]-OFFSET(Tabla3[[#This Row],[Close]],-1,0))/OFFSET(Tabla3[[#This Row],[Close]],-1,0),"")</f>
        <v>-3.1433633642482178E-4</v>
      </c>
      <c r="K803" s="2">
        <f ca="1">IFERROR(AVERAGE(OFFSET(Tabla3[[#This Row],[Close]],-6,0,7)),"")</f>
        <v>1289.0571289062443</v>
      </c>
      <c r="L803" s="2">
        <f ca="1">IFERROR(_xlfn.STDEV.S(OFFSET(Tabla3[[#This Row],[Close]],-29,0,30)),"")</f>
        <v>11.456094438763664</v>
      </c>
    </row>
    <row r="804" spans="1:12" x14ac:dyDescent="0.3">
      <c r="A804" s="1">
        <v>43573</v>
      </c>
      <c r="B804" s="3">
        <f>YEAR(Tabla3[[#This Row],[Date]])</f>
        <v>2019</v>
      </c>
      <c r="C804" s="1" t="str">
        <f>+TEXT(Tabla3[[#This Row],[Date]],"mmm")</f>
        <v>abr</v>
      </c>
      <c r="D804" s="2">
        <v>1271.90002441406</v>
      </c>
      <c r="E804" s="2">
        <v>1271.90002441406</v>
      </c>
      <c r="F804" s="2">
        <v>1273.59997558593</v>
      </c>
      <c r="G804" s="2">
        <v>1270.09997558593</v>
      </c>
      <c r="H804" s="2">
        <v>1270.80004882812</v>
      </c>
      <c r="I804">
        <v>27</v>
      </c>
      <c r="J804" s="2">
        <f ca="1">IFERROR((Tabla3[[#This Row],[Close]]-OFFSET(Tabla3[[#This Row],[Close]],-1,0))/OFFSET(Tabla3[[#This Row],[Close]],-1,0),"")</f>
        <v>-2.3575441701104087E-4</v>
      </c>
      <c r="K804" s="2">
        <f ca="1">IFERROR(AVERAGE(OFFSET(Tabla3[[#This Row],[Close]],-6,0,7)),"")</f>
        <v>1284.5428466796816</v>
      </c>
      <c r="L804" s="2">
        <f ca="1">IFERROR(_xlfn.STDEV.S(OFFSET(Tabla3[[#This Row],[Close]],-29,0,30)),"")</f>
        <v>12.092416388513495</v>
      </c>
    </row>
    <row r="805" spans="1:12" x14ac:dyDescent="0.3">
      <c r="A805" s="1">
        <v>43577</v>
      </c>
      <c r="B805" s="3">
        <f>YEAR(Tabla3[[#This Row],[Date]])</f>
        <v>2019</v>
      </c>
      <c r="C805" s="1" t="str">
        <f>+TEXT(Tabla3[[#This Row],[Date]],"mmm")</f>
        <v>abr</v>
      </c>
      <c r="D805" s="2">
        <v>1273.5</v>
      </c>
      <c r="E805" s="2">
        <v>1273.5</v>
      </c>
      <c r="F805" s="2">
        <v>1273.5</v>
      </c>
      <c r="G805" s="2">
        <v>1273.5</v>
      </c>
      <c r="H805" s="2">
        <v>1273.5</v>
      </c>
      <c r="I805">
        <v>147</v>
      </c>
      <c r="J805" s="2">
        <f ca="1">IFERROR((Tabla3[[#This Row],[Close]]-OFFSET(Tabla3[[#This Row],[Close]],-1,0))/OFFSET(Tabla3[[#This Row],[Close]],-1,0),"")</f>
        <v>1.2579413123897684E-3</v>
      </c>
      <c r="K805" s="2">
        <f ca="1">IFERROR(AVERAGE(OFFSET(Tabla3[[#This Row],[Close]],-6,0,7)),"")</f>
        <v>1279.4571358816913</v>
      </c>
      <c r="L805" s="2">
        <f ca="1">IFERROR(_xlfn.STDEV.S(OFFSET(Tabla3[[#This Row],[Close]],-29,0,30)),"")</f>
        <v>12.761987758551824</v>
      </c>
    </row>
    <row r="806" spans="1:12" x14ac:dyDescent="0.3">
      <c r="A806" s="1">
        <v>43578</v>
      </c>
      <c r="B806" s="3">
        <f>YEAR(Tabla3[[#This Row],[Date]])</f>
        <v>2019</v>
      </c>
      <c r="C806" s="1" t="str">
        <f>+TEXT(Tabla3[[#This Row],[Date]],"mmm")</f>
        <v>abr</v>
      </c>
      <c r="D806" s="2">
        <v>1269.30004882812</v>
      </c>
      <c r="E806" s="2">
        <v>1269.30004882812</v>
      </c>
      <c r="F806" s="2">
        <v>1269.80004882812</v>
      </c>
      <c r="G806" s="2">
        <v>1266</v>
      </c>
      <c r="H806" s="2">
        <v>1266.40002441406</v>
      </c>
      <c r="I806">
        <v>206</v>
      </c>
      <c r="J806" s="2">
        <f ca="1">IFERROR((Tabla3[[#This Row],[Close]]-OFFSET(Tabla3[[#This Row],[Close]],-1,0))/OFFSET(Tabla3[[#This Row],[Close]],-1,0),"")</f>
        <v>-3.2979593026148425E-3</v>
      </c>
      <c r="K806" s="2">
        <f ca="1">IFERROR(AVERAGE(OFFSET(Tabla3[[#This Row],[Close]],-6,0,7)),"")</f>
        <v>1276.7000034877185</v>
      </c>
      <c r="L806" s="2">
        <f ca="1">IFERROR(_xlfn.STDEV.S(OFFSET(Tabla3[[#This Row],[Close]],-29,0,30)),"")</f>
        <v>13.56656017121399</v>
      </c>
    </row>
    <row r="807" spans="1:12" x14ac:dyDescent="0.3">
      <c r="A807" s="1">
        <v>43579</v>
      </c>
      <c r="B807" s="3">
        <f>YEAR(Tabla3[[#This Row],[Date]])</f>
        <v>2019</v>
      </c>
      <c r="C807" s="1" t="str">
        <f>+TEXT(Tabla3[[#This Row],[Date]],"mmm")</f>
        <v>abr</v>
      </c>
      <c r="D807" s="2">
        <v>1275.5</v>
      </c>
      <c r="E807" s="2">
        <v>1275.5</v>
      </c>
      <c r="F807" s="2">
        <v>1275.5</v>
      </c>
      <c r="G807" s="2">
        <v>1267.80004882812</v>
      </c>
      <c r="H807" s="2">
        <v>1268.40002441406</v>
      </c>
      <c r="I807">
        <v>518</v>
      </c>
      <c r="J807" s="2">
        <f ca="1">IFERROR((Tabla3[[#This Row],[Close]]-OFFSET(Tabla3[[#This Row],[Close]],-1,0))/OFFSET(Tabla3[[#This Row],[Close]],-1,0),"")</f>
        <v>4.8845433966571584E-3</v>
      </c>
      <c r="K807" s="2">
        <f ca="1">IFERROR(AVERAGE(OFFSET(Tabla3[[#This Row],[Close]],-6,0,7)),"")</f>
        <v>1274.5428641183</v>
      </c>
      <c r="L807" s="2">
        <f ca="1">IFERROR(_xlfn.STDEV.S(OFFSET(Tabla3[[#This Row],[Close]],-29,0,30)),"")</f>
        <v>13.994904555459311</v>
      </c>
    </row>
    <row r="808" spans="1:12" x14ac:dyDescent="0.3">
      <c r="A808" s="1">
        <v>43580</v>
      </c>
      <c r="B808" s="3">
        <f>YEAR(Tabla3[[#This Row],[Date]])</f>
        <v>2019</v>
      </c>
      <c r="C808" s="1" t="str">
        <f>+TEXT(Tabla3[[#This Row],[Date]],"mmm")</f>
        <v>abr</v>
      </c>
      <c r="D808" s="2">
        <v>1275.80004882812</v>
      </c>
      <c r="E808" s="2">
        <v>1275.80004882812</v>
      </c>
      <c r="F808" s="2">
        <v>1280.80004882812</v>
      </c>
      <c r="G808" s="2">
        <v>1275.80004882812</v>
      </c>
      <c r="H808" s="2">
        <v>1280.59997558593</v>
      </c>
      <c r="I808">
        <v>95</v>
      </c>
      <c r="J808" s="2">
        <f ca="1">IFERROR((Tabla3[[#This Row],[Close]]-OFFSET(Tabla3[[#This Row],[Close]],-1,0))/OFFSET(Tabla3[[#This Row],[Close]],-1,0),"")</f>
        <v>2.3524016316738361E-4</v>
      </c>
      <c r="K808" s="2">
        <f ca="1">IFERROR(AVERAGE(OFFSET(Tabla3[[#This Row],[Close]],-6,0,7)),"")</f>
        <v>1272.9714355468714</v>
      </c>
      <c r="L808" s="2">
        <f ca="1">IFERROR(_xlfn.STDEV.S(OFFSET(Tabla3[[#This Row],[Close]],-29,0,30)),"")</f>
        <v>14.119708792216942</v>
      </c>
    </row>
    <row r="809" spans="1:12" x14ac:dyDescent="0.3">
      <c r="A809" s="1">
        <v>43581</v>
      </c>
      <c r="B809" s="3">
        <f>YEAR(Tabla3[[#This Row],[Date]])</f>
        <v>2019</v>
      </c>
      <c r="C809" s="1" t="str">
        <f>+TEXT(Tabla3[[#This Row],[Date]],"mmm")</f>
        <v>abr</v>
      </c>
      <c r="D809" s="2">
        <v>1284.90002441406</v>
      </c>
      <c r="E809" s="2">
        <v>1284.90002441406</v>
      </c>
      <c r="F809" s="2">
        <v>1284.90002441406</v>
      </c>
      <c r="G809" s="2">
        <v>1284.90002441406</v>
      </c>
      <c r="H809" s="2">
        <v>1284.90002441406</v>
      </c>
      <c r="I809">
        <v>804</v>
      </c>
      <c r="J809" s="2">
        <f ca="1">IFERROR((Tabla3[[#This Row],[Close]]-OFFSET(Tabla3[[#This Row],[Close]],-1,0))/OFFSET(Tabla3[[#This Row],[Close]],-1,0),"")</f>
        <v>7.1327600232487373E-3</v>
      </c>
      <c r="K809" s="2">
        <f ca="1">IFERROR(AVERAGE(OFFSET(Tabla3[[#This Row],[Close]],-6,0,7)),"")</f>
        <v>1274.7285853794615</v>
      </c>
      <c r="L809" s="2">
        <f ca="1">IFERROR(_xlfn.STDEV.S(OFFSET(Tabla3[[#This Row],[Close]],-29,0,30)),"")</f>
        <v>14.190834664657599</v>
      </c>
    </row>
    <row r="810" spans="1:12" x14ac:dyDescent="0.3">
      <c r="A810" s="1">
        <v>43584</v>
      </c>
      <c r="B810" s="3">
        <f>YEAR(Tabla3[[#This Row],[Date]])</f>
        <v>2019</v>
      </c>
      <c r="C810" s="1" t="str">
        <f>+TEXT(Tabla3[[#This Row],[Date]],"mmm")</f>
        <v>abr</v>
      </c>
      <c r="D810" s="2">
        <v>1278.59997558593</v>
      </c>
      <c r="E810" s="2">
        <v>1278.59997558593</v>
      </c>
      <c r="F810" s="2">
        <v>1284.90002441406</v>
      </c>
      <c r="G810" s="2">
        <v>1277.09997558593</v>
      </c>
      <c r="H810" s="2">
        <v>1284.80004882812</v>
      </c>
      <c r="I810">
        <v>568</v>
      </c>
      <c r="J810" s="2">
        <f ca="1">IFERROR((Tabla3[[#This Row],[Close]]-OFFSET(Tabla3[[#This Row],[Close]],-1,0))/OFFSET(Tabla3[[#This Row],[Close]],-1,0),"")</f>
        <v>-4.9031432083620277E-3</v>
      </c>
      <c r="K810" s="2">
        <f ca="1">IFERROR(AVERAGE(OFFSET(Tabla3[[#This Row],[Close]],-6,0,7)),"")</f>
        <v>1275.6428745814699</v>
      </c>
      <c r="L810" s="2">
        <f ca="1">IFERROR(_xlfn.STDEV.S(OFFSET(Tabla3[[#This Row],[Close]],-29,0,30)),"")</f>
        <v>14.295120099715595</v>
      </c>
    </row>
    <row r="811" spans="1:12" x14ac:dyDescent="0.3">
      <c r="A811" s="1">
        <v>43585</v>
      </c>
      <c r="B811" s="3">
        <f>YEAR(Tabla3[[#This Row],[Date]])</f>
        <v>2019</v>
      </c>
      <c r="C811" s="1" t="str">
        <f>+TEXT(Tabla3[[#This Row],[Date]],"mmm")</f>
        <v>abr</v>
      </c>
      <c r="D811" s="2">
        <v>1282.80004882812</v>
      </c>
      <c r="E811" s="2">
        <v>1282.80004882812</v>
      </c>
      <c r="F811" s="2">
        <v>1283.30004882812</v>
      </c>
      <c r="G811" s="2">
        <v>1280.80004882812</v>
      </c>
      <c r="H811" s="2">
        <v>1281.69995117187</v>
      </c>
      <c r="I811">
        <v>114</v>
      </c>
      <c r="J811" s="2">
        <f ca="1">IFERROR((Tabla3[[#This Row],[Close]]-OFFSET(Tabla3[[#This Row],[Close]],-1,0))/OFFSET(Tabla3[[#This Row],[Close]],-1,0),"")</f>
        <v>3.2849001426464752E-3</v>
      </c>
      <c r="K811" s="2">
        <f ca="1">IFERROR(AVERAGE(OFFSET(Tabla3[[#This Row],[Close]],-6,0,7)),"")</f>
        <v>1277.2000209263356</v>
      </c>
      <c r="L811" s="2">
        <f ca="1">IFERROR(_xlfn.STDEV.S(OFFSET(Tabla3[[#This Row],[Close]],-29,0,30)),"")</f>
        <v>14.287869843553553</v>
      </c>
    </row>
    <row r="812" spans="1:12" x14ac:dyDescent="0.3">
      <c r="A812" s="1">
        <v>43586</v>
      </c>
      <c r="B812" s="3">
        <f>YEAR(Tabla3[[#This Row],[Date]])</f>
        <v>2019</v>
      </c>
      <c r="C812" s="1" t="str">
        <f>+TEXT(Tabla3[[#This Row],[Date]],"mmm")</f>
        <v>may</v>
      </c>
      <c r="D812" s="2">
        <v>1281.40002441406</v>
      </c>
      <c r="E812" s="2">
        <v>1281.40002441406</v>
      </c>
      <c r="F812" s="2">
        <v>1283.30004882812</v>
      </c>
      <c r="G812" s="2">
        <v>1278.69995117187</v>
      </c>
      <c r="H812" s="2">
        <v>1278.69995117187</v>
      </c>
      <c r="I812">
        <v>70</v>
      </c>
      <c r="J812" s="2">
        <f ca="1">IFERROR((Tabla3[[#This Row],[Close]]-OFFSET(Tabla3[[#This Row],[Close]],-1,0))/OFFSET(Tabla3[[#This Row],[Close]],-1,0),"")</f>
        <v>-1.0913816345259476E-3</v>
      </c>
      <c r="K812" s="2">
        <f ca="1">IFERROR(AVERAGE(OFFSET(Tabla3[[#This Row],[Close]],-6,0,7)),"")</f>
        <v>1278.32859584263</v>
      </c>
      <c r="L812" s="2">
        <f ca="1">IFERROR(_xlfn.STDEV.S(OFFSET(Tabla3[[#This Row],[Close]],-29,0,30)),"")</f>
        <v>14.14437716939103</v>
      </c>
    </row>
    <row r="813" spans="1:12" x14ac:dyDescent="0.3">
      <c r="A813" s="1">
        <v>43587</v>
      </c>
      <c r="B813" s="3">
        <f>YEAR(Tabla3[[#This Row],[Date]])</f>
        <v>2019</v>
      </c>
      <c r="C813" s="1" t="str">
        <f>+TEXT(Tabla3[[#This Row],[Date]],"mmm")</f>
        <v>may</v>
      </c>
      <c r="D813" s="2">
        <v>1269.69995117187</v>
      </c>
      <c r="E813" s="2">
        <v>1269.69995117187</v>
      </c>
      <c r="F813" s="2">
        <v>1270.80004882812</v>
      </c>
      <c r="G813" s="2">
        <v>1266.59997558593</v>
      </c>
      <c r="H813" s="2">
        <v>1269.19995117187</v>
      </c>
      <c r="I813">
        <v>63</v>
      </c>
      <c r="J813" s="2">
        <f ca="1">IFERROR((Tabla3[[#This Row],[Close]]-OFFSET(Tabla3[[#This Row],[Close]],-1,0))/OFFSET(Tabla3[[#This Row],[Close]],-1,0),"")</f>
        <v>-9.1306953482695932E-3</v>
      </c>
      <c r="K813" s="2">
        <f ca="1">IFERROR(AVERAGE(OFFSET(Tabla3[[#This Row],[Close]],-6,0,7)),"")</f>
        <v>1278.38572474888</v>
      </c>
      <c r="L813" s="2">
        <f ca="1">IFERROR(_xlfn.STDEV.S(OFFSET(Tabla3[[#This Row],[Close]],-29,0,30)),"")</f>
        <v>14.492019015496506</v>
      </c>
    </row>
    <row r="814" spans="1:12" x14ac:dyDescent="0.3">
      <c r="A814" s="1">
        <v>43588</v>
      </c>
      <c r="B814" s="3">
        <f>YEAR(Tabla3[[#This Row],[Date]])</f>
        <v>2019</v>
      </c>
      <c r="C814" s="1" t="str">
        <f>+TEXT(Tabla3[[#This Row],[Date]],"mmm")</f>
        <v>may</v>
      </c>
      <c r="D814" s="2">
        <v>1279.19995117187</v>
      </c>
      <c r="E814" s="2">
        <v>1279.19995117187</v>
      </c>
      <c r="F814" s="2">
        <v>1279.19995117187</v>
      </c>
      <c r="G814" s="2">
        <v>1270.09997558593</v>
      </c>
      <c r="H814" s="2">
        <v>1270.09997558593</v>
      </c>
      <c r="I814">
        <v>15</v>
      </c>
      <c r="J814" s="2">
        <f ca="1">IFERROR((Tabla3[[#This Row],[Close]]-OFFSET(Tabla3[[#This Row],[Close]],-1,0))/OFFSET(Tabla3[[#This Row],[Close]],-1,0),"")</f>
        <v>7.4820826693991534E-3</v>
      </c>
      <c r="K814" s="2">
        <f ca="1">IFERROR(AVERAGE(OFFSET(Tabla3[[#This Row],[Close]],-6,0,7)),"")</f>
        <v>1278.9142892020043</v>
      </c>
      <c r="L814" s="2">
        <f ca="1">IFERROR(_xlfn.STDEV.S(OFFSET(Tabla3[[#This Row],[Close]],-29,0,30)),"")</f>
        <v>14.245092259584911</v>
      </c>
    </row>
    <row r="815" spans="1:12" x14ac:dyDescent="0.3">
      <c r="A815" s="1">
        <v>43591</v>
      </c>
      <c r="B815" s="3">
        <f>YEAR(Tabla3[[#This Row],[Date]])</f>
        <v>2019</v>
      </c>
      <c r="C815" s="1" t="str">
        <f>+TEXT(Tabla3[[#This Row],[Date]],"mmm")</f>
        <v>may</v>
      </c>
      <c r="D815" s="2">
        <v>1281.69995117187</v>
      </c>
      <c r="E815" s="2">
        <v>1281.69995117187</v>
      </c>
      <c r="F815" s="2">
        <v>1282.19995117187</v>
      </c>
      <c r="G815" s="2">
        <v>1280.30004882812</v>
      </c>
      <c r="H815" s="2">
        <v>1282.19995117187</v>
      </c>
      <c r="I815">
        <v>12</v>
      </c>
      <c r="J815" s="2">
        <f ca="1">IFERROR((Tabla3[[#This Row],[Close]]-OFFSET(Tabla3[[#This Row],[Close]],-1,0))/OFFSET(Tabla3[[#This Row],[Close]],-1,0),"")</f>
        <v>1.9543465411406245E-3</v>
      </c>
      <c r="K815" s="2">
        <f ca="1">IFERROR(AVERAGE(OFFSET(Tabla3[[#This Row],[Close]],-6,0,7)),"")</f>
        <v>1279.7571323939685</v>
      </c>
      <c r="L815" s="2">
        <f ca="1">IFERROR(_xlfn.STDEV.S(OFFSET(Tabla3[[#This Row],[Close]],-29,0,30)),"")</f>
        <v>13.595401558204813</v>
      </c>
    </row>
    <row r="816" spans="1:12" x14ac:dyDescent="0.3">
      <c r="A816" s="1">
        <v>43592</v>
      </c>
      <c r="B816" s="3">
        <f>YEAR(Tabla3[[#This Row],[Date]])</f>
        <v>2019</v>
      </c>
      <c r="C816" s="1" t="str">
        <f>+TEXT(Tabla3[[#This Row],[Date]],"mmm")</f>
        <v>may</v>
      </c>
      <c r="D816" s="2">
        <v>1283.5</v>
      </c>
      <c r="E816" s="2">
        <v>1283.5</v>
      </c>
      <c r="F816" s="2">
        <v>1283.5</v>
      </c>
      <c r="G816" s="2">
        <v>1280.5</v>
      </c>
      <c r="H816" s="2">
        <v>1280.5</v>
      </c>
      <c r="I816">
        <v>8</v>
      </c>
      <c r="J816" s="2">
        <f ca="1">IFERROR((Tabla3[[#This Row],[Close]]-OFFSET(Tabla3[[#This Row],[Close]],-1,0))/OFFSET(Tabla3[[#This Row],[Close]],-1,0),"")</f>
        <v>1.4044229513188334E-3</v>
      </c>
      <c r="K816" s="2">
        <f ca="1">IFERROR(AVERAGE(OFFSET(Tabla3[[#This Row],[Close]],-6,0,7)),"")</f>
        <v>1279.5571289062457</v>
      </c>
      <c r="L816" s="2">
        <f ca="1">IFERROR(_xlfn.STDEV.S(OFFSET(Tabla3[[#This Row],[Close]],-29,0,30)),"")</f>
        <v>11.940201565457603</v>
      </c>
    </row>
    <row r="817" spans="1:12" x14ac:dyDescent="0.3">
      <c r="A817" s="1">
        <v>43593</v>
      </c>
      <c r="B817" s="3">
        <f>YEAR(Tabla3[[#This Row],[Date]])</f>
        <v>2019</v>
      </c>
      <c r="C817" s="1" t="str">
        <f>+TEXT(Tabla3[[#This Row],[Date]],"mmm")</f>
        <v>may</v>
      </c>
      <c r="D817" s="2">
        <v>1279.40002441406</v>
      </c>
      <c r="E817" s="2">
        <v>1279.40002441406</v>
      </c>
      <c r="F817" s="2">
        <v>1279.40002441406</v>
      </c>
      <c r="G817" s="2">
        <v>1279.40002441406</v>
      </c>
      <c r="H817" s="2">
        <v>1279.40002441406</v>
      </c>
      <c r="I817">
        <v>5</v>
      </c>
      <c r="J817" s="2">
        <f ca="1">IFERROR((Tabla3[[#This Row],[Close]]-OFFSET(Tabla3[[#This Row],[Close]],-1,0))/OFFSET(Tabla3[[#This Row],[Close]],-1,0),"")</f>
        <v>-3.1943713174444888E-3</v>
      </c>
      <c r="K817" s="2">
        <f ca="1">IFERROR(AVERAGE(OFFSET(Tabla3[[#This Row],[Close]],-6,0,7)),"")</f>
        <v>1279.6714215959787</v>
      </c>
      <c r="L817" s="2">
        <f ca="1">IFERROR(_xlfn.STDEV.S(OFFSET(Tabla3[[#This Row],[Close]],-29,0,30)),"")</f>
        <v>10.737512076365737</v>
      </c>
    </row>
    <row r="818" spans="1:12" x14ac:dyDescent="0.3">
      <c r="A818" s="1">
        <v>43594</v>
      </c>
      <c r="B818" s="3">
        <f>YEAR(Tabla3[[#This Row],[Date]])</f>
        <v>2019</v>
      </c>
      <c r="C818" s="1" t="str">
        <f>+TEXT(Tabla3[[#This Row],[Date]],"mmm")</f>
        <v>may</v>
      </c>
      <c r="D818" s="2">
        <v>1283.5</v>
      </c>
      <c r="E818" s="2">
        <v>1283.5</v>
      </c>
      <c r="F818" s="2">
        <v>1285</v>
      </c>
      <c r="G818" s="2">
        <v>1278.80004882812</v>
      </c>
      <c r="H818" s="2">
        <v>1278.90002441406</v>
      </c>
      <c r="I818">
        <v>38</v>
      </c>
      <c r="J818" s="2">
        <f ca="1">IFERROR((Tabla3[[#This Row],[Close]]-OFFSET(Tabla3[[#This Row],[Close]],-1,0))/OFFSET(Tabla3[[#This Row],[Close]],-1,0),"")</f>
        <v>3.204608025404493E-3</v>
      </c>
      <c r="K818" s="2">
        <f ca="1">IFERROR(AVERAGE(OFFSET(Tabla3[[#This Row],[Close]],-6,0,7)),"")</f>
        <v>1279.7714146205328</v>
      </c>
      <c r="L818" s="2">
        <f ca="1">IFERROR(_xlfn.STDEV.S(OFFSET(Tabla3[[#This Row],[Close]],-29,0,30)),"")</f>
        <v>9.6475719870353895</v>
      </c>
    </row>
    <row r="819" spans="1:12" x14ac:dyDescent="0.3">
      <c r="A819" s="1">
        <v>43595</v>
      </c>
      <c r="B819" s="3">
        <f>YEAR(Tabla3[[#This Row],[Date]])</f>
        <v>2019</v>
      </c>
      <c r="C819" s="1" t="str">
        <f>+TEXT(Tabla3[[#This Row],[Date]],"mmm")</f>
        <v>may</v>
      </c>
      <c r="D819" s="2">
        <v>1285.69995117187</v>
      </c>
      <c r="E819" s="2">
        <v>1285.69995117187</v>
      </c>
      <c r="F819" s="2">
        <v>1286.5</v>
      </c>
      <c r="G819" s="2">
        <v>1283.30004882812</v>
      </c>
      <c r="H819" s="2">
        <v>1285.40002441406</v>
      </c>
      <c r="I819">
        <v>6</v>
      </c>
      <c r="J819" s="2">
        <f ca="1">IFERROR((Tabla3[[#This Row],[Close]]-OFFSET(Tabla3[[#This Row],[Close]],-1,0))/OFFSET(Tabla3[[#This Row],[Close]],-1,0),"")</f>
        <v>1.7140250657343185E-3</v>
      </c>
      <c r="K819" s="2">
        <f ca="1">IFERROR(AVERAGE(OFFSET(Tabla3[[#This Row],[Close]],-6,0,7)),"")</f>
        <v>1280.3856898716488</v>
      </c>
      <c r="L819" s="2">
        <f ca="1">IFERROR(_xlfn.STDEV.S(OFFSET(Tabla3[[#This Row],[Close]],-29,0,30)),"")</f>
        <v>9.5922873425728721</v>
      </c>
    </row>
    <row r="820" spans="1:12" x14ac:dyDescent="0.3">
      <c r="A820" s="1">
        <v>43598</v>
      </c>
      <c r="B820" s="3">
        <f>YEAR(Tabla3[[#This Row],[Date]])</f>
        <v>2019</v>
      </c>
      <c r="C820" s="1" t="str">
        <f>+TEXT(Tabla3[[#This Row],[Date]],"mmm")</f>
        <v>may</v>
      </c>
      <c r="D820" s="2">
        <v>1300.09997558593</v>
      </c>
      <c r="E820" s="2">
        <v>1300.09997558593</v>
      </c>
      <c r="F820" s="2">
        <v>1300.09997558593</v>
      </c>
      <c r="G820" s="2">
        <v>1281.80004882812</v>
      </c>
      <c r="H820" s="2">
        <v>1286.69995117187</v>
      </c>
      <c r="I820">
        <v>56</v>
      </c>
      <c r="J820" s="2">
        <f ca="1">IFERROR((Tabla3[[#This Row],[Close]]-OFFSET(Tabla3[[#This Row],[Close]],-1,0))/OFFSET(Tabla3[[#This Row],[Close]],-1,0),"")</f>
        <v>1.1200143860108952E-2</v>
      </c>
      <c r="K820" s="2">
        <f ca="1">IFERROR(AVERAGE(OFFSET(Tabla3[[#This Row],[Close]],-6,0,7)),"")</f>
        <v>1284.7285505022285</v>
      </c>
      <c r="L820" s="2">
        <f ca="1">IFERROR(_xlfn.STDEV.S(OFFSET(Tabla3[[#This Row],[Close]],-29,0,30)),"")</f>
        <v>9.9064803192448121</v>
      </c>
    </row>
    <row r="821" spans="1:12" x14ac:dyDescent="0.3">
      <c r="A821" s="1">
        <v>43599</v>
      </c>
      <c r="B821" s="3">
        <f>YEAR(Tabla3[[#This Row],[Date]])</f>
        <v>2019</v>
      </c>
      <c r="C821" s="1" t="str">
        <f>+TEXT(Tabla3[[#This Row],[Date]],"mmm")</f>
        <v>may</v>
      </c>
      <c r="D821" s="2">
        <v>1294.69995117187</v>
      </c>
      <c r="E821" s="2">
        <v>1294.69995117187</v>
      </c>
      <c r="F821" s="2">
        <v>1297.80004882812</v>
      </c>
      <c r="G821" s="2">
        <v>1294.69995117187</v>
      </c>
      <c r="H821" s="2">
        <v>1297.80004882812</v>
      </c>
      <c r="I821">
        <v>6</v>
      </c>
      <c r="J821" s="2">
        <f ca="1">IFERROR((Tabla3[[#This Row],[Close]]-OFFSET(Tabla3[[#This Row],[Close]],-1,0))/OFFSET(Tabla3[[#This Row],[Close]],-1,0),"")</f>
        <v>-4.1535455083954696E-3</v>
      </c>
      <c r="K821" s="2">
        <f ca="1">IFERROR(AVERAGE(OFFSET(Tabla3[[#This Row],[Close]],-6,0,7)),"")</f>
        <v>1286.9428362165143</v>
      </c>
      <c r="L821" s="2">
        <f ca="1">IFERROR(_xlfn.STDEV.S(OFFSET(Tabla3[[#This Row],[Close]],-29,0,30)),"")</f>
        <v>10.065036840822691</v>
      </c>
    </row>
    <row r="822" spans="1:12" x14ac:dyDescent="0.3">
      <c r="A822" s="1">
        <v>43600</v>
      </c>
      <c r="B822" s="3">
        <f>YEAR(Tabla3[[#This Row],[Date]])</f>
        <v>2019</v>
      </c>
      <c r="C822" s="1" t="str">
        <f>+TEXT(Tabla3[[#This Row],[Date]],"mmm")</f>
        <v>may</v>
      </c>
      <c r="D822" s="2">
        <v>1296.30004882812</v>
      </c>
      <c r="E822" s="2">
        <v>1296.30004882812</v>
      </c>
      <c r="F822" s="2">
        <v>1296.90002441406</v>
      </c>
      <c r="G822" s="2">
        <v>1296</v>
      </c>
      <c r="H822" s="2">
        <v>1296.90002441406</v>
      </c>
      <c r="I822">
        <v>55</v>
      </c>
      <c r="J822" s="2">
        <f ca="1">IFERROR((Tabla3[[#This Row],[Close]]-OFFSET(Tabla3[[#This Row],[Close]],-1,0))/OFFSET(Tabla3[[#This Row],[Close]],-1,0),"")</f>
        <v>1.23588299729347E-3</v>
      </c>
      <c r="K822" s="2">
        <f ca="1">IFERROR(AVERAGE(OFFSET(Tabla3[[#This Row],[Close]],-6,0,7)),"")</f>
        <v>1289.0285644531214</v>
      </c>
      <c r="L822" s="2">
        <f ca="1">IFERROR(_xlfn.STDEV.S(OFFSET(Tabla3[[#This Row],[Close]],-29,0,30)),"")</f>
        <v>10.250638714726021</v>
      </c>
    </row>
    <row r="823" spans="1:12" x14ac:dyDescent="0.3">
      <c r="A823" s="1">
        <v>43601</v>
      </c>
      <c r="B823" s="3">
        <f>YEAR(Tabla3[[#This Row],[Date]])</f>
        <v>2019</v>
      </c>
      <c r="C823" s="1" t="str">
        <f>+TEXT(Tabla3[[#This Row],[Date]],"mmm")</f>
        <v>may</v>
      </c>
      <c r="D823" s="2">
        <v>1285</v>
      </c>
      <c r="E823" s="2">
        <v>1285</v>
      </c>
      <c r="F823" s="2">
        <v>1285.40002441406</v>
      </c>
      <c r="G823" s="2">
        <v>1285</v>
      </c>
      <c r="H823" s="2">
        <v>1285.19995117187</v>
      </c>
      <c r="I823">
        <v>3</v>
      </c>
      <c r="J823" s="2">
        <f ca="1">IFERROR((Tabla3[[#This Row],[Close]]-OFFSET(Tabla3[[#This Row],[Close]],-1,0))/OFFSET(Tabla3[[#This Row],[Close]],-1,0),"")</f>
        <v>-8.7171552900391063E-3</v>
      </c>
      <c r="K823" s="2">
        <f ca="1">IFERROR(AVERAGE(OFFSET(Tabla3[[#This Row],[Close]],-6,0,7)),"")</f>
        <v>1289.2428501674071</v>
      </c>
      <c r="L823" s="2">
        <f ca="1">IFERROR(_xlfn.STDEV.S(OFFSET(Tabla3[[#This Row],[Close]],-29,0,30)),"")</f>
        <v>10.201813455941737</v>
      </c>
    </row>
    <row r="824" spans="1:12" x14ac:dyDescent="0.3">
      <c r="A824" s="1">
        <v>43602</v>
      </c>
      <c r="B824" s="3">
        <f>YEAR(Tabla3[[#This Row],[Date]])</f>
        <v>2019</v>
      </c>
      <c r="C824" s="1" t="str">
        <f>+TEXT(Tabla3[[#This Row],[Date]],"mmm")</f>
        <v>may</v>
      </c>
      <c r="D824" s="2">
        <v>1274.5</v>
      </c>
      <c r="E824" s="2">
        <v>1274.5</v>
      </c>
      <c r="F824" s="2">
        <v>1280</v>
      </c>
      <c r="G824" s="2">
        <v>1274.5</v>
      </c>
      <c r="H824" s="2">
        <v>1280</v>
      </c>
      <c r="I824">
        <v>1</v>
      </c>
      <c r="J824" s="2">
        <f ca="1">IFERROR((Tabla3[[#This Row],[Close]]-OFFSET(Tabla3[[#This Row],[Close]],-1,0))/OFFSET(Tabla3[[#This Row],[Close]],-1,0),"")</f>
        <v>-8.1712062256809343E-3</v>
      </c>
      <c r="K824" s="2">
        <f ca="1">IFERROR(AVERAGE(OFFSET(Tabla3[[#This Row],[Close]],-6,0,7)),"")</f>
        <v>1288.5428466796841</v>
      </c>
      <c r="L824" s="2">
        <f ca="1">IFERROR(_xlfn.STDEV.S(OFFSET(Tabla3[[#This Row],[Close]],-29,0,30)),"")</f>
        <v>10.319818855061758</v>
      </c>
    </row>
    <row r="825" spans="1:12" x14ac:dyDescent="0.3">
      <c r="A825" s="1">
        <v>43605</v>
      </c>
      <c r="B825" s="3">
        <f>YEAR(Tabla3[[#This Row],[Date]])</f>
        <v>2019</v>
      </c>
      <c r="C825" s="1" t="str">
        <f>+TEXT(Tabla3[[#This Row],[Date]],"mmm")</f>
        <v>may</v>
      </c>
      <c r="D825" s="2">
        <v>1276.09997558593</v>
      </c>
      <c r="E825" s="2">
        <v>1276.09997558593</v>
      </c>
      <c r="F825" s="2">
        <v>1276.09997558593</v>
      </c>
      <c r="G825" s="2">
        <v>1276.09997558593</v>
      </c>
      <c r="H825" s="2">
        <v>1276.09997558593</v>
      </c>
      <c r="I825">
        <v>20</v>
      </c>
      <c r="J825" s="2">
        <f ca="1">IFERROR((Tabla3[[#This Row],[Close]]-OFFSET(Tabla3[[#This Row],[Close]],-1,0))/OFFSET(Tabla3[[#This Row],[Close]],-1,0),"")</f>
        <v>1.2553751164613549E-3</v>
      </c>
      <c r="K825" s="2">
        <f ca="1">IFERROR(AVERAGE(OFFSET(Tabla3[[#This Row],[Close]],-6,0,7)),"")</f>
        <v>1287.485700334817</v>
      </c>
      <c r="L825" s="2">
        <f ca="1">IFERROR(_xlfn.STDEV.S(OFFSET(Tabla3[[#This Row],[Close]],-29,0,30)),"")</f>
        <v>10.340900994996838</v>
      </c>
    </row>
    <row r="826" spans="1:12" x14ac:dyDescent="0.3">
      <c r="A826" s="1">
        <v>43606</v>
      </c>
      <c r="B826" s="3">
        <f>YEAR(Tabla3[[#This Row],[Date]])</f>
        <v>2019</v>
      </c>
      <c r="C826" s="1" t="str">
        <f>+TEXT(Tabla3[[#This Row],[Date]],"mmm")</f>
        <v>may</v>
      </c>
      <c r="D826" s="2">
        <v>1272</v>
      </c>
      <c r="E826" s="2">
        <v>1272</v>
      </c>
      <c r="F826" s="2">
        <v>1272</v>
      </c>
      <c r="G826" s="2">
        <v>1272</v>
      </c>
      <c r="H826" s="2">
        <v>1272</v>
      </c>
      <c r="I826">
        <v>0</v>
      </c>
      <c r="J826" s="2">
        <f ca="1">IFERROR((Tabla3[[#This Row],[Close]]-OFFSET(Tabla3[[#This Row],[Close]],-1,0))/OFFSET(Tabla3[[#This Row],[Close]],-1,0),"")</f>
        <v>-3.2128952780893713E-3</v>
      </c>
      <c r="K826" s="2">
        <f ca="1">IFERROR(AVERAGE(OFFSET(Tabla3[[#This Row],[Close]],-6,0,7)),"")</f>
        <v>1285.5285644531214</v>
      </c>
      <c r="L826" s="2">
        <f ca="1">IFERROR(_xlfn.STDEV.S(OFFSET(Tabla3[[#This Row],[Close]],-29,0,30)),"")</f>
        <v>10.213311513932101</v>
      </c>
    </row>
    <row r="827" spans="1:12" x14ac:dyDescent="0.3">
      <c r="A827" s="1">
        <v>43607</v>
      </c>
      <c r="B827" s="3">
        <f>YEAR(Tabla3[[#This Row],[Date]])</f>
        <v>2019</v>
      </c>
      <c r="C827" s="1" t="str">
        <f>+TEXT(Tabla3[[#This Row],[Date]],"mmm")</f>
        <v>may</v>
      </c>
      <c r="D827" s="2">
        <v>1273.59997558593</v>
      </c>
      <c r="E827" s="2">
        <v>1273.59997558593</v>
      </c>
      <c r="F827" s="2">
        <v>1273.59997558593</v>
      </c>
      <c r="G827" s="2">
        <v>1273.59997558593</v>
      </c>
      <c r="H827" s="2">
        <v>1273.59997558593</v>
      </c>
      <c r="I827">
        <v>0</v>
      </c>
      <c r="J827" s="2">
        <f ca="1">IFERROR((Tabla3[[#This Row],[Close]]-OFFSET(Tabla3[[#This Row],[Close]],-1,0))/OFFSET(Tabla3[[#This Row],[Close]],-1,0),"")</f>
        <v>1.2578424417688653E-3</v>
      </c>
      <c r="K827" s="2">
        <f ca="1">IFERROR(AVERAGE(OFFSET(Tabla3[[#This Row],[Close]],-6,0,7)),"")</f>
        <v>1281.7428501674071</v>
      </c>
      <c r="L827" s="2">
        <f ca="1">IFERROR(_xlfn.STDEV.S(OFFSET(Tabla3[[#This Row],[Close]],-29,0,30)),"")</f>
        <v>9.5419702872972803</v>
      </c>
    </row>
    <row r="828" spans="1:12" x14ac:dyDescent="0.3">
      <c r="A828" s="1">
        <v>43608</v>
      </c>
      <c r="B828" s="3">
        <f>YEAR(Tabla3[[#This Row],[Date]])</f>
        <v>2019</v>
      </c>
      <c r="C828" s="1" t="str">
        <f>+TEXT(Tabla3[[#This Row],[Date]],"mmm")</f>
        <v>may</v>
      </c>
      <c r="D828" s="2">
        <v>1284.80004882812</v>
      </c>
      <c r="E828" s="2">
        <v>1284.80004882812</v>
      </c>
      <c r="F828" s="2">
        <v>1284.80004882812</v>
      </c>
      <c r="G828" s="2">
        <v>1284.80004882812</v>
      </c>
      <c r="H828" s="2">
        <v>1284.80004882812</v>
      </c>
      <c r="I828">
        <v>0</v>
      </c>
      <c r="J828" s="2">
        <f ca="1">IFERROR((Tabla3[[#This Row],[Close]]-OFFSET(Tabla3[[#This Row],[Close]],-1,0))/OFFSET(Tabla3[[#This Row],[Close]],-1,0),"")</f>
        <v>8.7940275258228673E-3</v>
      </c>
      <c r="K828" s="2">
        <f ca="1">IFERROR(AVERAGE(OFFSET(Tabla3[[#This Row],[Close]],-6,0,7)),"")</f>
        <v>1280.3285784040143</v>
      </c>
      <c r="L828" s="2">
        <f ca="1">IFERROR(_xlfn.STDEV.S(OFFSET(Tabla3[[#This Row],[Close]],-29,0,30)),"")</f>
        <v>8.0423603621380195</v>
      </c>
    </row>
    <row r="829" spans="1:12" x14ac:dyDescent="0.3">
      <c r="A829" s="1">
        <v>43609</v>
      </c>
      <c r="B829" s="3">
        <f>YEAR(Tabla3[[#This Row],[Date]])</f>
        <v>2019</v>
      </c>
      <c r="C829" s="1" t="str">
        <f>+TEXT(Tabla3[[#This Row],[Date]],"mmm")</f>
        <v>may</v>
      </c>
      <c r="D829" s="2">
        <v>1283</v>
      </c>
      <c r="E829" s="2">
        <v>1283</v>
      </c>
      <c r="F829" s="2">
        <v>1283</v>
      </c>
      <c r="G829" s="2">
        <v>1283</v>
      </c>
      <c r="H829" s="2">
        <v>1283</v>
      </c>
      <c r="I829">
        <v>9</v>
      </c>
      <c r="J829" s="2">
        <f ca="1">IFERROR((Tabla3[[#This Row],[Close]]-OFFSET(Tabla3[[#This Row],[Close]],-1,0))/OFFSET(Tabla3[[#This Row],[Close]],-1,0),"")</f>
        <v>-1.4010342152164781E-3</v>
      </c>
      <c r="K829" s="2">
        <f ca="1">IFERROR(AVERAGE(OFFSET(Tabla3[[#This Row],[Close]],-6,0,7)),"")</f>
        <v>1278.4285714285686</v>
      </c>
      <c r="L829" s="2">
        <f ca="1">IFERROR(_xlfn.STDEV.S(OFFSET(Tabla3[[#This Row],[Close]],-29,0,30)),"")</f>
        <v>7.9193657758258782</v>
      </c>
    </row>
    <row r="830" spans="1:12" x14ac:dyDescent="0.3">
      <c r="A830" s="1">
        <v>43613</v>
      </c>
      <c r="B830" s="3">
        <f>YEAR(Tabla3[[#This Row],[Date]])</f>
        <v>2019</v>
      </c>
      <c r="C830" s="1" t="str">
        <f>+TEXT(Tabla3[[#This Row],[Date]],"mmm")</f>
        <v>may</v>
      </c>
      <c r="D830" s="2">
        <v>1276.5</v>
      </c>
      <c r="E830" s="2">
        <v>1276.5</v>
      </c>
      <c r="F830" s="2">
        <v>1276.5</v>
      </c>
      <c r="G830" s="2">
        <v>1276.5</v>
      </c>
      <c r="H830" s="2">
        <v>1276.5</v>
      </c>
      <c r="I830">
        <v>0</v>
      </c>
      <c r="J830" s="2">
        <f ca="1">IFERROR((Tabla3[[#This Row],[Close]]-OFFSET(Tabla3[[#This Row],[Close]],-1,0))/OFFSET(Tabla3[[#This Row],[Close]],-1,0),"")</f>
        <v>-5.0662509742790338E-3</v>
      </c>
      <c r="K830" s="2">
        <f ca="1">IFERROR(AVERAGE(OFFSET(Tabla3[[#This Row],[Close]],-6,0,7)),"")</f>
        <v>1277.2142857142828</v>
      </c>
      <c r="L830" s="2">
        <f ca="1">IFERROR(_xlfn.STDEV.S(OFFSET(Tabla3[[#This Row],[Close]],-29,0,30)),"")</f>
        <v>7.7228182693941774</v>
      </c>
    </row>
    <row r="831" spans="1:12" x14ac:dyDescent="0.3">
      <c r="A831" s="1">
        <v>43614</v>
      </c>
      <c r="B831" s="3">
        <f>YEAR(Tabla3[[#This Row],[Date]])</f>
        <v>2019</v>
      </c>
      <c r="C831" s="1" t="str">
        <f>+TEXT(Tabla3[[#This Row],[Date]],"mmm")</f>
        <v>may</v>
      </c>
      <c r="D831" s="2">
        <v>1280.59997558593</v>
      </c>
      <c r="E831" s="2">
        <v>1280.59997558593</v>
      </c>
      <c r="F831" s="2">
        <v>1280.59997558593</v>
      </c>
      <c r="G831" s="2">
        <v>1280.59997558593</v>
      </c>
      <c r="H831" s="2">
        <v>1280.59997558593</v>
      </c>
      <c r="I831">
        <v>189694</v>
      </c>
      <c r="J831" s="2">
        <f ca="1">IFERROR((Tabla3[[#This Row],[Close]]-OFFSET(Tabla3[[#This Row],[Close]],-1,0))/OFFSET(Tabla3[[#This Row],[Close]],-1,0),"")</f>
        <v>3.2118884339443765E-3</v>
      </c>
      <c r="K831" s="2">
        <f ca="1">IFERROR(AVERAGE(OFFSET(Tabla3[[#This Row],[Close]],-6,0,7)),"")</f>
        <v>1278.0857107979871</v>
      </c>
      <c r="L831" s="2">
        <f ca="1">IFERROR(_xlfn.STDEV.S(OFFSET(Tabla3[[#This Row],[Close]],-29,0,30)),"")</f>
        <v>7.6211027968748439</v>
      </c>
    </row>
    <row r="832" spans="1:12" x14ac:dyDescent="0.3">
      <c r="A832" s="1">
        <v>43615</v>
      </c>
      <c r="B832" s="3">
        <f>YEAR(Tabla3[[#This Row],[Date]])</f>
        <v>2019</v>
      </c>
      <c r="C832" s="1" t="str">
        <f>+TEXT(Tabla3[[#This Row],[Date]],"mmm")</f>
        <v>may</v>
      </c>
      <c r="D832" s="2">
        <v>1287.09997558593</v>
      </c>
      <c r="E832" s="2">
        <v>1287.09997558593</v>
      </c>
      <c r="F832" s="2">
        <v>1288.30004882812</v>
      </c>
      <c r="G832" s="2">
        <v>1273.90002441406</v>
      </c>
      <c r="H832" s="2">
        <v>1279.40002441406</v>
      </c>
      <c r="I832">
        <v>55573</v>
      </c>
      <c r="J832" s="2">
        <f ca="1">IFERROR((Tabla3[[#This Row],[Close]]-OFFSET(Tabla3[[#This Row],[Close]],-1,0))/OFFSET(Tabla3[[#This Row],[Close]],-1,0),"")</f>
        <v>5.0757458409492534E-3</v>
      </c>
      <c r="K832" s="2">
        <f ca="1">IFERROR(AVERAGE(OFFSET(Tabla3[[#This Row],[Close]],-6,0,7)),"")</f>
        <v>1279.6571393694157</v>
      </c>
      <c r="L832" s="2">
        <f ca="1">IFERROR(_xlfn.STDEV.S(OFFSET(Tabla3[[#This Row],[Close]],-29,0,30)),"")</f>
        <v>7.598871847079816</v>
      </c>
    </row>
    <row r="833" spans="1:12" x14ac:dyDescent="0.3">
      <c r="A833" s="1">
        <v>43616</v>
      </c>
      <c r="B833" s="3">
        <f>YEAR(Tabla3[[#This Row],[Date]])</f>
        <v>2019</v>
      </c>
      <c r="C833" s="1" t="str">
        <f>+TEXT(Tabla3[[#This Row],[Date]],"mmm")</f>
        <v>may</v>
      </c>
      <c r="D833" s="2">
        <v>1305.80004882812</v>
      </c>
      <c r="E833" s="2">
        <v>1305.80004882812</v>
      </c>
      <c r="F833" s="2">
        <v>1306.40002441406</v>
      </c>
      <c r="G833" s="2">
        <v>1287.5</v>
      </c>
      <c r="H833" s="2">
        <v>1287.69995117187</v>
      </c>
      <c r="I833">
        <v>2814</v>
      </c>
      <c r="J833" s="2">
        <f ca="1">IFERROR((Tabla3[[#This Row],[Close]]-OFFSET(Tabla3[[#This Row],[Close]],-1,0))/OFFSET(Tabla3[[#This Row],[Close]],-1,0),"")</f>
        <v>1.4528842822545402E-2</v>
      </c>
      <c r="K833" s="2">
        <f ca="1">IFERROR(AVERAGE(OFFSET(Tabla3[[#This Row],[Close]],-6,0,7)),"")</f>
        <v>1284.4857177734327</v>
      </c>
      <c r="L833" s="2">
        <f ca="1">IFERROR(_xlfn.STDEV.S(OFFSET(Tabla3[[#This Row],[Close]],-29,0,30)),"")</f>
        <v>8.735216912866969</v>
      </c>
    </row>
    <row r="834" spans="1:12" x14ac:dyDescent="0.3">
      <c r="A834" s="1">
        <v>43619</v>
      </c>
      <c r="B834" s="3">
        <f>YEAR(Tabla3[[#This Row],[Date]])</f>
        <v>2019</v>
      </c>
      <c r="C834" s="1" t="str">
        <f>+TEXT(Tabla3[[#This Row],[Date]],"mmm")</f>
        <v>jun</v>
      </c>
      <c r="D834" s="2">
        <v>1322.69995117187</v>
      </c>
      <c r="E834" s="2">
        <v>1322.69995117187</v>
      </c>
      <c r="F834" s="2">
        <v>1327.80004882812</v>
      </c>
      <c r="G834" s="2">
        <v>1307</v>
      </c>
      <c r="H834" s="2">
        <v>1307</v>
      </c>
      <c r="I834">
        <v>812</v>
      </c>
      <c r="J834" s="2">
        <f ca="1">IFERROR((Tabla3[[#This Row],[Close]]-OFFSET(Tabla3[[#This Row],[Close]],-1,0))/OFFSET(Tabla3[[#This Row],[Close]],-1,0),"")</f>
        <v>1.294218234937017E-2</v>
      </c>
      <c r="K834" s="2">
        <f ca="1">IFERROR(AVERAGE(OFFSET(Tabla3[[#This Row],[Close]],-6,0,7)),"")</f>
        <v>1291.4999999999957</v>
      </c>
      <c r="L834" s="2">
        <f ca="1">IFERROR(_xlfn.STDEV.S(OFFSET(Tabla3[[#This Row],[Close]],-29,0,30)),"")</f>
        <v>11.336532018947551</v>
      </c>
    </row>
    <row r="835" spans="1:12" x14ac:dyDescent="0.3">
      <c r="A835" s="1">
        <v>43620</v>
      </c>
      <c r="B835" s="3">
        <f>YEAR(Tabla3[[#This Row],[Date]])</f>
        <v>2019</v>
      </c>
      <c r="C835" s="1" t="str">
        <f>+TEXT(Tabla3[[#This Row],[Date]],"mmm")</f>
        <v>jun</v>
      </c>
      <c r="D835" s="2">
        <v>1323.40002441406</v>
      </c>
      <c r="E835" s="2">
        <v>1323.40002441406</v>
      </c>
      <c r="F835" s="2">
        <v>1328.59997558593</v>
      </c>
      <c r="G835" s="2">
        <v>1320.80004882812</v>
      </c>
      <c r="H835" s="2">
        <v>1324.30004882812</v>
      </c>
      <c r="I835">
        <v>302</v>
      </c>
      <c r="J835" s="2">
        <f ca="1">IFERROR((Tabla3[[#This Row],[Close]]-OFFSET(Tabla3[[#This Row],[Close]],-1,0))/OFFSET(Tabla3[[#This Row],[Close]],-1,0),"")</f>
        <v>5.2927592653931722E-4</v>
      </c>
      <c r="K835" s="2">
        <f ca="1">IFERROR(AVERAGE(OFFSET(Tabla3[[#This Row],[Close]],-6,0,7)),"")</f>
        <v>1297.0142822265586</v>
      </c>
      <c r="L835" s="2">
        <f ca="1">IFERROR(_xlfn.STDEV.S(OFFSET(Tabla3[[#This Row],[Close]],-29,0,30)),"")</f>
        <v>13.341171575876894</v>
      </c>
    </row>
    <row r="836" spans="1:12" x14ac:dyDescent="0.3">
      <c r="A836" s="1">
        <v>43621</v>
      </c>
      <c r="B836" s="3">
        <f>YEAR(Tabla3[[#This Row],[Date]])</f>
        <v>2019</v>
      </c>
      <c r="C836" s="1" t="str">
        <f>+TEXT(Tabla3[[#This Row],[Date]],"mmm")</f>
        <v>jun</v>
      </c>
      <c r="D836" s="2">
        <v>1328.30004882812</v>
      </c>
      <c r="E836" s="2">
        <v>1328.30004882812</v>
      </c>
      <c r="F836" s="2">
        <v>1343.30004882812</v>
      </c>
      <c r="G836" s="2">
        <v>1326.30004882812</v>
      </c>
      <c r="H836" s="2">
        <v>1328.90002441406</v>
      </c>
      <c r="I836">
        <v>622</v>
      </c>
      <c r="J836" s="2">
        <f ca="1">IFERROR((Tabla3[[#This Row],[Close]]-OFFSET(Tabla3[[#This Row],[Close]],-1,0))/OFFSET(Tabla3[[#This Row],[Close]],-1,0),"")</f>
        <v>3.7026026323594046E-3</v>
      </c>
      <c r="K836" s="2">
        <f ca="1">IFERROR(AVERAGE(OFFSET(Tabla3[[#This Row],[Close]],-6,0,7)),"")</f>
        <v>1303.4857177734327</v>
      </c>
      <c r="L836" s="2">
        <f ca="1">IFERROR(_xlfn.STDEV.S(OFFSET(Tabla3[[#This Row],[Close]],-29,0,30)),"")</f>
        <v>15.182799779592338</v>
      </c>
    </row>
    <row r="837" spans="1:12" x14ac:dyDescent="0.3">
      <c r="A837" s="1">
        <v>43622</v>
      </c>
      <c r="B837" s="3">
        <f>YEAR(Tabla3[[#This Row],[Date]])</f>
        <v>2019</v>
      </c>
      <c r="C837" s="1" t="str">
        <f>+TEXT(Tabla3[[#This Row],[Date]],"mmm")</f>
        <v>jun</v>
      </c>
      <c r="D837" s="2">
        <v>1337.59997558593</v>
      </c>
      <c r="E837" s="2">
        <v>1337.59997558593</v>
      </c>
      <c r="F837" s="2">
        <v>1338.69995117187</v>
      </c>
      <c r="G837" s="2">
        <v>1326.19995117187</v>
      </c>
      <c r="H837" s="2">
        <v>1330.80004882812</v>
      </c>
      <c r="I837">
        <v>161</v>
      </c>
      <c r="J837" s="2">
        <f ca="1">IFERROR((Tabla3[[#This Row],[Close]]-OFFSET(Tabla3[[#This Row],[Close]],-1,0))/OFFSET(Tabla3[[#This Row],[Close]],-1,0),"")</f>
        <v>7.0013750025943082E-3</v>
      </c>
      <c r="K837" s="2">
        <f ca="1">IFERROR(AVERAGE(OFFSET(Tabla3[[#This Row],[Close]],-6,0,7)),"")</f>
        <v>1312.2142857142801</v>
      </c>
      <c r="L837" s="2">
        <f ca="1">IFERROR(_xlfn.STDEV.S(OFFSET(Tabla3[[#This Row],[Close]],-29,0,30)),"")</f>
        <v>17.616897933913027</v>
      </c>
    </row>
    <row r="838" spans="1:12" x14ac:dyDescent="0.3">
      <c r="A838" s="1">
        <v>43623</v>
      </c>
      <c r="B838" s="3">
        <f>YEAR(Tabla3[[#This Row],[Date]])</f>
        <v>2019</v>
      </c>
      <c r="C838" s="1" t="str">
        <f>+TEXT(Tabla3[[#This Row],[Date]],"mmm")</f>
        <v>jun</v>
      </c>
      <c r="D838" s="2">
        <v>1341.19995117187</v>
      </c>
      <c r="E838" s="2">
        <v>1341.19995117187</v>
      </c>
      <c r="F838" s="2">
        <v>1347.69995117187</v>
      </c>
      <c r="G838" s="2">
        <v>1329.80004882812</v>
      </c>
      <c r="H838" s="2">
        <v>1333.09997558593</v>
      </c>
      <c r="I838">
        <v>240</v>
      </c>
      <c r="J838" s="2">
        <f ca="1">IFERROR((Tabla3[[#This Row],[Close]]-OFFSET(Tabla3[[#This Row],[Close]],-1,0))/OFFSET(Tabla3[[#This Row],[Close]],-1,0),"")</f>
        <v>2.6913693567937207E-3</v>
      </c>
      <c r="K838" s="2">
        <f ca="1">IFERROR(AVERAGE(OFFSET(Tabla3[[#This Row],[Close]],-6,0,7)),"")</f>
        <v>1320.8714250836999</v>
      </c>
      <c r="L838" s="2">
        <f ca="1">IFERROR(_xlfn.STDEV.S(OFFSET(Tabla3[[#This Row],[Close]],-29,0,30)),"")</f>
        <v>19.840514642465003</v>
      </c>
    </row>
    <row r="839" spans="1:12" x14ac:dyDescent="0.3">
      <c r="A839" s="1">
        <v>43626</v>
      </c>
      <c r="B839" s="3">
        <f>YEAR(Tabla3[[#This Row],[Date]])</f>
        <v>2019</v>
      </c>
      <c r="C839" s="1" t="str">
        <f>+TEXT(Tabla3[[#This Row],[Date]],"mmm")</f>
        <v>jun</v>
      </c>
      <c r="D839" s="2">
        <v>1324.69995117187</v>
      </c>
      <c r="E839" s="2">
        <v>1324.69995117187</v>
      </c>
      <c r="F839" s="2">
        <v>1336.5</v>
      </c>
      <c r="G839" s="2">
        <v>1324.09997558593</v>
      </c>
      <c r="H839" s="2">
        <v>1335.80004882812</v>
      </c>
      <c r="I839">
        <v>268</v>
      </c>
      <c r="J839" s="2">
        <f ca="1">IFERROR((Tabla3[[#This Row],[Close]]-OFFSET(Tabla3[[#This Row],[Close]],-1,0))/OFFSET(Tabla3[[#This Row],[Close]],-1,0),"")</f>
        <v>-1.2302416194977616E-2</v>
      </c>
      <c r="K839" s="2">
        <f ca="1">IFERROR(AVERAGE(OFFSET(Tabla3[[#This Row],[Close]],-6,0,7)),"")</f>
        <v>1326.2428501674055</v>
      </c>
      <c r="L839" s="2">
        <f ca="1">IFERROR(_xlfn.STDEV.S(OFFSET(Tabla3[[#This Row],[Close]],-29,0,30)),"")</f>
        <v>20.721131661847586</v>
      </c>
    </row>
    <row r="840" spans="1:12" x14ac:dyDescent="0.3">
      <c r="A840" s="1">
        <v>43627</v>
      </c>
      <c r="B840" s="3">
        <f>YEAR(Tabla3[[#This Row],[Date]])</f>
        <v>2019</v>
      </c>
      <c r="C840" s="1" t="str">
        <f>+TEXT(Tabla3[[#This Row],[Date]],"mmm")</f>
        <v>jun</v>
      </c>
      <c r="D840" s="2">
        <v>1326.40002441406</v>
      </c>
      <c r="E840" s="2">
        <v>1326.40002441406</v>
      </c>
      <c r="F840" s="2">
        <v>1328.40002441406</v>
      </c>
      <c r="G840" s="2">
        <v>1319.09997558593</v>
      </c>
      <c r="H840" s="2">
        <v>1328.40002441406</v>
      </c>
      <c r="I840">
        <v>201</v>
      </c>
      <c r="J840" s="2">
        <f ca="1">IFERROR((Tabla3[[#This Row],[Close]]-OFFSET(Tabla3[[#This Row],[Close]],-1,0))/OFFSET(Tabla3[[#This Row],[Close]],-1,0),"")</f>
        <v>1.2833647654973222E-3</v>
      </c>
      <c r="K840" s="2">
        <f ca="1">IFERROR(AVERAGE(OFFSET(Tabla3[[#This Row],[Close]],-6,0,7)),"")</f>
        <v>1329.1857038225401</v>
      </c>
      <c r="L840" s="2">
        <f ca="1">IFERROR(_xlfn.STDEV.S(OFFSET(Tabla3[[#This Row],[Close]],-29,0,30)),"")</f>
        <v>21.444566785238106</v>
      </c>
    </row>
    <row r="841" spans="1:12" x14ac:dyDescent="0.3">
      <c r="A841" s="1">
        <v>43628</v>
      </c>
      <c r="B841" s="3">
        <f>YEAR(Tabla3[[#This Row],[Date]])</f>
        <v>2019</v>
      </c>
      <c r="C841" s="1" t="str">
        <f>+TEXT(Tabla3[[#This Row],[Date]],"mmm")</f>
        <v>jun</v>
      </c>
      <c r="D841" s="2">
        <v>1331.90002441406</v>
      </c>
      <c r="E841" s="2">
        <v>1331.90002441406</v>
      </c>
      <c r="F841" s="2">
        <v>1334.5</v>
      </c>
      <c r="G841" s="2">
        <v>1326.90002441406</v>
      </c>
      <c r="H841" s="2">
        <v>1326.90002441406</v>
      </c>
      <c r="I841">
        <v>139</v>
      </c>
      <c r="J841" s="2">
        <f ca="1">IFERROR((Tabla3[[#This Row],[Close]]-OFFSET(Tabla3[[#This Row],[Close]],-1,0))/OFFSET(Tabla3[[#This Row],[Close]],-1,0),"")</f>
        <v>4.1465620467171184E-3</v>
      </c>
      <c r="K841" s="2">
        <f ca="1">IFERROR(AVERAGE(OFFSET(Tabla3[[#This Row],[Close]],-6,0,7)),"")</f>
        <v>1330.4999999999957</v>
      </c>
      <c r="L841" s="2">
        <f ca="1">IFERROR(_xlfn.STDEV.S(OFFSET(Tabla3[[#This Row],[Close]],-29,0,30)),"")</f>
        <v>22.408874390949318</v>
      </c>
    </row>
    <row r="842" spans="1:12" x14ac:dyDescent="0.3">
      <c r="A842" s="1">
        <v>43629</v>
      </c>
      <c r="B842" s="3">
        <f>YEAR(Tabla3[[#This Row],[Date]])</f>
        <v>2019</v>
      </c>
      <c r="C842" s="1" t="str">
        <f>+TEXT(Tabla3[[#This Row],[Date]],"mmm")</f>
        <v>jun</v>
      </c>
      <c r="D842" s="2">
        <v>1339.19995117187</v>
      </c>
      <c r="E842" s="2">
        <v>1339.19995117187</v>
      </c>
      <c r="F842" s="2">
        <v>1341.09997558593</v>
      </c>
      <c r="G842" s="2">
        <v>1331.59997558593</v>
      </c>
      <c r="H842" s="2">
        <v>1331.59997558593</v>
      </c>
      <c r="I842">
        <v>157</v>
      </c>
      <c r="J842" s="2">
        <f ca="1">IFERROR((Tabla3[[#This Row],[Close]]-OFFSET(Tabla3[[#This Row],[Close]],-1,0))/OFFSET(Tabla3[[#This Row],[Close]],-1,0),"")</f>
        <v>5.4808368676330949E-3</v>
      </c>
      <c r="K842" s="2">
        <f ca="1">IFERROR(AVERAGE(OFFSET(Tabla3[[#This Row],[Close]],-6,0,7)),"")</f>
        <v>1332.7571323939685</v>
      </c>
      <c r="L842" s="2">
        <f ca="1">IFERROR(_xlfn.STDEV.S(OFFSET(Tabla3[[#This Row],[Close]],-29,0,30)),"")</f>
        <v>23.59228405092766</v>
      </c>
    </row>
    <row r="843" spans="1:12" x14ac:dyDescent="0.3">
      <c r="A843" s="1">
        <v>43630</v>
      </c>
      <c r="B843" s="3">
        <f>YEAR(Tabla3[[#This Row],[Date]])</f>
        <v>2019</v>
      </c>
      <c r="C843" s="1" t="str">
        <f>+TEXT(Tabla3[[#This Row],[Date]],"mmm")</f>
        <v>jun</v>
      </c>
      <c r="D843" s="2">
        <v>1340.09997558593</v>
      </c>
      <c r="E843" s="2">
        <v>1340.09997558593</v>
      </c>
      <c r="F843" s="2">
        <v>1355.40002441406</v>
      </c>
      <c r="G843" s="2">
        <v>1339.30004882812</v>
      </c>
      <c r="H843" s="2">
        <v>1345.40002441406</v>
      </c>
      <c r="I843">
        <v>914</v>
      </c>
      <c r="J843" s="2">
        <f ca="1">IFERROR((Tabla3[[#This Row],[Close]]-OFFSET(Tabla3[[#This Row],[Close]],-1,0))/OFFSET(Tabla3[[#This Row],[Close]],-1,0),"")</f>
        <v>6.7206126558803296E-4</v>
      </c>
      <c r="K843" s="2">
        <f ca="1">IFERROR(AVERAGE(OFFSET(Tabla3[[#This Row],[Close]],-6,0,7)),"")</f>
        <v>1334.4428362165129</v>
      </c>
      <c r="L843" s="2">
        <f ca="1">IFERROR(_xlfn.STDEV.S(OFFSET(Tabla3[[#This Row],[Close]],-29,0,30)),"")</f>
        <v>24.213826625565076</v>
      </c>
    </row>
    <row r="844" spans="1:12" x14ac:dyDescent="0.3">
      <c r="A844" s="1">
        <v>43633</v>
      </c>
      <c r="B844" s="3">
        <f>YEAR(Tabla3[[#This Row],[Date]])</f>
        <v>2019</v>
      </c>
      <c r="C844" s="1" t="str">
        <f>+TEXT(Tabla3[[#This Row],[Date]],"mmm")</f>
        <v>jun</v>
      </c>
      <c r="D844" s="2">
        <v>1338.69995117187</v>
      </c>
      <c r="E844" s="2">
        <v>1338.69995117187</v>
      </c>
      <c r="F844" s="2">
        <v>1340.30004882812</v>
      </c>
      <c r="G844" s="2">
        <v>1335</v>
      </c>
      <c r="H844" s="2">
        <v>1339</v>
      </c>
      <c r="I844">
        <v>76</v>
      </c>
      <c r="J844" s="2">
        <f ca="1">IFERROR((Tabla3[[#This Row],[Close]]-OFFSET(Tabla3[[#This Row],[Close]],-1,0))/OFFSET(Tabla3[[#This Row],[Close]],-1,0),"")</f>
        <v>-1.0447163939749109E-3</v>
      </c>
      <c r="K844" s="2">
        <f ca="1">IFERROR(AVERAGE(OFFSET(Tabla3[[#This Row],[Close]],-6,0,7)),"")</f>
        <v>1334.5999755859327</v>
      </c>
      <c r="L844" s="2">
        <f ca="1">IFERROR(_xlfn.STDEV.S(OFFSET(Tabla3[[#This Row],[Close]],-29,0,30)),"")</f>
        <v>24.882872415998381</v>
      </c>
    </row>
    <row r="845" spans="1:12" x14ac:dyDescent="0.3">
      <c r="A845" s="1">
        <v>43634</v>
      </c>
      <c r="B845" s="3">
        <f>YEAR(Tabla3[[#This Row],[Date]])</f>
        <v>2019</v>
      </c>
      <c r="C845" s="1" t="str">
        <f>+TEXT(Tabla3[[#This Row],[Date]],"mmm")</f>
        <v>jun</v>
      </c>
      <c r="D845" s="2">
        <v>1346.59997558593</v>
      </c>
      <c r="E845" s="2">
        <v>1346.59997558593</v>
      </c>
      <c r="F845" s="2">
        <v>1349.30004882812</v>
      </c>
      <c r="G845" s="2">
        <v>1341.59997558593</v>
      </c>
      <c r="H845" s="2">
        <v>1349.30004882812</v>
      </c>
      <c r="I845">
        <v>29</v>
      </c>
      <c r="J845" s="2">
        <f ca="1">IFERROR((Tabla3[[#This Row],[Close]]-OFFSET(Tabla3[[#This Row],[Close]],-1,0))/OFFSET(Tabla3[[#This Row],[Close]],-1,0),"")</f>
        <v>5.9012659312824229E-3</v>
      </c>
      <c r="K845" s="2">
        <f ca="1">IFERROR(AVERAGE(OFFSET(Tabla3[[#This Row],[Close]],-6,0,7)),"")</f>
        <v>1335.3714076450844</v>
      </c>
      <c r="L845" s="2">
        <f ca="1">IFERROR(_xlfn.STDEV.S(OFFSET(Tabla3[[#This Row],[Close]],-29,0,30)),"")</f>
        <v>25.864667740880162</v>
      </c>
    </row>
    <row r="846" spans="1:12" x14ac:dyDescent="0.3">
      <c r="A846" s="1">
        <v>43635</v>
      </c>
      <c r="B846" s="3">
        <f>YEAR(Tabla3[[#This Row],[Date]])</f>
        <v>2019</v>
      </c>
      <c r="C846" s="1" t="str">
        <f>+TEXT(Tabla3[[#This Row],[Date]],"mmm")</f>
        <v>jun</v>
      </c>
      <c r="D846" s="2">
        <v>1344.59997558593</v>
      </c>
      <c r="E846" s="2">
        <v>1344.59997558593</v>
      </c>
      <c r="F846" s="2">
        <v>1344.59997558593</v>
      </c>
      <c r="G846" s="2">
        <v>1344</v>
      </c>
      <c r="H846" s="2">
        <v>1344</v>
      </c>
      <c r="I846">
        <v>129</v>
      </c>
      <c r="J846" s="2">
        <f ca="1">IFERROR((Tabla3[[#This Row],[Close]]-OFFSET(Tabla3[[#This Row],[Close]],-1,0))/OFFSET(Tabla3[[#This Row],[Close]],-1,0),"")</f>
        <v>-1.4852220676223938E-3</v>
      </c>
      <c r="K846" s="2">
        <f ca="1">IFERROR(AVERAGE(OFFSET(Tabla3[[#This Row],[Close]],-6,0,7)),"")</f>
        <v>1338.2142682756644</v>
      </c>
      <c r="L846" s="2">
        <f ca="1">IFERROR(_xlfn.STDEV.S(OFFSET(Tabla3[[#This Row],[Close]],-29,0,30)),"")</f>
        <v>26.582272330983237</v>
      </c>
    </row>
    <row r="847" spans="1:12" x14ac:dyDescent="0.3">
      <c r="A847" s="1">
        <v>43636</v>
      </c>
      <c r="B847" s="3">
        <f>YEAR(Tabla3[[#This Row],[Date]])</f>
        <v>2019</v>
      </c>
      <c r="C847" s="1" t="str">
        <f>+TEXT(Tabla3[[#This Row],[Date]],"mmm")</f>
        <v>jun</v>
      </c>
      <c r="D847" s="2">
        <v>1392.90002441406</v>
      </c>
      <c r="E847" s="2">
        <v>1392.90002441406</v>
      </c>
      <c r="F847" s="2">
        <v>1392.90002441406</v>
      </c>
      <c r="G847" s="2">
        <v>1379.5</v>
      </c>
      <c r="H847" s="2">
        <v>1381.5</v>
      </c>
      <c r="I847">
        <v>76</v>
      </c>
      <c r="J847" s="2">
        <f ca="1">IFERROR((Tabla3[[#This Row],[Close]]-OFFSET(Tabla3[[#This Row],[Close]],-1,0))/OFFSET(Tabla3[[#This Row],[Close]],-1,0),"")</f>
        <v>3.5921500598780333E-2</v>
      </c>
      <c r="K847" s="2">
        <f ca="1">IFERROR(AVERAGE(OFFSET(Tabla3[[#This Row],[Close]],-6,0,7)),"")</f>
        <v>1347.7142682756644</v>
      </c>
      <c r="L847" s="2">
        <f ca="1">IFERROR(_xlfn.STDEV.S(OFFSET(Tabla3[[#This Row],[Close]],-29,0,30)),"")</f>
        <v>30.442441320759063</v>
      </c>
    </row>
    <row r="848" spans="1:12" x14ac:dyDescent="0.3">
      <c r="A848" s="1">
        <v>43637</v>
      </c>
      <c r="B848" s="3">
        <f>YEAR(Tabla3[[#This Row],[Date]])</f>
        <v>2019</v>
      </c>
      <c r="C848" s="1" t="str">
        <f>+TEXT(Tabla3[[#This Row],[Date]],"mmm")</f>
        <v>jun</v>
      </c>
      <c r="D848" s="2">
        <v>1396.19995117187</v>
      </c>
      <c r="E848" s="2">
        <v>1396.19995117187</v>
      </c>
      <c r="F848" s="2">
        <v>1406</v>
      </c>
      <c r="G848" s="2">
        <v>1390.30004882812</v>
      </c>
      <c r="H848" s="2">
        <v>1406</v>
      </c>
      <c r="I848">
        <v>35</v>
      </c>
      <c r="J848" s="2">
        <f ca="1">IFERROR((Tabla3[[#This Row],[Close]]-OFFSET(Tabla3[[#This Row],[Close]],-1,0))/OFFSET(Tabla3[[#This Row],[Close]],-1,0),"")</f>
        <v>2.3691052480224865E-3</v>
      </c>
      <c r="K848" s="2">
        <f ca="1">IFERROR(AVERAGE(OFFSET(Tabla3[[#This Row],[Close]],-6,0,7)),"")</f>
        <v>1356.8999720982085</v>
      </c>
      <c r="L848" s="2">
        <f ca="1">IFERROR(_xlfn.STDEV.S(OFFSET(Tabla3[[#This Row],[Close]],-29,0,30)),"")</f>
        <v>33.834467428510798</v>
      </c>
    </row>
    <row r="849" spans="1:12" x14ac:dyDescent="0.3">
      <c r="A849" s="1">
        <v>43640</v>
      </c>
      <c r="B849" s="3">
        <f>YEAR(Tabla3[[#This Row],[Date]])</f>
        <v>2019</v>
      </c>
      <c r="C849" s="1" t="str">
        <f>+TEXT(Tabla3[[#This Row],[Date]],"mmm")</f>
        <v>jun</v>
      </c>
      <c r="D849" s="2">
        <v>1414.30004882812</v>
      </c>
      <c r="E849" s="2">
        <v>1414.30004882812</v>
      </c>
      <c r="F849" s="2">
        <v>1420.59997558593</v>
      </c>
      <c r="G849" s="2">
        <v>1402.09997558593</v>
      </c>
      <c r="H849" s="2">
        <v>1406</v>
      </c>
      <c r="I849">
        <v>125</v>
      </c>
      <c r="J849" s="2">
        <f ca="1">IFERROR((Tabla3[[#This Row],[Close]]-OFFSET(Tabla3[[#This Row],[Close]],-1,0))/OFFSET(Tabla3[[#This Row],[Close]],-1,0),"")</f>
        <v>1.2963829171500886E-2</v>
      </c>
      <c r="K849" s="2">
        <f ca="1">IFERROR(AVERAGE(OFFSET(Tabla3[[#This Row],[Close]],-6,0,7)),"")</f>
        <v>1367.6285574776728</v>
      </c>
      <c r="L849" s="2">
        <f ca="1">IFERROR(_xlfn.STDEV.S(OFFSET(Tabla3[[#This Row],[Close]],-29,0,30)),"")</f>
        <v>38.051448555121887</v>
      </c>
    </row>
    <row r="850" spans="1:12" x14ac:dyDescent="0.3">
      <c r="A850" s="1">
        <v>43641</v>
      </c>
      <c r="B850" s="3">
        <f>YEAR(Tabla3[[#This Row],[Date]])</f>
        <v>2019</v>
      </c>
      <c r="C850" s="1" t="str">
        <f>+TEXT(Tabla3[[#This Row],[Date]],"mmm")</f>
        <v>jun</v>
      </c>
      <c r="D850" s="2">
        <v>1414.90002441406</v>
      </c>
      <c r="E850" s="2">
        <v>1414.90002441406</v>
      </c>
      <c r="F850" s="2">
        <v>1433.30004882812</v>
      </c>
      <c r="G850" s="2">
        <v>1414.90002441406</v>
      </c>
      <c r="H850" s="2">
        <v>1418.09997558593</v>
      </c>
      <c r="I850">
        <v>105</v>
      </c>
      <c r="J850" s="2">
        <f ca="1">IFERROR((Tabla3[[#This Row],[Close]]-OFFSET(Tabla3[[#This Row],[Close]],-1,0))/OFFSET(Tabla3[[#This Row],[Close]],-1,0),"")</f>
        <v>4.2422086207034854E-4</v>
      </c>
      <c r="K850" s="2">
        <f ca="1">IFERROR(AVERAGE(OFFSET(Tabla3[[#This Row],[Close]],-6,0,7)),"")</f>
        <v>1378.3142787388344</v>
      </c>
      <c r="L850" s="2">
        <f ca="1">IFERROR(_xlfn.STDEV.S(OFFSET(Tabla3[[#This Row],[Close]],-29,0,30)),"")</f>
        <v>41.782603160608176</v>
      </c>
    </row>
    <row r="851" spans="1:12" x14ac:dyDescent="0.3">
      <c r="A851" s="1">
        <v>43642</v>
      </c>
      <c r="B851" s="3">
        <f>YEAR(Tabla3[[#This Row],[Date]])</f>
        <v>2019</v>
      </c>
      <c r="C851" s="1" t="str">
        <f>+TEXT(Tabla3[[#This Row],[Date]],"mmm")</f>
        <v>jun</v>
      </c>
      <c r="D851" s="2">
        <v>1411.59997558593</v>
      </c>
      <c r="E851" s="2">
        <v>1411.59997558593</v>
      </c>
      <c r="F851" s="2">
        <v>1413.30004882812</v>
      </c>
      <c r="G851" s="2">
        <v>1405.80004882812</v>
      </c>
      <c r="H851" s="2">
        <v>1407.19995117187</v>
      </c>
      <c r="I851">
        <v>1333</v>
      </c>
      <c r="J851" s="2">
        <f ca="1">IFERROR((Tabla3[[#This Row],[Close]]-OFFSET(Tabla3[[#This Row],[Close]],-1,0))/OFFSET(Tabla3[[#This Row],[Close]],-1,0),"")</f>
        <v>-2.3323547750284494E-3</v>
      </c>
      <c r="K851" s="2">
        <f ca="1">IFERROR(AVERAGE(OFFSET(Tabla3[[#This Row],[Close]],-6,0,7)),"")</f>
        <v>1388.728567940843</v>
      </c>
      <c r="L851" s="2">
        <f ca="1">IFERROR(_xlfn.STDEV.S(OFFSET(Tabla3[[#This Row],[Close]],-29,0,30)),"")</f>
        <v>44.529817076423925</v>
      </c>
    </row>
    <row r="852" spans="1:12" x14ac:dyDescent="0.3">
      <c r="A852" s="1">
        <v>43643</v>
      </c>
      <c r="B852" s="3">
        <f>YEAR(Tabla3[[#This Row],[Date]])</f>
        <v>2019</v>
      </c>
      <c r="C852" s="1" t="str">
        <f>+TEXT(Tabla3[[#This Row],[Date]],"mmm")</f>
        <v>jun</v>
      </c>
      <c r="D852" s="2">
        <v>1408.40002441406</v>
      </c>
      <c r="E852" s="2">
        <v>1408.40002441406</v>
      </c>
      <c r="F852" s="2">
        <v>1410.80004882812</v>
      </c>
      <c r="G852" s="2">
        <v>1399.80004882812</v>
      </c>
      <c r="H852" s="2">
        <v>1407</v>
      </c>
      <c r="I852">
        <v>437</v>
      </c>
      <c r="J852" s="2">
        <f ca="1">IFERROR((Tabla3[[#This Row],[Close]]-OFFSET(Tabla3[[#This Row],[Close]],-1,0))/OFFSET(Tabla3[[#This Row],[Close]],-1,0),"")</f>
        <v>-2.2668965905456007E-3</v>
      </c>
      <c r="K852" s="2">
        <f ca="1">IFERROR(AVERAGE(OFFSET(Tabla3[[#This Row],[Close]],-6,0,7)),"")</f>
        <v>1397.5571463448614</v>
      </c>
      <c r="L852" s="2">
        <f ca="1">IFERROR(_xlfn.STDEV.S(OFFSET(Tabla3[[#This Row],[Close]],-29,0,30)),"")</f>
        <v>46.632562562286502</v>
      </c>
    </row>
    <row r="853" spans="1:12" x14ac:dyDescent="0.3">
      <c r="A853" s="1">
        <v>43644</v>
      </c>
      <c r="B853" s="3">
        <f>YEAR(Tabla3[[#This Row],[Date]])</f>
        <v>2019</v>
      </c>
      <c r="C853" s="1" t="str">
        <f>+TEXT(Tabla3[[#This Row],[Date]],"mmm")</f>
        <v>jun</v>
      </c>
      <c r="D853" s="2">
        <v>1409.69995117187</v>
      </c>
      <c r="E853" s="2">
        <v>1409.69995117187</v>
      </c>
      <c r="F853" s="2">
        <v>1422</v>
      </c>
      <c r="G853" s="2">
        <v>1408.30004882812</v>
      </c>
      <c r="H853" s="2">
        <v>1408.30004882812</v>
      </c>
      <c r="I853">
        <v>356</v>
      </c>
      <c r="J853" s="2">
        <f ca="1">IFERROR((Tabla3[[#This Row],[Close]]-OFFSET(Tabla3[[#This Row],[Close]],-1,0))/OFFSET(Tabla3[[#This Row],[Close]],-1,0),"")</f>
        <v>9.2298120936969629E-4</v>
      </c>
      <c r="K853" s="2">
        <f ca="1">IFERROR(AVERAGE(OFFSET(Tabla3[[#This Row],[Close]],-6,0,7)),"")</f>
        <v>1406.8571428571383</v>
      </c>
      <c r="L853" s="2">
        <f ca="1">IFERROR(_xlfn.STDEV.S(OFFSET(Tabla3[[#This Row],[Close]],-29,0,30)),"")</f>
        <v>48.071731302839197</v>
      </c>
    </row>
    <row r="854" spans="1:12" x14ac:dyDescent="0.3">
      <c r="A854" s="1">
        <v>43647</v>
      </c>
      <c r="B854" s="3">
        <f>YEAR(Tabla3[[#This Row],[Date]])</f>
        <v>2019</v>
      </c>
      <c r="C854" s="1" t="str">
        <f>+TEXT(Tabla3[[#This Row],[Date]],"mmm")</f>
        <v>jul</v>
      </c>
      <c r="D854" s="2">
        <v>1385.59997558593</v>
      </c>
      <c r="E854" s="2">
        <v>1385.59997558593</v>
      </c>
      <c r="F854" s="2">
        <v>1395.80004882812</v>
      </c>
      <c r="G854" s="2">
        <v>1382.80004882812</v>
      </c>
      <c r="H854" s="2">
        <v>1386.59997558593</v>
      </c>
      <c r="I854">
        <v>214</v>
      </c>
      <c r="J854" s="2">
        <f ca="1">IFERROR((Tabla3[[#This Row],[Close]]-OFFSET(Tabla3[[#This Row],[Close]],-1,0))/OFFSET(Tabla3[[#This Row],[Close]],-1,0),"")</f>
        <v>-1.7095819267004955E-2</v>
      </c>
      <c r="K854" s="2">
        <f ca="1">IFERROR(AVERAGE(OFFSET(Tabla3[[#This Row],[Close]],-6,0,7)),"")</f>
        <v>1405.8142787388344</v>
      </c>
      <c r="L854" s="2">
        <f ca="1">IFERROR(_xlfn.STDEV.S(OFFSET(Tabla3[[#This Row],[Close]],-29,0,30)),"")</f>
        <v>47.640913342100035</v>
      </c>
    </row>
    <row r="855" spans="1:12" x14ac:dyDescent="0.3">
      <c r="A855" s="1">
        <v>43648</v>
      </c>
      <c r="B855" s="3">
        <f>YEAR(Tabla3[[#This Row],[Date]])</f>
        <v>2019</v>
      </c>
      <c r="C855" s="1" t="str">
        <f>+TEXT(Tabla3[[#This Row],[Date]],"mmm")</f>
        <v>jul</v>
      </c>
      <c r="D855" s="2">
        <v>1404.59997558593</v>
      </c>
      <c r="E855" s="2">
        <v>1404.59997558593</v>
      </c>
      <c r="F855" s="2">
        <v>1418.40002441406</v>
      </c>
      <c r="G855" s="2">
        <v>1390.80004882812</v>
      </c>
      <c r="H855" s="2">
        <v>1391.09997558593</v>
      </c>
      <c r="I855">
        <v>38</v>
      </c>
      <c r="J855" s="2">
        <f ca="1">IFERROR((Tabla3[[#This Row],[Close]]-OFFSET(Tabla3[[#This Row],[Close]],-1,0))/OFFSET(Tabla3[[#This Row],[Close]],-1,0),"")</f>
        <v>1.371247137325147E-2</v>
      </c>
      <c r="K855" s="2">
        <f ca="1">IFERROR(AVERAGE(OFFSET(Tabla3[[#This Row],[Close]],-6,0,7)),"")</f>
        <v>1407.0142822265573</v>
      </c>
      <c r="L855" s="2">
        <f ca="1">IFERROR(_xlfn.STDEV.S(OFFSET(Tabla3[[#This Row],[Close]],-29,0,30)),"")</f>
        <v>47.726867628445511</v>
      </c>
    </row>
    <row r="856" spans="1:12" x14ac:dyDescent="0.3">
      <c r="A856" s="1">
        <v>43649</v>
      </c>
      <c r="B856" s="3">
        <f>YEAR(Tabla3[[#This Row],[Date]])</f>
        <v>2019</v>
      </c>
      <c r="C856" s="1" t="str">
        <f>+TEXT(Tabla3[[#This Row],[Date]],"mmm")</f>
        <v>jul</v>
      </c>
      <c r="D856" s="2">
        <v>1417.69995117187</v>
      </c>
      <c r="E856" s="2">
        <v>1417.69995117187</v>
      </c>
      <c r="F856" s="2">
        <v>1434</v>
      </c>
      <c r="G856" s="2">
        <v>1413.09997558593</v>
      </c>
      <c r="H856" s="2">
        <v>1431</v>
      </c>
      <c r="I856">
        <v>46</v>
      </c>
      <c r="J856" s="2">
        <f ca="1">IFERROR((Tabla3[[#This Row],[Close]]-OFFSET(Tabla3[[#This Row],[Close]],-1,0))/OFFSET(Tabla3[[#This Row],[Close]],-1,0),"")</f>
        <v>9.3264814279064301E-3</v>
      </c>
      <c r="K856" s="2">
        <f ca="1">IFERROR(AVERAGE(OFFSET(Tabla3[[#This Row],[Close]],-6,0,7)),"")</f>
        <v>1407.4999825613784</v>
      </c>
      <c r="L856" s="2">
        <f ca="1">IFERROR(_xlfn.STDEV.S(OFFSET(Tabla3[[#This Row],[Close]],-29,0,30)),"")</f>
        <v>47.816785873135402</v>
      </c>
    </row>
    <row r="857" spans="1:12" x14ac:dyDescent="0.3">
      <c r="A857" s="1">
        <v>43651</v>
      </c>
      <c r="B857" s="3">
        <f>YEAR(Tabla3[[#This Row],[Date]])</f>
        <v>2019</v>
      </c>
      <c r="C857" s="1" t="str">
        <f>+TEXT(Tabla3[[#This Row],[Date]],"mmm")</f>
        <v>jul</v>
      </c>
      <c r="D857" s="2">
        <v>1396.69995117187</v>
      </c>
      <c r="E857" s="2">
        <v>1396.69995117187</v>
      </c>
      <c r="F857" s="2">
        <v>1418.30004882812</v>
      </c>
      <c r="G857" s="2">
        <v>1390.19995117187</v>
      </c>
      <c r="H857" s="2">
        <v>1418.30004882812</v>
      </c>
      <c r="I857">
        <v>20</v>
      </c>
      <c r="J857" s="2">
        <f ca="1">IFERROR((Tabla3[[#This Row],[Close]]-OFFSET(Tabla3[[#This Row],[Close]],-1,0))/OFFSET(Tabla3[[#This Row],[Close]],-1,0),"")</f>
        <v>-1.4812725346178796E-2</v>
      </c>
      <c r="K857" s="2">
        <f ca="1">IFERROR(AVERAGE(OFFSET(Tabla3[[#This Row],[Close]],-6,0,7)),"")</f>
        <v>1404.8999720982085</v>
      </c>
      <c r="L857" s="2">
        <f ca="1">IFERROR(_xlfn.STDEV.S(OFFSET(Tabla3[[#This Row],[Close]],-29,0,30)),"")</f>
        <v>46.618881946710829</v>
      </c>
    </row>
    <row r="858" spans="1:12" x14ac:dyDescent="0.3">
      <c r="A858" s="1">
        <v>43654</v>
      </c>
      <c r="B858" s="3">
        <f>YEAR(Tabla3[[#This Row],[Date]])</f>
        <v>2019</v>
      </c>
      <c r="C858" s="1" t="str">
        <f>+TEXT(Tabla3[[#This Row],[Date]],"mmm")</f>
        <v>jul</v>
      </c>
      <c r="D858" s="2">
        <v>1397</v>
      </c>
      <c r="E858" s="2">
        <v>1397</v>
      </c>
      <c r="F858" s="2">
        <v>1397</v>
      </c>
      <c r="G858" s="2">
        <v>1393.59997558593</v>
      </c>
      <c r="H858" s="2">
        <v>1395.90002441406</v>
      </c>
      <c r="I858">
        <v>14</v>
      </c>
      <c r="J858" s="2">
        <f ca="1">IFERROR((Tabla3[[#This Row],[Close]]-OFFSET(Tabla3[[#This Row],[Close]],-1,0))/OFFSET(Tabla3[[#This Row],[Close]],-1,0),"")</f>
        <v>2.1482697688809463E-4</v>
      </c>
      <c r="K858" s="2">
        <f ca="1">IFERROR(AVERAGE(OFFSET(Tabla3[[#This Row],[Close]],-6,0,7)),"")</f>
        <v>1402.8142613002185</v>
      </c>
      <c r="L858" s="2">
        <f ca="1">IFERROR(_xlfn.STDEV.S(OFFSET(Tabla3[[#This Row],[Close]],-29,0,30)),"")</f>
        <v>45.654792256202789</v>
      </c>
    </row>
    <row r="859" spans="1:12" x14ac:dyDescent="0.3">
      <c r="A859" s="1">
        <v>43655</v>
      </c>
      <c r="B859" s="3">
        <f>YEAR(Tabla3[[#This Row],[Date]])</f>
        <v>2019</v>
      </c>
      <c r="C859" s="1" t="str">
        <f>+TEXT(Tabla3[[#This Row],[Date]],"mmm")</f>
        <v>jul</v>
      </c>
      <c r="D859" s="2">
        <v>1397.5</v>
      </c>
      <c r="E859" s="2">
        <v>1397.5</v>
      </c>
      <c r="F859" s="2">
        <v>1397.5</v>
      </c>
      <c r="G859" s="2">
        <v>1386.19995117187</v>
      </c>
      <c r="H859" s="2">
        <v>1394.5</v>
      </c>
      <c r="I859">
        <v>53</v>
      </c>
      <c r="J859" s="2">
        <f ca="1">IFERROR((Tabla3[[#This Row],[Close]]-OFFSET(Tabla3[[#This Row],[Close]],-1,0))/OFFSET(Tabla3[[#This Row],[Close]],-1,0),"")</f>
        <v>3.5790980672870435E-4</v>
      </c>
      <c r="K859" s="2">
        <f ca="1">IFERROR(AVERAGE(OFFSET(Tabla3[[#This Row],[Close]],-6,0,7)),"")</f>
        <v>1401.2571149553528</v>
      </c>
      <c r="L859" s="2">
        <f ca="1">IFERROR(_xlfn.STDEV.S(OFFSET(Tabla3[[#This Row],[Close]],-29,0,30)),"")</f>
        <v>44.256158510919455</v>
      </c>
    </row>
    <row r="860" spans="1:12" x14ac:dyDescent="0.3">
      <c r="A860" s="1">
        <v>43656</v>
      </c>
      <c r="B860" s="3">
        <f>YEAR(Tabla3[[#This Row],[Date]])</f>
        <v>2019</v>
      </c>
      <c r="C860" s="1" t="str">
        <f>+TEXT(Tabla3[[#This Row],[Date]],"mmm")</f>
        <v>jul</v>
      </c>
      <c r="D860" s="2">
        <v>1410.09997558593</v>
      </c>
      <c r="E860" s="2">
        <v>1410.09997558593</v>
      </c>
      <c r="F860" s="2">
        <v>1410.09997558593</v>
      </c>
      <c r="G860" s="2">
        <v>1409.90002441406</v>
      </c>
      <c r="H860" s="2">
        <v>1409.90002441406</v>
      </c>
      <c r="I860">
        <v>50</v>
      </c>
      <c r="J860" s="2">
        <f ca="1">IFERROR((Tabla3[[#This Row],[Close]]-OFFSET(Tabla3[[#This Row],[Close]],-1,0))/OFFSET(Tabla3[[#This Row],[Close]],-1,0),"")</f>
        <v>9.0160827090733434E-3</v>
      </c>
      <c r="K860" s="2">
        <f ca="1">IFERROR(AVERAGE(OFFSET(Tabla3[[#This Row],[Close]],-6,0,7)),"")</f>
        <v>1401.3142613002185</v>
      </c>
      <c r="L860" s="2">
        <f ca="1">IFERROR(_xlfn.STDEV.S(OFFSET(Tabla3[[#This Row],[Close]],-29,0,30)),"")</f>
        <v>42.448568619487212</v>
      </c>
    </row>
    <row r="861" spans="1:12" x14ac:dyDescent="0.3">
      <c r="A861" s="1">
        <v>43657</v>
      </c>
      <c r="B861" s="3">
        <f>YEAR(Tabla3[[#This Row],[Date]])</f>
        <v>2019</v>
      </c>
      <c r="C861" s="1" t="str">
        <f>+TEXT(Tabla3[[#This Row],[Date]],"mmm")</f>
        <v>jul</v>
      </c>
      <c r="D861" s="2">
        <v>1404.30004882812</v>
      </c>
      <c r="E861" s="2">
        <v>1404.30004882812</v>
      </c>
      <c r="F861" s="2">
        <v>1424</v>
      </c>
      <c r="G861" s="2">
        <v>1404.30004882812</v>
      </c>
      <c r="H861" s="2">
        <v>1424</v>
      </c>
      <c r="I861">
        <v>6</v>
      </c>
      <c r="J861" s="2">
        <f ca="1">IFERROR((Tabla3[[#This Row],[Close]]-OFFSET(Tabla3[[#This Row],[Close]],-1,0))/OFFSET(Tabla3[[#This Row],[Close]],-1,0),"")</f>
        <v>-4.1131315922475582E-3</v>
      </c>
      <c r="K861" s="2">
        <f ca="1">IFERROR(AVERAGE(OFFSET(Tabla3[[#This Row],[Close]],-6,0,7)),"")</f>
        <v>1403.985700334817</v>
      </c>
      <c r="L861" s="2">
        <f ca="1">IFERROR(_xlfn.STDEV.S(OFFSET(Tabla3[[#This Row],[Close]],-29,0,30)),"")</f>
        <v>40.161335577539099</v>
      </c>
    </row>
    <row r="862" spans="1:12" x14ac:dyDescent="0.3">
      <c r="A862" s="1">
        <v>43658</v>
      </c>
      <c r="B862" s="3">
        <f>YEAR(Tabla3[[#This Row],[Date]])</f>
        <v>2019</v>
      </c>
      <c r="C862" s="1" t="str">
        <f>+TEXT(Tabla3[[#This Row],[Date]],"mmm")</f>
        <v>jul</v>
      </c>
      <c r="D862" s="2">
        <v>1409.90002441406</v>
      </c>
      <c r="E862" s="2">
        <v>1409.90002441406</v>
      </c>
      <c r="F862" s="2">
        <v>1410.09997558593</v>
      </c>
      <c r="G862" s="2">
        <v>1405.59997558593</v>
      </c>
      <c r="H862" s="2">
        <v>1405.59997558593</v>
      </c>
      <c r="I862">
        <v>8</v>
      </c>
      <c r="J862" s="2">
        <f ca="1">IFERROR((Tabla3[[#This Row],[Close]]-OFFSET(Tabla3[[#This Row],[Close]],-1,0))/OFFSET(Tabla3[[#This Row],[Close]],-1,0),"")</f>
        <v>3.9877343809915462E-3</v>
      </c>
      <c r="K862" s="2">
        <f ca="1">IFERROR(AVERAGE(OFFSET(Tabla3[[#This Row],[Close]],-6,0,7)),"")</f>
        <v>1404.7428501674074</v>
      </c>
      <c r="L862" s="2">
        <f ca="1">IFERROR(_xlfn.STDEV.S(OFFSET(Tabla3[[#This Row],[Close]],-29,0,30)),"")</f>
        <v>37.971085404726104</v>
      </c>
    </row>
    <row r="863" spans="1:12" x14ac:dyDescent="0.3">
      <c r="A863" s="1">
        <v>43661</v>
      </c>
      <c r="B863" s="3">
        <f>YEAR(Tabla3[[#This Row],[Date]])</f>
        <v>2019</v>
      </c>
      <c r="C863" s="1" t="str">
        <f>+TEXT(Tabla3[[#This Row],[Date]],"mmm")</f>
        <v>jul</v>
      </c>
      <c r="D863" s="2">
        <v>1411.40002441406</v>
      </c>
      <c r="E863" s="2">
        <v>1411.40002441406</v>
      </c>
      <c r="F863" s="2">
        <v>1415</v>
      </c>
      <c r="G863" s="2">
        <v>1411.40002441406</v>
      </c>
      <c r="H863" s="2">
        <v>1414.40002441406</v>
      </c>
      <c r="I863">
        <v>25</v>
      </c>
      <c r="J863" s="2">
        <f ca="1">IFERROR((Tabla3[[#This Row],[Close]]-OFFSET(Tabla3[[#This Row],[Close]],-1,0))/OFFSET(Tabla3[[#This Row],[Close]],-1,0),"")</f>
        <v>1.0639052230837322E-3</v>
      </c>
      <c r="K863" s="2">
        <f ca="1">IFERROR(AVERAGE(OFFSET(Tabla3[[#This Row],[Close]],-6,0,7)),"")</f>
        <v>1403.8428606305772</v>
      </c>
      <c r="L863" s="2">
        <f ca="1">IFERROR(_xlfn.STDEV.S(OFFSET(Tabla3[[#This Row],[Close]],-29,0,30)),"")</f>
        <v>36.612514756886853</v>
      </c>
    </row>
    <row r="864" spans="1:12" x14ac:dyDescent="0.3">
      <c r="A864" s="1">
        <v>43662</v>
      </c>
      <c r="B864" s="3">
        <f>YEAR(Tabla3[[#This Row],[Date]])</f>
        <v>2019</v>
      </c>
      <c r="C864" s="1" t="str">
        <f>+TEXT(Tabla3[[#This Row],[Date]],"mmm")</f>
        <v>jul</v>
      </c>
      <c r="D864" s="2">
        <v>1409.19995117187</v>
      </c>
      <c r="E864" s="2">
        <v>1409.19995117187</v>
      </c>
      <c r="F864" s="2">
        <v>1413.69995117187</v>
      </c>
      <c r="G864" s="2">
        <v>1405</v>
      </c>
      <c r="H864" s="2">
        <v>1413.59997558593</v>
      </c>
      <c r="I864">
        <v>13</v>
      </c>
      <c r="J864" s="2">
        <f ca="1">IFERROR((Tabla3[[#This Row],[Close]]-OFFSET(Tabla3[[#This Row],[Close]],-1,0))/OFFSET(Tabla3[[#This Row],[Close]],-1,0),"")</f>
        <v>-1.5587878731285678E-3</v>
      </c>
      <c r="K864" s="2">
        <f ca="1">IFERROR(AVERAGE(OFFSET(Tabla3[[#This Row],[Close]],-6,0,7)),"")</f>
        <v>1405.6285749162912</v>
      </c>
      <c r="L864" s="2">
        <f ca="1">IFERROR(_xlfn.STDEV.S(OFFSET(Tabla3[[#This Row],[Close]],-29,0,30)),"")</f>
        <v>35.808137733386381</v>
      </c>
    </row>
    <row r="865" spans="1:12" x14ac:dyDescent="0.3">
      <c r="A865" s="1">
        <v>43663</v>
      </c>
      <c r="B865" s="3">
        <f>YEAR(Tabla3[[#This Row],[Date]])</f>
        <v>2019</v>
      </c>
      <c r="C865" s="1" t="str">
        <f>+TEXT(Tabla3[[#This Row],[Date]],"mmm")</f>
        <v>jul</v>
      </c>
      <c r="D865" s="2">
        <v>1421.30004882812</v>
      </c>
      <c r="E865" s="2">
        <v>1421.30004882812</v>
      </c>
      <c r="F865" s="2">
        <v>1421.30004882812</v>
      </c>
      <c r="G865" s="2">
        <v>1404.59997558593</v>
      </c>
      <c r="H865" s="2">
        <v>1404.59997558593</v>
      </c>
      <c r="I865">
        <v>6</v>
      </c>
      <c r="J865" s="2">
        <f ca="1">IFERROR((Tabla3[[#This Row],[Close]]-OFFSET(Tabla3[[#This Row],[Close]],-1,0))/OFFSET(Tabla3[[#This Row],[Close]],-1,0),"")</f>
        <v>8.5865016147550505E-3</v>
      </c>
      <c r="K865" s="2">
        <f ca="1">IFERROR(AVERAGE(OFFSET(Tabla3[[#This Row],[Close]],-6,0,7)),"")</f>
        <v>1409.1000104631655</v>
      </c>
      <c r="L865" s="2">
        <f ca="1">IFERROR(_xlfn.STDEV.S(OFFSET(Tabla3[[#This Row],[Close]],-29,0,30)),"")</f>
        <v>35.195925573298709</v>
      </c>
    </row>
    <row r="866" spans="1:12" x14ac:dyDescent="0.3">
      <c r="A866" s="1">
        <v>43664</v>
      </c>
      <c r="B866" s="3">
        <f>YEAR(Tabla3[[#This Row],[Date]])</f>
        <v>2019</v>
      </c>
      <c r="C866" s="1" t="str">
        <f>+TEXT(Tabla3[[#This Row],[Date]],"mmm")</f>
        <v>jul</v>
      </c>
      <c r="D866" s="2">
        <v>1426.09997558593</v>
      </c>
      <c r="E866" s="2">
        <v>1426.09997558593</v>
      </c>
      <c r="F866" s="2">
        <v>1444.19995117187</v>
      </c>
      <c r="G866" s="2">
        <v>1419.5</v>
      </c>
      <c r="H866" s="2">
        <v>1422.30004882812</v>
      </c>
      <c r="I866">
        <v>66</v>
      </c>
      <c r="J866" s="2">
        <f ca="1">IFERROR((Tabla3[[#This Row],[Close]]-OFFSET(Tabla3[[#This Row],[Close]],-1,0))/OFFSET(Tabla3[[#This Row],[Close]],-1,0),"")</f>
        <v>3.3771382487234837E-3</v>
      </c>
      <c r="K866" s="2">
        <f ca="1">IFERROR(AVERAGE(OFFSET(Tabla3[[#This Row],[Close]],-6,0,7)),"")</f>
        <v>1413.1857212611555</v>
      </c>
      <c r="L866" s="2">
        <f ca="1">IFERROR(_xlfn.STDEV.S(OFFSET(Tabla3[[#This Row],[Close]],-29,0,30)),"")</f>
        <v>34.728100129613502</v>
      </c>
    </row>
    <row r="867" spans="1:12" x14ac:dyDescent="0.3">
      <c r="A867" s="1">
        <v>43665</v>
      </c>
      <c r="B867" s="3">
        <f>YEAR(Tabla3[[#This Row],[Date]])</f>
        <v>2019</v>
      </c>
      <c r="C867" s="1" t="str">
        <f>+TEXT(Tabla3[[#This Row],[Date]],"mmm")</f>
        <v>jul</v>
      </c>
      <c r="D867" s="2">
        <v>1425.09997558593</v>
      </c>
      <c r="E867" s="2">
        <v>1425.09997558593</v>
      </c>
      <c r="F867" s="2">
        <v>1442</v>
      </c>
      <c r="G867" s="2">
        <v>1425.09997558593</v>
      </c>
      <c r="H867" s="2">
        <v>1440.5</v>
      </c>
      <c r="I867">
        <v>22</v>
      </c>
      <c r="J867" s="2">
        <f ca="1">IFERROR((Tabla3[[#This Row],[Close]]-OFFSET(Tabla3[[#This Row],[Close]],-1,0))/OFFSET(Tabla3[[#This Row],[Close]],-1,0),"")</f>
        <v>-7.0121311066507672E-4</v>
      </c>
      <c r="K867" s="2">
        <f ca="1">IFERROR(AVERAGE(OFFSET(Tabla3[[#This Row],[Close]],-6,0,7)),"")</f>
        <v>1415.3285784040129</v>
      </c>
      <c r="L867" s="2">
        <f ca="1">IFERROR(_xlfn.STDEV.S(OFFSET(Tabla3[[#This Row],[Close]],-29,0,30)),"")</f>
        <v>34.397386933523627</v>
      </c>
    </row>
    <row r="868" spans="1:12" x14ac:dyDescent="0.3">
      <c r="A868" s="1">
        <v>43668</v>
      </c>
      <c r="B868" s="3">
        <f>YEAR(Tabla3[[#This Row],[Date]])</f>
        <v>2019</v>
      </c>
      <c r="C868" s="1" t="str">
        <f>+TEXT(Tabla3[[#This Row],[Date]],"mmm")</f>
        <v>jul</v>
      </c>
      <c r="D868" s="2">
        <v>1425.30004882812</v>
      </c>
      <c r="E868" s="2">
        <v>1425.30004882812</v>
      </c>
      <c r="F868" s="2">
        <v>1425.30004882812</v>
      </c>
      <c r="G868" s="2">
        <v>1424</v>
      </c>
      <c r="H868" s="2">
        <v>1425.30004882812</v>
      </c>
      <c r="I868">
        <v>1</v>
      </c>
      <c r="J868" s="2">
        <f ca="1">IFERROR((Tabla3[[#This Row],[Close]]-OFFSET(Tabla3[[#This Row],[Close]],-1,0))/OFFSET(Tabla3[[#This Row],[Close]],-1,0),"")</f>
        <v>1.4039242552631506E-4</v>
      </c>
      <c r="K868" s="2">
        <f ca="1">IFERROR(AVERAGE(OFFSET(Tabla3[[#This Row],[Close]],-6,0,7)),"")</f>
        <v>1418.3285784040129</v>
      </c>
      <c r="L868" s="2">
        <f ca="1">IFERROR(_xlfn.STDEV.S(OFFSET(Tabla3[[#This Row],[Close]],-29,0,30)),"")</f>
        <v>33.994704281436</v>
      </c>
    </row>
    <row r="869" spans="1:12" x14ac:dyDescent="0.3">
      <c r="A869" s="1">
        <v>43669</v>
      </c>
      <c r="B869" s="3">
        <f>YEAR(Tabla3[[#This Row],[Date]])</f>
        <v>2019</v>
      </c>
      <c r="C869" s="1" t="str">
        <f>+TEXT(Tabla3[[#This Row],[Date]],"mmm")</f>
        <v>jul</v>
      </c>
      <c r="D869" s="2">
        <v>1420.09997558593</v>
      </c>
      <c r="E869" s="2">
        <v>1420.09997558593</v>
      </c>
      <c r="F869" s="2">
        <v>1421.30004882812</v>
      </c>
      <c r="G869" s="2">
        <v>1416.30004882812</v>
      </c>
      <c r="H869" s="2">
        <v>1418.59997558593</v>
      </c>
      <c r="I869">
        <v>5</v>
      </c>
      <c r="J869" s="2">
        <f ca="1">IFERROR((Tabla3[[#This Row],[Close]]-OFFSET(Tabla3[[#This Row],[Close]],-1,0))/OFFSET(Tabla3[[#This Row],[Close]],-1,0),"")</f>
        <v>-3.6484059945591772E-3</v>
      </c>
      <c r="K869" s="2">
        <f ca="1">IFERROR(AVERAGE(OFFSET(Tabla3[[#This Row],[Close]],-6,0,7)),"")</f>
        <v>1419.7857142857085</v>
      </c>
      <c r="L869" s="2">
        <f ca="1">IFERROR(_xlfn.STDEV.S(OFFSET(Tabla3[[#This Row],[Close]],-29,0,30)),"")</f>
        <v>32.145455642987358</v>
      </c>
    </row>
    <row r="870" spans="1:12" x14ac:dyDescent="0.3">
      <c r="A870" s="1">
        <v>43670</v>
      </c>
      <c r="B870" s="3">
        <f>YEAR(Tabla3[[#This Row],[Date]])</f>
        <v>2019</v>
      </c>
      <c r="C870" s="1" t="str">
        <f>+TEXT(Tabla3[[#This Row],[Date]],"mmm")</f>
        <v>jul</v>
      </c>
      <c r="D870" s="2">
        <v>1422.80004882812</v>
      </c>
      <c r="E870" s="2">
        <v>1422.80004882812</v>
      </c>
      <c r="F870" s="2">
        <v>1422.80004882812</v>
      </c>
      <c r="G870" s="2">
        <v>1422.80004882812</v>
      </c>
      <c r="H870" s="2">
        <v>1422.80004882812</v>
      </c>
      <c r="I870">
        <v>20</v>
      </c>
      <c r="J870" s="2">
        <f ca="1">IFERROR((Tabla3[[#This Row],[Close]]-OFFSET(Tabla3[[#This Row],[Close]],-1,0))/OFFSET(Tabla3[[#This Row],[Close]],-1,0),"")</f>
        <v>1.9013261661918958E-3</v>
      </c>
      <c r="K870" s="2">
        <f ca="1">IFERROR(AVERAGE(OFFSET(Tabla3[[#This Row],[Close]],-6,0,7)),"")</f>
        <v>1421.4142892020029</v>
      </c>
      <c r="L870" s="2">
        <f ca="1">IFERROR(_xlfn.STDEV.S(OFFSET(Tabla3[[#This Row],[Close]],-29,0,30)),"")</f>
        <v>30.051838741642808</v>
      </c>
    </row>
    <row r="871" spans="1:12" x14ac:dyDescent="0.3">
      <c r="A871" s="1">
        <v>43671</v>
      </c>
      <c r="B871" s="3">
        <f>YEAR(Tabla3[[#This Row],[Date]])</f>
        <v>2019</v>
      </c>
      <c r="C871" s="1" t="str">
        <f>+TEXT(Tabla3[[#This Row],[Date]],"mmm")</f>
        <v>jul</v>
      </c>
      <c r="D871" s="2">
        <v>1413.90002441406</v>
      </c>
      <c r="E871" s="2">
        <v>1413.90002441406</v>
      </c>
      <c r="F871" s="2">
        <v>1413.90002441406</v>
      </c>
      <c r="G871" s="2">
        <v>1413.90002441406</v>
      </c>
      <c r="H871" s="2">
        <v>1413.90002441406</v>
      </c>
      <c r="I871">
        <v>4</v>
      </c>
      <c r="J871" s="2">
        <f ca="1">IFERROR((Tabla3[[#This Row],[Close]]-OFFSET(Tabla3[[#This Row],[Close]],-1,0))/OFFSET(Tabla3[[#This Row],[Close]],-1,0),"")</f>
        <v>-6.2552882405299652E-3</v>
      </c>
      <c r="K871" s="2">
        <f ca="1">IFERROR(AVERAGE(OFFSET(Tabla3[[#This Row],[Close]],-6,0,7)),"")</f>
        <v>1422.0857282366014</v>
      </c>
      <c r="L871" s="2">
        <f ca="1">IFERROR(_xlfn.STDEV.S(OFFSET(Tabla3[[#This Row],[Close]],-29,0,30)),"")</f>
        <v>27.675236293089867</v>
      </c>
    </row>
    <row r="872" spans="1:12" x14ac:dyDescent="0.3">
      <c r="A872" s="1">
        <v>43672</v>
      </c>
      <c r="B872" s="3">
        <f>YEAR(Tabla3[[#This Row],[Date]])</f>
        <v>2019</v>
      </c>
      <c r="C872" s="1" t="str">
        <f>+TEXT(Tabla3[[#This Row],[Date]],"mmm")</f>
        <v>jul</v>
      </c>
      <c r="D872" s="2">
        <v>1418.5</v>
      </c>
      <c r="E872" s="2">
        <v>1418.5</v>
      </c>
      <c r="F872" s="2">
        <v>1423</v>
      </c>
      <c r="G872" s="2">
        <v>1418.5</v>
      </c>
      <c r="H872" s="2">
        <v>1422.80004882812</v>
      </c>
      <c r="I872">
        <v>5</v>
      </c>
      <c r="J872" s="2">
        <f ca="1">IFERROR((Tabla3[[#This Row],[Close]]-OFFSET(Tabla3[[#This Row],[Close]],-1,0))/OFFSET(Tabla3[[#This Row],[Close]],-1,0),"")</f>
        <v>3.25339522350337E-3</v>
      </c>
      <c r="K872" s="2">
        <f ca="1">IFERROR(AVERAGE(OFFSET(Tabla3[[#This Row],[Close]],-6,0,7)),"")</f>
        <v>1421.6857212611558</v>
      </c>
      <c r="L872" s="2">
        <f ca="1">IFERROR(_xlfn.STDEV.S(OFFSET(Tabla3[[#This Row],[Close]],-29,0,30)),"")</f>
        <v>25.516256972422539</v>
      </c>
    </row>
    <row r="873" spans="1:12" x14ac:dyDescent="0.3">
      <c r="A873" s="1">
        <v>43675</v>
      </c>
      <c r="B873" s="3">
        <f>YEAR(Tabla3[[#This Row],[Date]])</f>
        <v>2019</v>
      </c>
      <c r="C873" s="1" t="str">
        <f>+TEXT(Tabla3[[#This Row],[Date]],"mmm")</f>
        <v>jul</v>
      </c>
      <c r="D873" s="2">
        <v>1419.59997558593</v>
      </c>
      <c r="E873" s="2">
        <v>1419.59997558593</v>
      </c>
      <c r="F873" s="2">
        <v>1419.59997558593</v>
      </c>
      <c r="G873" s="2">
        <v>1419.59997558593</v>
      </c>
      <c r="H873" s="2">
        <v>1419.59997558593</v>
      </c>
      <c r="I873">
        <v>224267</v>
      </c>
      <c r="J873" s="2">
        <f ca="1">IFERROR((Tabla3[[#This Row],[Close]]-OFFSET(Tabla3[[#This Row],[Close]],-1,0))/OFFSET(Tabla3[[#This Row],[Close]],-1,0),"")</f>
        <v>7.7544983146281049E-4</v>
      </c>
      <c r="K873" s="2">
        <f ca="1">IFERROR(AVERAGE(OFFSET(Tabla3[[#This Row],[Close]],-6,0,7)),"")</f>
        <v>1420.757149832584</v>
      </c>
      <c r="L873" s="2">
        <f ca="1">IFERROR(_xlfn.STDEV.S(OFFSET(Tabla3[[#This Row],[Close]],-29,0,30)),"")</f>
        <v>22.954785858988988</v>
      </c>
    </row>
    <row r="874" spans="1:12" x14ac:dyDescent="0.3">
      <c r="A874" s="1">
        <v>43676</v>
      </c>
      <c r="B874" s="3">
        <f>YEAR(Tabla3[[#This Row],[Date]])</f>
        <v>2019</v>
      </c>
      <c r="C874" s="1" t="str">
        <f>+TEXT(Tabla3[[#This Row],[Date]],"mmm")</f>
        <v>jul</v>
      </c>
      <c r="D874" s="2">
        <v>1429.69995117187</v>
      </c>
      <c r="E874" s="2">
        <v>1429.69995117187</v>
      </c>
      <c r="F874" s="2">
        <v>1433.90002441406</v>
      </c>
      <c r="G874" s="2">
        <v>1422.09997558593</v>
      </c>
      <c r="H874" s="2">
        <v>1426.30004882812</v>
      </c>
      <c r="I874">
        <v>73874</v>
      </c>
      <c r="J874" s="2">
        <f ca="1">IFERROR((Tabla3[[#This Row],[Close]]-OFFSET(Tabla3[[#This Row],[Close]],-1,0))/OFFSET(Tabla3[[#This Row],[Close]],-1,0),"")</f>
        <v>7.1146631161157258E-3</v>
      </c>
      <c r="K874" s="2">
        <f ca="1">IFERROR(AVERAGE(OFFSET(Tabla3[[#This Row],[Close]],-6,0,7)),"")</f>
        <v>1421.4142892020041</v>
      </c>
      <c r="L874" s="2">
        <f ca="1">IFERROR(_xlfn.STDEV.S(OFFSET(Tabla3[[#This Row],[Close]],-29,0,30)),"")</f>
        <v>19.856261315756765</v>
      </c>
    </row>
    <row r="875" spans="1:12" x14ac:dyDescent="0.3">
      <c r="A875" s="1">
        <v>43677</v>
      </c>
      <c r="B875" s="3">
        <f>YEAR(Tabla3[[#This Row],[Date]])</f>
        <v>2019</v>
      </c>
      <c r="C875" s="1" t="str">
        <f>+TEXT(Tabla3[[#This Row],[Date]],"mmm")</f>
        <v>jul</v>
      </c>
      <c r="D875" s="2">
        <v>1426.09997558593</v>
      </c>
      <c r="E875" s="2">
        <v>1426.09997558593</v>
      </c>
      <c r="F875" s="2">
        <v>1435.80004882812</v>
      </c>
      <c r="G875" s="2">
        <v>1411.19995117187</v>
      </c>
      <c r="H875" s="2">
        <v>1431.30004882812</v>
      </c>
      <c r="I875">
        <v>3294</v>
      </c>
      <c r="J875" s="2">
        <f ca="1">IFERROR((Tabla3[[#This Row],[Close]]-OFFSET(Tabla3[[#This Row],[Close]],-1,0))/OFFSET(Tabla3[[#This Row],[Close]],-1,0),"")</f>
        <v>-2.5179937811351536E-3</v>
      </c>
      <c r="K875" s="2">
        <f ca="1">IFERROR(AVERAGE(OFFSET(Tabla3[[#This Row],[Close]],-6,0,7)),"")</f>
        <v>1421.52856445312</v>
      </c>
      <c r="L875" s="2">
        <f ca="1">IFERROR(_xlfn.STDEV.S(OFFSET(Tabla3[[#This Row],[Close]],-29,0,30)),"")</f>
        <v>16.570803347932589</v>
      </c>
    </row>
    <row r="876" spans="1:12" x14ac:dyDescent="0.3">
      <c r="A876" s="1">
        <v>43678</v>
      </c>
      <c r="B876" s="3">
        <f>YEAR(Tabla3[[#This Row],[Date]])</f>
        <v>2019</v>
      </c>
      <c r="C876" s="1" t="str">
        <f>+TEXT(Tabla3[[#This Row],[Date]],"mmm")</f>
        <v>ago</v>
      </c>
      <c r="D876" s="2">
        <v>1420.90002441406</v>
      </c>
      <c r="E876" s="2">
        <v>1420.90002441406</v>
      </c>
      <c r="F876" s="2">
        <v>1445.19995117187</v>
      </c>
      <c r="G876" s="2">
        <v>1400.90002441406</v>
      </c>
      <c r="H876" s="2">
        <v>1411.30004882812</v>
      </c>
      <c r="I876">
        <v>2431</v>
      </c>
      <c r="J876" s="2">
        <f ca="1">IFERROR((Tabla3[[#This Row],[Close]]-OFFSET(Tabla3[[#This Row],[Close]],-1,0))/OFFSET(Tabla3[[#This Row],[Close]],-1,0),"")</f>
        <v>-3.6462739365334725E-3</v>
      </c>
      <c r="K876" s="2">
        <f ca="1">IFERROR(AVERAGE(OFFSET(Tabla3[[#This Row],[Close]],-6,0,7)),"")</f>
        <v>1421.642857142853</v>
      </c>
      <c r="L876" s="2">
        <f ca="1">IFERROR(_xlfn.STDEV.S(OFFSET(Tabla3[[#This Row],[Close]],-29,0,30)),"")</f>
        <v>11.27483782037107</v>
      </c>
    </row>
    <row r="877" spans="1:12" x14ac:dyDescent="0.3">
      <c r="A877" s="1">
        <v>43679</v>
      </c>
      <c r="B877" s="3">
        <f>YEAR(Tabla3[[#This Row],[Date]])</f>
        <v>2019</v>
      </c>
      <c r="C877" s="1" t="str">
        <f>+TEXT(Tabla3[[#This Row],[Date]],"mmm")</f>
        <v>ago</v>
      </c>
      <c r="D877" s="2">
        <v>1445.59997558593</v>
      </c>
      <c r="E877" s="2">
        <v>1445.59997558593</v>
      </c>
      <c r="F877" s="2">
        <v>1448</v>
      </c>
      <c r="G877" s="2">
        <v>1432.30004882812</v>
      </c>
      <c r="H877" s="2">
        <v>1448</v>
      </c>
      <c r="I877">
        <v>1873</v>
      </c>
      <c r="J877" s="2">
        <f ca="1">IFERROR((Tabla3[[#This Row],[Close]]-OFFSET(Tabla3[[#This Row],[Close]],-1,0))/OFFSET(Tabla3[[#This Row],[Close]],-1,0),"")</f>
        <v>1.738331391897581E-2</v>
      </c>
      <c r="K877" s="2">
        <f ca="1">IFERROR(AVERAGE(OFFSET(Tabla3[[#This Row],[Close]],-6,0,7)),"")</f>
        <v>1424.8999895368258</v>
      </c>
      <c r="L877" s="2">
        <f ca="1">IFERROR(_xlfn.STDEV.S(OFFSET(Tabla3[[#This Row],[Close]],-29,0,30)),"")</f>
        <v>12.251941267142618</v>
      </c>
    </row>
    <row r="878" spans="1:12" x14ac:dyDescent="0.3">
      <c r="A878" s="1">
        <v>43682</v>
      </c>
      <c r="B878" s="3">
        <f>YEAR(Tabla3[[#This Row],[Date]])</f>
        <v>2019</v>
      </c>
      <c r="C878" s="1" t="str">
        <f>+TEXT(Tabla3[[#This Row],[Date]],"mmm")</f>
        <v>ago</v>
      </c>
      <c r="D878" s="2">
        <v>1464.59997558593</v>
      </c>
      <c r="E878" s="2">
        <v>1464.59997558593</v>
      </c>
      <c r="F878" s="2">
        <v>1469.69995117187</v>
      </c>
      <c r="G878" s="2">
        <v>1440.40002441406</v>
      </c>
      <c r="H878" s="2">
        <v>1440.40002441406</v>
      </c>
      <c r="I878">
        <v>1008</v>
      </c>
      <c r="J878" s="2">
        <f ca="1">IFERROR((Tabla3[[#This Row],[Close]]-OFFSET(Tabla3[[#This Row],[Close]],-1,0))/OFFSET(Tabla3[[#This Row],[Close]],-1,0),"")</f>
        <v>1.3143331710626881E-2</v>
      </c>
      <c r="K878" s="2">
        <f ca="1">IFERROR(AVERAGE(OFFSET(Tabla3[[#This Row],[Close]],-6,0,7)),"")</f>
        <v>1432.1428397042357</v>
      </c>
      <c r="L878" s="2">
        <f ca="1">IFERROR(_xlfn.STDEV.S(OFFSET(Tabla3[[#This Row],[Close]],-29,0,30)),"")</f>
        <v>14.933946792054041</v>
      </c>
    </row>
    <row r="879" spans="1:12" x14ac:dyDescent="0.3">
      <c r="A879" s="1">
        <v>43683</v>
      </c>
      <c r="B879" s="3">
        <f>YEAR(Tabla3[[#This Row],[Date]])</f>
        <v>2019</v>
      </c>
      <c r="C879" s="1" t="str">
        <f>+TEXT(Tabla3[[#This Row],[Date]],"mmm")</f>
        <v>ago</v>
      </c>
      <c r="D879" s="2">
        <v>1472.40002441406</v>
      </c>
      <c r="E879" s="2">
        <v>1472.40002441406</v>
      </c>
      <c r="F879" s="2">
        <v>1475</v>
      </c>
      <c r="G879" s="2">
        <v>1457.69995117187</v>
      </c>
      <c r="H879" s="2">
        <v>1469.69995117187</v>
      </c>
      <c r="I879">
        <v>460</v>
      </c>
      <c r="J879" s="2">
        <f ca="1">IFERROR((Tabla3[[#This Row],[Close]]-OFFSET(Tabla3[[#This Row],[Close]],-1,0))/OFFSET(Tabla3[[#This Row],[Close]],-1,0),"")</f>
        <v>5.3257196218438442E-3</v>
      </c>
      <c r="K879" s="2">
        <f ca="1">IFERROR(AVERAGE(OFFSET(Tabla3[[#This Row],[Close]],-6,0,7)),"")</f>
        <v>1439.8428431919585</v>
      </c>
      <c r="L879" s="2">
        <f ca="1">IFERROR(_xlfn.STDEV.S(OFFSET(Tabla3[[#This Row],[Close]],-29,0,30)),"")</f>
        <v>18.121743523443399</v>
      </c>
    </row>
    <row r="880" spans="1:12" x14ac:dyDescent="0.3">
      <c r="A880" s="1">
        <v>43684</v>
      </c>
      <c r="B880" s="3">
        <f>YEAR(Tabla3[[#This Row],[Date]])</f>
        <v>2019</v>
      </c>
      <c r="C880" s="1" t="str">
        <f>+TEXT(Tabla3[[#This Row],[Date]],"mmm")</f>
        <v>ago</v>
      </c>
      <c r="D880" s="2">
        <v>1507.30004882812</v>
      </c>
      <c r="E880" s="2">
        <v>1507.30004882812</v>
      </c>
      <c r="F880" s="2">
        <v>1509.90002441406</v>
      </c>
      <c r="G880" s="2">
        <v>1473.19995117187</v>
      </c>
      <c r="H880" s="2">
        <v>1473.5</v>
      </c>
      <c r="I880">
        <v>824</v>
      </c>
      <c r="J880" s="2">
        <f ca="1">IFERROR((Tabla3[[#This Row],[Close]]-OFFSET(Tabla3[[#This Row],[Close]],-1,0))/OFFSET(Tabla3[[#This Row],[Close]],-1,0),"")</f>
        <v>2.3702814340789233E-2</v>
      </c>
      <c r="K880" s="2">
        <f ca="1">IFERROR(AVERAGE(OFFSET(Tabla3[[#This Row],[Close]],-6,0,7)),"")</f>
        <v>1452.3714250836999</v>
      </c>
      <c r="L880" s="2">
        <f ca="1">IFERROR(_xlfn.STDEV.S(OFFSET(Tabla3[[#This Row],[Close]],-29,0,30)),"")</f>
        <v>24.353808513746916</v>
      </c>
    </row>
    <row r="881" spans="1:12" x14ac:dyDescent="0.3">
      <c r="A881" s="1">
        <v>43685</v>
      </c>
      <c r="B881" s="3">
        <f>YEAR(Tabla3[[#This Row],[Date]])</f>
        <v>2019</v>
      </c>
      <c r="C881" s="1" t="str">
        <f>+TEXT(Tabla3[[#This Row],[Date]],"mmm")</f>
        <v>ago</v>
      </c>
      <c r="D881" s="2">
        <v>1497.69995117187</v>
      </c>
      <c r="E881" s="2">
        <v>1497.69995117187</v>
      </c>
      <c r="F881" s="2">
        <v>1508.5</v>
      </c>
      <c r="G881" s="2">
        <v>1492</v>
      </c>
      <c r="H881" s="2">
        <v>1498.40002441406</v>
      </c>
      <c r="I881">
        <v>367</v>
      </c>
      <c r="J881" s="2">
        <f ca="1">IFERROR((Tabla3[[#This Row],[Close]]-OFFSET(Tabla3[[#This Row],[Close]],-1,0))/OFFSET(Tabla3[[#This Row],[Close]],-1,0),"")</f>
        <v>-6.3690687621975363E-3</v>
      </c>
      <c r="K881" s="2">
        <f ca="1">IFERROR(AVERAGE(OFFSET(Tabla3[[#This Row],[Close]],-6,0,7)),"")</f>
        <v>1462.0857107979857</v>
      </c>
      <c r="L881" s="2">
        <f ca="1">IFERROR(_xlfn.STDEV.S(OFFSET(Tabla3[[#This Row],[Close]],-29,0,30)),"")</f>
        <v>27.99650691332586</v>
      </c>
    </row>
    <row r="882" spans="1:12" x14ac:dyDescent="0.3">
      <c r="A882" s="1">
        <v>43686</v>
      </c>
      <c r="B882" s="3">
        <f>YEAR(Tabla3[[#This Row],[Date]])</f>
        <v>2019</v>
      </c>
      <c r="C882" s="1" t="str">
        <f>+TEXT(Tabla3[[#This Row],[Date]],"mmm")</f>
        <v>ago</v>
      </c>
      <c r="D882" s="2">
        <v>1496.59997558593</v>
      </c>
      <c r="E882" s="2">
        <v>1496.59997558593</v>
      </c>
      <c r="F882" s="2">
        <v>1507.5</v>
      </c>
      <c r="G882" s="2">
        <v>1495.59997558593</v>
      </c>
      <c r="H882" s="2">
        <v>1506.19995117187</v>
      </c>
      <c r="I882">
        <v>74</v>
      </c>
      <c r="J882" s="2">
        <f ca="1">IFERROR((Tabla3[[#This Row],[Close]]-OFFSET(Tabla3[[#This Row],[Close]],-1,0))/OFFSET(Tabla3[[#This Row],[Close]],-1,0),"")</f>
        <v>-7.3444322748313442E-4</v>
      </c>
      <c r="K882" s="2">
        <f ca="1">IFERROR(AVERAGE(OFFSET(Tabla3[[#This Row],[Close]],-6,0,7)),"")</f>
        <v>1472.1571393694142</v>
      </c>
      <c r="L882" s="2">
        <f ca="1">IFERROR(_xlfn.STDEV.S(OFFSET(Tabla3[[#This Row],[Close]],-29,0,30)),"")</f>
        <v>30.796165202042339</v>
      </c>
    </row>
    <row r="883" spans="1:12" x14ac:dyDescent="0.3">
      <c r="A883" s="1">
        <v>43689</v>
      </c>
      <c r="B883" s="3">
        <f>YEAR(Tabla3[[#This Row],[Date]])</f>
        <v>2019</v>
      </c>
      <c r="C883" s="1" t="str">
        <f>+TEXT(Tabla3[[#This Row],[Date]],"mmm")</f>
        <v>ago</v>
      </c>
      <c r="D883" s="2">
        <v>1505.30004882812</v>
      </c>
      <c r="E883" s="2">
        <v>1505.30004882812</v>
      </c>
      <c r="F883" s="2">
        <v>1514.90002441406</v>
      </c>
      <c r="G883" s="2">
        <v>1488.09997558593</v>
      </c>
      <c r="H883" s="2">
        <v>1496</v>
      </c>
      <c r="I883">
        <v>257</v>
      </c>
      <c r="J883" s="2">
        <f ca="1">IFERROR((Tabla3[[#This Row],[Close]]-OFFSET(Tabla3[[#This Row],[Close]],-1,0))/OFFSET(Tabla3[[#This Row],[Close]],-1,0),"")</f>
        <v>5.8132255673623524E-3</v>
      </c>
      <c r="K883" s="2">
        <f ca="1">IFERROR(AVERAGE(OFFSET(Tabla3[[#This Row],[Close]],-6,0,7)),"")</f>
        <v>1484.2142857142801</v>
      </c>
      <c r="L883" s="2">
        <f ca="1">IFERROR(_xlfn.STDEV.S(OFFSET(Tabla3[[#This Row],[Close]],-29,0,30)),"")</f>
        <v>33.757696035466637</v>
      </c>
    </row>
    <row r="884" spans="1:12" x14ac:dyDescent="0.3">
      <c r="A884" s="1">
        <v>43690</v>
      </c>
      <c r="B884" s="3">
        <f>YEAR(Tabla3[[#This Row],[Date]])</f>
        <v>2019</v>
      </c>
      <c r="C884" s="1" t="str">
        <f>+TEXT(Tabla3[[#This Row],[Date]],"mmm")</f>
        <v>ago</v>
      </c>
      <c r="D884" s="2">
        <v>1502.19995117187</v>
      </c>
      <c r="E884" s="2">
        <v>1502.19995117187</v>
      </c>
      <c r="F884" s="2">
        <v>1531.40002441406</v>
      </c>
      <c r="G884" s="2">
        <v>1483.69995117187</v>
      </c>
      <c r="H884" s="2">
        <v>1510.40002441406</v>
      </c>
      <c r="I884">
        <v>672</v>
      </c>
      <c r="J884" s="2">
        <f ca="1">IFERROR((Tabla3[[#This Row],[Close]]-OFFSET(Tabla3[[#This Row],[Close]],-1,0))/OFFSET(Tabla3[[#This Row],[Close]],-1,0),"")</f>
        <v>-2.0594549629247899E-3</v>
      </c>
      <c r="K884" s="2">
        <f ca="1">IFERROR(AVERAGE(OFFSET(Tabla3[[#This Row],[Close]],-6,0,7)),"")</f>
        <v>1492.2999965122713</v>
      </c>
      <c r="L884" s="2">
        <f ca="1">IFERROR(_xlfn.STDEV.S(OFFSET(Tabla3[[#This Row],[Close]],-29,0,30)),"")</f>
        <v>35.141891173341577</v>
      </c>
    </row>
    <row r="885" spans="1:12" x14ac:dyDescent="0.3">
      <c r="A885" s="1">
        <v>43691</v>
      </c>
      <c r="B885" s="3">
        <f>YEAR(Tabla3[[#This Row],[Date]])</f>
        <v>2019</v>
      </c>
      <c r="C885" s="1" t="str">
        <f>+TEXT(Tabla3[[#This Row],[Date]],"mmm")</f>
        <v>ago</v>
      </c>
      <c r="D885" s="2">
        <v>1515.90002441406</v>
      </c>
      <c r="E885" s="2">
        <v>1515.90002441406</v>
      </c>
      <c r="F885" s="2">
        <v>1520.5</v>
      </c>
      <c r="G885" s="2">
        <v>1497</v>
      </c>
      <c r="H885" s="2">
        <v>1500</v>
      </c>
      <c r="I885">
        <v>328</v>
      </c>
      <c r="J885" s="2">
        <f ca="1">IFERROR((Tabla3[[#This Row],[Close]]-OFFSET(Tabla3[[#This Row],[Close]],-1,0))/OFFSET(Tabla3[[#This Row],[Close]],-1,0),"")</f>
        <v>9.1200064488768887E-3</v>
      </c>
      <c r="K885" s="2">
        <f ca="1">IFERROR(AVERAGE(OFFSET(Tabla3[[#This Row],[Close]],-6,0,7)),"")</f>
        <v>1499.6285749162901</v>
      </c>
      <c r="L885" s="2">
        <f ca="1">IFERROR(_xlfn.STDEV.S(OFFSET(Tabla3[[#This Row],[Close]],-29,0,30)),"")</f>
        <v>37.713833120456783</v>
      </c>
    </row>
    <row r="886" spans="1:12" x14ac:dyDescent="0.3">
      <c r="A886" s="1">
        <v>43692</v>
      </c>
      <c r="B886" s="3">
        <f>YEAR(Tabla3[[#This Row],[Date]])</f>
        <v>2019</v>
      </c>
      <c r="C886" s="1" t="str">
        <f>+TEXT(Tabla3[[#This Row],[Date]],"mmm")</f>
        <v>ago</v>
      </c>
      <c r="D886" s="2">
        <v>1519.59997558593</v>
      </c>
      <c r="E886" s="2">
        <v>1519.59997558593</v>
      </c>
      <c r="F886" s="2">
        <v>1522.69995117187</v>
      </c>
      <c r="G886" s="2">
        <v>1510.59997558593</v>
      </c>
      <c r="H886" s="2">
        <v>1519.80004882812</v>
      </c>
      <c r="I886">
        <v>87</v>
      </c>
      <c r="J886" s="2">
        <f ca="1">IFERROR((Tabla3[[#This Row],[Close]]-OFFSET(Tabla3[[#This Row],[Close]],-1,0))/OFFSET(Tabla3[[#This Row],[Close]],-1,0),"")</f>
        <v>2.4407619976786646E-3</v>
      </c>
      <c r="K886" s="2">
        <f ca="1">IFERROR(AVERAGE(OFFSET(Tabla3[[#This Row],[Close]],-6,0,7)),"")</f>
        <v>1506.3714250837002</v>
      </c>
      <c r="L886" s="2">
        <f ca="1">IFERROR(_xlfn.STDEV.S(OFFSET(Tabla3[[#This Row],[Close]],-29,0,30)),"")</f>
        <v>40.347843493928643</v>
      </c>
    </row>
    <row r="887" spans="1:12" x14ac:dyDescent="0.3">
      <c r="A887" s="1">
        <v>43693</v>
      </c>
      <c r="B887" s="3">
        <f>YEAR(Tabla3[[#This Row],[Date]])</f>
        <v>2019</v>
      </c>
      <c r="C887" s="1" t="str">
        <f>+TEXT(Tabla3[[#This Row],[Date]],"mmm")</f>
        <v>ago</v>
      </c>
      <c r="D887" s="2">
        <v>1512.5</v>
      </c>
      <c r="E887" s="2">
        <v>1512.5</v>
      </c>
      <c r="F887" s="2">
        <v>1524.59997558593</v>
      </c>
      <c r="G887" s="2">
        <v>1504.69995117187</v>
      </c>
      <c r="H887" s="2">
        <v>1524.59997558593</v>
      </c>
      <c r="I887">
        <v>1815</v>
      </c>
      <c r="J887" s="2">
        <f ca="1">IFERROR((Tabla3[[#This Row],[Close]]-OFFSET(Tabla3[[#This Row],[Close]],-1,0))/OFFSET(Tabla3[[#This Row],[Close]],-1,0),"")</f>
        <v>-4.6722661884700117E-3</v>
      </c>
      <c r="K887" s="2">
        <f ca="1">IFERROR(AVERAGE(OFFSET(Tabla3[[#This Row],[Close]],-6,0,7)),"")</f>
        <v>1507.1142752511112</v>
      </c>
      <c r="L887" s="2">
        <f ca="1">IFERROR(_xlfn.STDEV.S(OFFSET(Tabla3[[#This Row],[Close]],-29,0,30)),"")</f>
        <v>41.478049628582575</v>
      </c>
    </row>
    <row r="888" spans="1:12" x14ac:dyDescent="0.3">
      <c r="A888" s="1">
        <v>43696</v>
      </c>
      <c r="B888" s="3">
        <f>YEAR(Tabla3[[#This Row],[Date]])</f>
        <v>2019</v>
      </c>
      <c r="C888" s="1" t="str">
        <f>+TEXT(Tabla3[[#This Row],[Date]],"mmm")</f>
        <v>ago</v>
      </c>
      <c r="D888" s="2">
        <v>1500.40002441406</v>
      </c>
      <c r="E888" s="2">
        <v>1500.40002441406</v>
      </c>
      <c r="F888" s="2">
        <v>1507.59997558593</v>
      </c>
      <c r="G888" s="2">
        <v>1492.90002441406</v>
      </c>
      <c r="H888" s="2">
        <v>1507.19995117187</v>
      </c>
      <c r="I888">
        <v>205</v>
      </c>
      <c r="J888" s="2">
        <f ca="1">IFERROR((Tabla3[[#This Row],[Close]]-OFFSET(Tabla3[[#This Row],[Close]],-1,0))/OFFSET(Tabla3[[#This Row],[Close]],-1,0),"")</f>
        <v>-7.9999838584727274E-3</v>
      </c>
      <c r="K888" s="2">
        <f ca="1">IFERROR(AVERAGE(OFFSET(Tabla3[[#This Row],[Close]],-6,0,7)),"")</f>
        <v>1507.4999999999957</v>
      </c>
      <c r="L888" s="2">
        <f ca="1">IFERROR(_xlfn.STDEV.S(OFFSET(Tabla3[[#This Row],[Close]],-29,0,30)),"")</f>
        <v>41.651901738525133</v>
      </c>
    </row>
    <row r="889" spans="1:12" x14ac:dyDescent="0.3">
      <c r="A889" s="1">
        <v>43697</v>
      </c>
      <c r="B889" s="3">
        <f>YEAR(Tabla3[[#This Row],[Date]])</f>
        <v>2019</v>
      </c>
      <c r="C889" s="1" t="str">
        <f>+TEXT(Tabla3[[#This Row],[Date]],"mmm")</f>
        <v>ago</v>
      </c>
      <c r="D889" s="2">
        <v>1504.59997558593</v>
      </c>
      <c r="E889" s="2">
        <v>1504.59997558593</v>
      </c>
      <c r="F889" s="2">
        <v>1506.09997558593</v>
      </c>
      <c r="G889" s="2">
        <v>1497.5</v>
      </c>
      <c r="H889" s="2">
        <v>1497.5</v>
      </c>
      <c r="I889">
        <v>486</v>
      </c>
      <c r="J889" s="2">
        <f ca="1">IFERROR((Tabla3[[#This Row],[Close]]-OFFSET(Tabla3[[#This Row],[Close]],-1,0))/OFFSET(Tabla3[[#This Row],[Close]],-1,0),"")</f>
        <v>2.7992209434348505E-3</v>
      </c>
      <c r="K889" s="2">
        <f ca="1">IFERROR(AVERAGE(OFFSET(Tabla3[[#This Row],[Close]],-6,0,7)),"")</f>
        <v>1508.642857142853</v>
      </c>
      <c r="L889" s="2">
        <f ca="1">IFERROR(_xlfn.STDEV.S(OFFSET(Tabla3[[#This Row],[Close]],-29,0,30)),"")</f>
        <v>41.728821136713215</v>
      </c>
    </row>
    <row r="890" spans="1:12" x14ac:dyDescent="0.3">
      <c r="A890" s="1">
        <v>43698</v>
      </c>
      <c r="B890" s="3">
        <f>YEAR(Tabla3[[#This Row],[Date]])</f>
        <v>2019</v>
      </c>
      <c r="C890" s="1" t="str">
        <f>+TEXT(Tabla3[[#This Row],[Date]],"mmm")</f>
        <v>ago</v>
      </c>
      <c r="D890" s="2">
        <v>1504.59997558593</v>
      </c>
      <c r="E890" s="2">
        <v>1504.59997558593</v>
      </c>
      <c r="F890" s="2">
        <v>1505</v>
      </c>
      <c r="G890" s="2">
        <v>1498.80004882812</v>
      </c>
      <c r="H890" s="2">
        <v>1504.90002441406</v>
      </c>
      <c r="I890">
        <v>350</v>
      </c>
      <c r="J890" s="2">
        <f ca="1">IFERROR((Tabla3[[#This Row],[Close]]-OFFSET(Tabla3[[#This Row],[Close]],-1,0))/OFFSET(Tabla3[[#This Row],[Close]],-1,0),"")</f>
        <v>0</v>
      </c>
      <c r="K890" s="2">
        <f ca="1">IFERROR(AVERAGE(OFFSET(Tabla3[[#This Row],[Close]],-6,0,7)),"")</f>
        <v>1508.5428466796827</v>
      </c>
      <c r="L890" s="2">
        <f ca="1">IFERROR(_xlfn.STDEV.S(OFFSET(Tabla3[[#This Row],[Close]],-29,0,30)),"")</f>
        <v>42.025161295748234</v>
      </c>
    </row>
    <row r="891" spans="1:12" x14ac:dyDescent="0.3">
      <c r="A891" s="1">
        <v>43699</v>
      </c>
      <c r="B891" s="3">
        <f>YEAR(Tabla3[[#This Row],[Date]])</f>
        <v>2019</v>
      </c>
      <c r="C891" s="1" t="str">
        <f>+TEXT(Tabla3[[#This Row],[Date]],"mmm")</f>
        <v>ago</v>
      </c>
      <c r="D891" s="2">
        <v>1497.30004882812</v>
      </c>
      <c r="E891" s="2">
        <v>1497.30004882812</v>
      </c>
      <c r="F891" s="2">
        <v>1497.30004882812</v>
      </c>
      <c r="G891" s="2">
        <v>1493.80004882812</v>
      </c>
      <c r="H891" s="2">
        <v>1495.09997558593</v>
      </c>
      <c r="I891">
        <v>686</v>
      </c>
      <c r="J891" s="2">
        <f ca="1">IFERROR((Tabla3[[#This Row],[Close]]-OFFSET(Tabla3[[#This Row],[Close]],-1,0))/OFFSET(Tabla3[[#This Row],[Close]],-1,0),"")</f>
        <v>-4.8517392504723519E-3</v>
      </c>
      <c r="K891" s="2">
        <f ca="1">IFERROR(AVERAGE(OFFSET(Tabla3[[#This Row],[Close]],-6,0,7)),"")</f>
        <v>1507.8428606305756</v>
      </c>
      <c r="L891" s="2">
        <f ca="1">IFERROR(_xlfn.STDEV.S(OFFSET(Tabla3[[#This Row],[Close]],-29,0,30)),"")</f>
        <v>41.575075572995054</v>
      </c>
    </row>
    <row r="892" spans="1:12" x14ac:dyDescent="0.3">
      <c r="A892" s="1">
        <v>43700</v>
      </c>
      <c r="B892" s="3">
        <f>YEAR(Tabla3[[#This Row],[Date]])</f>
        <v>2019</v>
      </c>
      <c r="C892" s="1" t="str">
        <f>+TEXT(Tabla3[[#This Row],[Date]],"mmm")</f>
        <v>ago</v>
      </c>
      <c r="D892" s="2">
        <v>1526.59997558593</v>
      </c>
      <c r="E892" s="2">
        <v>1526.59997558593</v>
      </c>
      <c r="F892" s="2">
        <v>1527.59997558593</v>
      </c>
      <c r="G892" s="2">
        <v>1493.5</v>
      </c>
      <c r="H892" s="2">
        <v>1493.5</v>
      </c>
      <c r="I892">
        <v>983</v>
      </c>
      <c r="J892" s="2">
        <f ca="1">IFERROR((Tabla3[[#This Row],[Close]]-OFFSET(Tabla3[[#This Row],[Close]],-1,0))/OFFSET(Tabla3[[#This Row],[Close]],-1,0),"")</f>
        <v>1.9568507181137101E-2</v>
      </c>
      <c r="K892" s="2">
        <f ca="1">IFERROR(AVERAGE(OFFSET(Tabla3[[#This Row],[Close]],-6,0,7)),"")</f>
        <v>1509.3714250837002</v>
      </c>
      <c r="L892" s="2">
        <f ca="1">IFERROR(_xlfn.STDEV.S(OFFSET(Tabla3[[#This Row],[Close]],-29,0,30)),"")</f>
        <v>42.35072639452445</v>
      </c>
    </row>
    <row r="893" spans="1:12" x14ac:dyDescent="0.3">
      <c r="A893" s="1">
        <v>43703</v>
      </c>
      <c r="B893" s="3">
        <f>YEAR(Tabla3[[#This Row],[Date]])</f>
        <v>2019</v>
      </c>
      <c r="C893" s="1" t="str">
        <f>+TEXT(Tabla3[[#This Row],[Date]],"mmm")</f>
        <v>ago</v>
      </c>
      <c r="D893" s="2">
        <v>1526.30004882812</v>
      </c>
      <c r="E893" s="2">
        <v>1526.30004882812</v>
      </c>
      <c r="F893" s="2">
        <v>1543.30004882812</v>
      </c>
      <c r="G893" s="2">
        <v>1524.30004882812</v>
      </c>
      <c r="H893" s="2">
        <v>1543.19995117187</v>
      </c>
      <c r="I893">
        <v>334</v>
      </c>
      <c r="J893" s="2">
        <f ca="1">IFERROR((Tabla3[[#This Row],[Close]]-OFFSET(Tabla3[[#This Row],[Close]],-1,0))/OFFSET(Tabla3[[#This Row],[Close]],-1,0),"")</f>
        <v>-1.9646715747842383E-4</v>
      </c>
      <c r="K893" s="2">
        <f ca="1">IFERROR(AVERAGE(OFFSET(Tabla3[[#This Row],[Close]],-6,0,7)),"")</f>
        <v>1510.3285784040129</v>
      </c>
      <c r="L893" s="2">
        <f ca="1">IFERROR(_xlfn.STDEV.S(OFFSET(Tabla3[[#This Row],[Close]],-29,0,30)),"")</f>
        <v>42.8000550636037</v>
      </c>
    </row>
    <row r="894" spans="1:12" x14ac:dyDescent="0.3">
      <c r="A894" s="1">
        <v>43704</v>
      </c>
      <c r="B894" s="3">
        <f>YEAR(Tabla3[[#This Row],[Date]])</f>
        <v>2019</v>
      </c>
      <c r="C894" s="1" t="str">
        <f>+TEXT(Tabla3[[#This Row],[Date]],"mmm")</f>
        <v>ago</v>
      </c>
      <c r="D894" s="2">
        <v>1541</v>
      </c>
      <c r="E894" s="2">
        <v>1541</v>
      </c>
      <c r="F894" s="2">
        <v>1542.09997558593</v>
      </c>
      <c r="G894" s="2">
        <v>1528.5</v>
      </c>
      <c r="H894" s="2">
        <v>1530.5</v>
      </c>
      <c r="I894">
        <v>166</v>
      </c>
      <c r="J894" s="2">
        <f ca="1">IFERROR((Tabla3[[#This Row],[Close]]-OFFSET(Tabla3[[#This Row],[Close]],-1,0))/OFFSET(Tabla3[[#This Row],[Close]],-1,0),"")</f>
        <v>9.6311018159021215E-3</v>
      </c>
      <c r="K894" s="2">
        <f ca="1">IFERROR(AVERAGE(OFFSET(Tabla3[[#This Row],[Close]],-6,0,7)),"")</f>
        <v>1514.4000069754416</v>
      </c>
      <c r="L894" s="2">
        <f ca="1">IFERROR(_xlfn.STDEV.S(OFFSET(Tabla3[[#This Row],[Close]],-29,0,30)),"")</f>
        <v>43.533540089144402</v>
      </c>
    </row>
    <row r="895" spans="1:12" x14ac:dyDescent="0.3">
      <c r="A895" s="1">
        <v>43705</v>
      </c>
      <c r="B895" s="3">
        <f>YEAR(Tabla3[[#This Row],[Date]])</f>
        <v>2019</v>
      </c>
      <c r="C895" s="1" t="str">
        <f>+TEXT(Tabla3[[#This Row],[Date]],"mmm")</f>
        <v>ago</v>
      </c>
      <c r="D895" s="2">
        <v>1537.80004882812</v>
      </c>
      <c r="E895" s="2">
        <v>1537.80004882812</v>
      </c>
      <c r="F895" s="2">
        <v>1538.09997558593</v>
      </c>
      <c r="G895" s="2">
        <v>1537.80004882812</v>
      </c>
      <c r="H895" s="2">
        <v>1538.09997558593</v>
      </c>
      <c r="I895">
        <v>2756</v>
      </c>
      <c r="J895" s="2">
        <f ca="1">IFERROR((Tabla3[[#This Row],[Close]]-OFFSET(Tabla3[[#This Row],[Close]],-1,0))/OFFSET(Tabla3[[#This Row],[Close]],-1,0),"")</f>
        <v>-2.0765419674756667E-3</v>
      </c>
      <c r="K895" s="2">
        <f ca="1">IFERROR(AVERAGE(OFFSET(Tabla3[[#This Row],[Close]],-6,0,7)),"")</f>
        <v>1519.7428676060213</v>
      </c>
      <c r="L895" s="2">
        <f ca="1">IFERROR(_xlfn.STDEV.S(OFFSET(Tabla3[[#This Row],[Close]],-29,0,30)),"")</f>
        <v>44.200080793382661</v>
      </c>
    </row>
    <row r="896" spans="1:12" x14ac:dyDescent="0.3">
      <c r="A896" s="1">
        <v>43706</v>
      </c>
      <c r="B896" s="3">
        <f>YEAR(Tabla3[[#This Row],[Date]])</f>
        <v>2019</v>
      </c>
      <c r="C896" s="1" t="str">
        <f>+TEXT(Tabla3[[#This Row],[Date]],"mmm")</f>
        <v>ago</v>
      </c>
      <c r="D896" s="2">
        <v>1526.5</v>
      </c>
      <c r="E896" s="2">
        <v>1526.5</v>
      </c>
      <c r="F896" s="2">
        <v>1549.30004882812</v>
      </c>
      <c r="G896" s="2">
        <v>1519.59997558593</v>
      </c>
      <c r="H896" s="2">
        <v>1537.5</v>
      </c>
      <c r="I896">
        <v>704</v>
      </c>
      <c r="J896" s="2">
        <f ca="1">IFERROR((Tabla3[[#This Row],[Close]]-OFFSET(Tabla3[[#This Row],[Close]],-1,0))/OFFSET(Tabla3[[#This Row],[Close]],-1,0),"")</f>
        <v>-7.3481912272867957E-3</v>
      </c>
      <c r="K896" s="2">
        <f ca="1">IFERROR(AVERAGE(OFFSET(Tabla3[[#This Row],[Close]],-6,0,7)),"")</f>
        <v>1522.871442522317</v>
      </c>
      <c r="L896" s="2">
        <f ca="1">IFERROR(_xlfn.STDEV.S(OFFSET(Tabla3[[#This Row],[Close]],-29,0,30)),"")</f>
        <v>44.232443148366684</v>
      </c>
    </row>
    <row r="897" spans="1:12" x14ac:dyDescent="0.3">
      <c r="A897" s="1">
        <v>43707</v>
      </c>
      <c r="B897" s="3">
        <f>YEAR(Tabla3[[#This Row],[Date]])</f>
        <v>2019</v>
      </c>
      <c r="C897" s="1" t="str">
        <f>+TEXT(Tabla3[[#This Row],[Date]],"mmm")</f>
        <v>ago</v>
      </c>
      <c r="D897" s="2">
        <v>1519.09997558593</v>
      </c>
      <c r="E897" s="2">
        <v>1519.09997558593</v>
      </c>
      <c r="F897" s="2">
        <v>1530.40002441406</v>
      </c>
      <c r="G897" s="2">
        <v>1516.69995117187</v>
      </c>
      <c r="H897" s="2">
        <v>1524.59997558593</v>
      </c>
      <c r="I897">
        <v>276</v>
      </c>
      <c r="J897" s="2">
        <f ca="1">IFERROR((Tabla3[[#This Row],[Close]]-OFFSET(Tabla3[[#This Row],[Close]],-1,0))/OFFSET(Tabla3[[#This Row],[Close]],-1,0),"")</f>
        <v>-4.8477067894333462E-3</v>
      </c>
      <c r="K897" s="2">
        <f ca="1">IFERROR(AVERAGE(OFFSET(Tabla3[[#This Row],[Close]],-6,0,7)),"")</f>
        <v>1524.9428710937457</v>
      </c>
      <c r="L897" s="2">
        <f ca="1">IFERROR(_xlfn.STDEV.S(OFFSET(Tabla3[[#This Row],[Close]],-29,0,30)),"")</f>
        <v>43.714490436737208</v>
      </c>
    </row>
    <row r="898" spans="1:12" x14ac:dyDescent="0.3">
      <c r="A898" s="1">
        <v>43711</v>
      </c>
      <c r="B898" s="3">
        <f>YEAR(Tabla3[[#This Row],[Date]])</f>
        <v>2019</v>
      </c>
      <c r="C898" s="1" t="str">
        <f>+TEXT(Tabla3[[#This Row],[Date]],"mmm")</f>
        <v>sept</v>
      </c>
      <c r="D898" s="2">
        <v>1545.90002441406</v>
      </c>
      <c r="E898" s="2">
        <v>1545.90002441406</v>
      </c>
      <c r="F898" s="2">
        <v>1547.30004882812</v>
      </c>
      <c r="G898" s="2">
        <v>1521</v>
      </c>
      <c r="H898" s="2">
        <v>1522.90002441406</v>
      </c>
      <c r="I898">
        <v>139</v>
      </c>
      <c r="J898" s="2">
        <f ca="1">IFERROR((Tabla3[[#This Row],[Close]]-OFFSET(Tabla3[[#This Row],[Close]],-1,0))/OFFSET(Tabla3[[#This Row],[Close]],-1,0),"")</f>
        <v>1.7642057309488791E-2</v>
      </c>
      <c r="K898" s="2">
        <f ca="1">IFERROR(AVERAGE(OFFSET(Tabla3[[#This Row],[Close]],-6,0,7)),"")</f>
        <v>1531.88572474888</v>
      </c>
      <c r="L898" s="2">
        <f ca="1">IFERROR(_xlfn.STDEV.S(OFFSET(Tabla3[[#This Row],[Close]],-29,0,30)),"")</f>
        <v>43.989194577327744</v>
      </c>
    </row>
    <row r="899" spans="1:12" x14ac:dyDescent="0.3">
      <c r="A899" s="1">
        <v>43712</v>
      </c>
      <c r="B899" s="3">
        <f>YEAR(Tabla3[[#This Row],[Date]])</f>
        <v>2019</v>
      </c>
      <c r="C899" s="1" t="str">
        <f>+TEXT(Tabla3[[#This Row],[Date]],"mmm")</f>
        <v>sept</v>
      </c>
      <c r="D899" s="2">
        <v>1550.30004882812</v>
      </c>
      <c r="E899" s="2">
        <v>1550.30004882812</v>
      </c>
      <c r="F899" s="2">
        <v>1553.19995117187</v>
      </c>
      <c r="G899" s="2">
        <v>1534.80004882812</v>
      </c>
      <c r="H899" s="2">
        <v>1549</v>
      </c>
      <c r="I899">
        <v>46</v>
      </c>
      <c r="J899" s="2">
        <f ca="1">IFERROR((Tabla3[[#This Row],[Close]]-OFFSET(Tabla3[[#This Row],[Close]],-1,0))/OFFSET(Tabla3[[#This Row],[Close]],-1,0),"")</f>
        <v>2.8462541849869839E-3</v>
      </c>
      <c r="K899" s="2">
        <f ca="1">IFERROR(AVERAGE(OFFSET(Tabla3[[#This Row],[Close]],-6,0,7)),"")</f>
        <v>1535.2714494977643</v>
      </c>
      <c r="L899" s="2">
        <f ca="1">IFERROR(_xlfn.STDEV.S(OFFSET(Tabla3[[#This Row],[Close]],-29,0,30)),"")</f>
        <v>43.817053186946346</v>
      </c>
    </row>
    <row r="900" spans="1:12" x14ac:dyDescent="0.3">
      <c r="A900" s="1">
        <v>43713</v>
      </c>
      <c r="B900" s="3">
        <f>YEAR(Tabla3[[#This Row],[Date]])</f>
        <v>2019</v>
      </c>
      <c r="C900" s="1" t="str">
        <f>+TEXT(Tabla3[[#This Row],[Date]],"mmm")</f>
        <v>sept</v>
      </c>
      <c r="D900" s="2">
        <v>1515.40002441406</v>
      </c>
      <c r="E900" s="2">
        <v>1515.40002441406</v>
      </c>
      <c r="F900" s="2">
        <v>1551.09997558593</v>
      </c>
      <c r="G900" s="2">
        <v>1511.09997558593</v>
      </c>
      <c r="H900" s="2">
        <v>1551</v>
      </c>
      <c r="I900">
        <v>125</v>
      </c>
      <c r="J900" s="2">
        <f ca="1">IFERROR((Tabla3[[#This Row],[Close]]-OFFSET(Tabla3[[#This Row],[Close]],-1,0))/OFFSET(Tabla3[[#This Row],[Close]],-1,0),"")</f>
        <v>-2.2511786954042292E-2</v>
      </c>
      <c r="K900" s="2">
        <f ca="1">IFERROR(AVERAGE(OFFSET(Tabla3[[#This Row],[Close]],-6,0,7)),"")</f>
        <v>1533.7143031528988</v>
      </c>
      <c r="L900" s="2">
        <f ca="1">IFERROR(_xlfn.STDEV.S(OFFSET(Tabla3[[#This Row],[Close]],-29,0,30)),"")</f>
        <v>42.221466589196545</v>
      </c>
    </row>
    <row r="901" spans="1:12" x14ac:dyDescent="0.3">
      <c r="A901" s="1">
        <v>43714</v>
      </c>
      <c r="B901" s="3">
        <f>YEAR(Tabla3[[#This Row],[Date]])</f>
        <v>2019</v>
      </c>
      <c r="C901" s="1" t="str">
        <f>+TEXT(Tabla3[[#This Row],[Date]],"mmm")</f>
        <v>sept</v>
      </c>
      <c r="D901" s="2">
        <v>1506.19995117187</v>
      </c>
      <c r="E901" s="2">
        <v>1506.19995117187</v>
      </c>
      <c r="F901" s="2">
        <v>1526</v>
      </c>
      <c r="G901" s="2">
        <v>1504.5</v>
      </c>
      <c r="H901" s="2">
        <v>1517.30004882812</v>
      </c>
      <c r="I901">
        <v>54</v>
      </c>
      <c r="J901" s="2">
        <f ca="1">IFERROR((Tabla3[[#This Row],[Close]]-OFFSET(Tabla3[[#This Row],[Close]],-1,0))/OFFSET(Tabla3[[#This Row],[Close]],-1,0),"")</f>
        <v>-6.071052589396172E-3</v>
      </c>
      <c r="K901" s="2">
        <f ca="1">IFERROR(AVERAGE(OFFSET(Tabla3[[#This Row],[Close]],-6,0,7)),"")</f>
        <v>1528.7428676060229</v>
      </c>
      <c r="L901" s="2">
        <f ca="1">IFERROR(_xlfn.STDEV.S(OFFSET(Tabla3[[#This Row],[Close]],-29,0,30)),"")</f>
        <v>39.605436365466367</v>
      </c>
    </row>
    <row r="902" spans="1:12" x14ac:dyDescent="0.3">
      <c r="A902" s="1">
        <v>43717</v>
      </c>
      <c r="B902" s="3">
        <f>YEAR(Tabla3[[#This Row],[Date]])</f>
        <v>2019</v>
      </c>
      <c r="C902" s="1" t="str">
        <f>+TEXT(Tabla3[[#This Row],[Date]],"mmm")</f>
        <v>sept</v>
      </c>
      <c r="D902" s="2">
        <v>1502.19995117187</v>
      </c>
      <c r="E902" s="2">
        <v>1502.19995117187</v>
      </c>
      <c r="F902" s="2">
        <v>1513</v>
      </c>
      <c r="G902" s="2">
        <v>1498</v>
      </c>
      <c r="H902" s="2">
        <v>1509</v>
      </c>
      <c r="I902">
        <v>69</v>
      </c>
      <c r="J902" s="2">
        <f ca="1">IFERROR((Tabla3[[#This Row],[Close]]-OFFSET(Tabla3[[#This Row],[Close]],-1,0))/OFFSET(Tabla3[[#This Row],[Close]],-1,0),"")</f>
        <v>-2.6556899015219571E-3</v>
      </c>
      <c r="K902" s="2">
        <f ca="1">IFERROR(AVERAGE(OFFSET(Tabla3[[#This Row],[Close]],-6,0,7)),"")</f>
        <v>1523.6571393694157</v>
      </c>
      <c r="L902" s="2">
        <f ca="1">IFERROR(_xlfn.STDEV.S(OFFSET(Tabla3[[#This Row],[Close]],-29,0,30)),"")</f>
        <v>36.868322863274578</v>
      </c>
    </row>
    <row r="903" spans="1:12" x14ac:dyDescent="0.3">
      <c r="A903" s="1">
        <v>43718</v>
      </c>
      <c r="B903" s="3">
        <f>YEAR(Tabla3[[#This Row],[Date]])</f>
        <v>2019</v>
      </c>
      <c r="C903" s="1" t="str">
        <f>+TEXT(Tabla3[[#This Row],[Date]],"mmm")</f>
        <v>sept</v>
      </c>
      <c r="D903" s="2">
        <v>1490.30004882812</v>
      </c>
      <c r="E903" s="2">
        <v>1490.30004882812</v>
      </c>
      <c r="F903" s="2">
        <v>1498.5</v>
      </c>
      <c r="G903" s="2">
        <v>1486.90002441406</v>
      </c>
      <c r="H903" s="2">
        <v>1498.5</v>
      </c>
      <c r="I903">
        <v>23</v>
      </c>
      <c r="J903" s="2">
        <f ca="1">IFERROR((Tabla3[[#This Row],[Close]]-OFFSET(Tabla3[[#This Row],[Close]],-1,0))/OFFSET(Tabla3[[#This Row],[Close]],-1,0),"")</f>
        <v>-7.9216500669347361E-3</v>
      </c>
      <c r="K903" s="2">
        <f ca="1">IFERROR(AVERAGE(OFFSET(Tabla3[[#This Row],[Close]],-6,0,7)),"")</f>
        <v>1518.4857177734327</v>
      </c>
      <c r="L903" s="2">
        <f ca="1">IFERROR(_xlfn.STDEV.S(OFFSET(Tabla3[[#This Row],[Close]],-29,0,30)),"")</f>
        <v>33.81699735627965</v>
      </c>
    </row>
    <row r="904" spans="1:12" x14ac:dyDescent="0.3">
      <c r="A904" s="1">
        <v>43719</v>
      </c>
      <c r="B904" s="3">
        <f>YEAR(Tabla3[[#This Row],[Date]])</f>
        <v>2019</v>
      </c>
      <c r="C904" s="1" t="str">
        <f>+TEXT(Tabla3[[#This Row],[Date]],"mmm")</f>
        <v>sept</v>
      </c>
      <c r="D904" s="2">
        <v>1494.40002441406</v>
      </c>
      <c r="E904" s="2">
        <v>1494.40002441406</v>
      </c>
      <c r="F904" s="2">
        <v>1496.59997558593</v>
      </c>
      <c r="G904" s="2">
        <v>1490.19995117187</v>
      </c>
      <c r="H904" s="2">
        <v>1491.69995117187</v>
      </c>
      <c r="I904">
        <v>8</v>
      </c>
      <c r="J904" s="2">
        <f ca="1">IFERROR((Tabla3[[#This Row],[Close]]-OFFSET(Tabla3[[#This Row],[Close]],-1,0))/OFFSET(Tabla3[[#This Row],[Close]],-1,0),"")</f>
        <v>2.7511074626642928E-3</v>
      </c>
      <c r="K904" s="2">
        <f ca="1">IFERROR(AVERAGE(OFFSET(Tabla3[[#This Row],[Close]],-6,0,7)),"")</f>
        <v>1514.9571533203086</v>
      </c>
      <c r="L904" s="2">
        <f ca="1">IFERROR(_xlfn.STDEV.S(OFFSET(Tabla3[[#This Row],[Close]],-29,0,30)),"")</f>
        <v>31.109817009103239</v>
      </c>
    </row>
    <row r="905" spans="1:12" x14ac:dyDescent="0.3">
      <c r="A905" s="1">
        <v>43720</v>
      </c>
      <c r="B905" s="3">
        <f>YEAR(Tabla3[[#This Row],[Date]])</f>
        <v>2019</v>
      </c>
      <c r="C905" s="1" t="str">
        <f>+TEXT(Tabla3[[#This Row],[Date]],"mmm")</f>
        <v>sept</v>
      </c>
      <c r="D905" s="2">
        <v>1498.69995117187</v>
      </c>
      <c r="E905" s="2">
        <v>1498.69995117187</v>
      </c>
      <c r="F905" s="2">
        <v>1515.40002441406</v>
      </c>
      <c r="G905" s="2">
        <v>1498.69995117187</v>
      </c>
      <c r="H905" s="2">
        <v>1499.5</v>
      </c>
      <c r="I905">
        <v>27</v>
      </c>
      <c r="J905" s="2">
        <f ca="1">IFERROR((Tabla3[[#This Row],[Close]]-OFFSET(Tabla3[[#This Row],[Close]],-1,0))/OFFSET(Tabla3[[#This Row],[Close]],-1,0),"")</f>
        <v>2.877359935467051E-3</v>
      </c>
      <c r="K905" s="2">
        <f ca="1">IFERROR(AVERAGE(OFFSET(Tabla3[[#This Row],[Close]],-6,0,7)),"")</f>
        <v>1508.2142857142812</v>
      </c>
      <c r="L905" s="2">
        <f ca="1">IFERROR(_xlfn.STDEV.S(OFFSET(Tabla3[[#This Row],[Close]],-29,0,30)),"")</f>
        <v>27.584153998744842</v>
      </c>
    </row>
    <row r="906" spans="1:12" x14ac:dyDescent="0.3">
      <c r="A906" s="1">
        <v>43721</v>
      </c>
      <c r="B906" s="3">
        <f>YEAR(Tabla3[[#This Row],[Date]])</f>
        <v>2019</v>
      </c>
      <c r="C906" s="1" t="str">
        <f>+TEXT(Tabla3[[#This Row],[Date]],"mmm")</f>
        <v>sept</v>
      </c>
      <c r="D906" s="2">
        <v>1490.90002441406</v>
      </c>
      <c r="E906" s="2">
        <v>1490.90002441406</v>
      </c>
      <c r="F906" s="2">
        <v>1490.90002441406</v>
      </c>
      <c r="G906" s="2">
        <v>1486.90002441406</v>
      </c>
      <c r="H906" s="2">
        <v>1490.90002441406</v>
      </c>
      <c r="I906">
        <v>1</v>
      </c>
      <c r="J906" s="2">
        <f ca="1">IFERROR((Tabla3[[#This Row],[Close]]-OFFSET(Tabla3[[#This Row],[Close]],-1,0))/OFFSET(Tabla3[[#This Row],[Close]],-1,0),"")</f>
        <v>-5.2044618749143524E-3</v>
      </c>
      <c r="K906" s="2">
        <f ca="1">IFERROR(AVERAGE(OFFSET(Tabla3[[#This Row],[Close]],-6,0,7)),"")</f>
        <v>1499.7285679408444</v>
      </c>
      <c r="L906" s="2">
        <f ca="1">IFERROR(_xlfn.STDEV.S(OFFSET(Tabla3[[#This Row],[Close]],-29,0,30)),"")</f>
        <v>22.7707849317304</v>
      </c>
    </row>
    <row r="907" spans="1:12" x14ac:dyDescent="0.3">
      <c r="A907" s="1">
        <v>43724</v>
      </c>
      <c r="B907" s="3">
        <f>YEAR(Tabla3[[#This Row],[Date]])</f>
        <v>2019</v>
      </c>
      <c r="C907" s="1" t="str">
        <f>+TEXT(Tabla3[[#This Row],[Date]],"mmm")</f>
        <v>sept</v>
      </c>
      <c r="D907" s="2">
        <v>1503.09997558593</v>
      </c>
      <c r="E907" s="2">
        <v>1503.09997558593</v>
      </c>
      <c r="F907" s="2">
        <v>1506.80004882812</v>
      </c>
      <c r="G907" s="2">
        <v>1496.90002441406</v>
      </c>
      <c r="H907" s="2">
        <v>1506.59997558593</v>
      </c>
      <c r="I907">
        <v>21</v>
      </c>
      <c r="J907" s="2">
        <f ca="1">IFERROR((Tabla3[[#This Row],[Close]]-OFFSET(Tabla3[[#This Row],[Close]],-1,0))/OFFSET(Tabla3[[#This Row],[Close]],-1,0),"")</f>
        <v>8.18294384069429E-3</v>
      </c>
      <c r="K907" s="2">
        <f ca="1">IFERROR(AVERAGE(OFFSET(Tabla3[[#This Row],[Close]],-6,0,7)),"")</f>
        <v>1497.9714181082545</v>
      </c>
      <c r="L907" s="2">
        <f ca="1">IFERROR(_xlfn.STDEV.S(OFFSET(Tabla3[[#This Row],[Close]],-29,0,30)),"")</f>
        <v>19.599750166212605</v>
      </c>
    </row>
    <row r="908" spans="1:12" x14ac:dyDescent="0.3">
      <c r="A908" s="1">
        <v>43725</v>
      </c>
      <c r="B908" s="3">
        <f>YEAR(Tabla3[[#This Row],[Date]])</f>
        <v>2019</v>
      </c>
      <c r="C908" s="1" t="str">
        <f>+TEXT(Tabla3[[#This Row],[Date]],"mmm")</f>
        <v>sept</v>
      </c>
      <c r="D908" s="2">
        <v>1505.09997558593</v>
      </c>
      <c r="E908" s="2">
        <v>1505.09997558593</v>
      </c>
      <c r="F908" s="2">
        <v>1505.09997558593</v>
      </c>
      <c r="G908" s="2">
        <v>1497.90002441406</v>
      </c>
      <c r="H908" s="2">
        <v>1497.90002441406</v>
      </c>
      <c r="I908">
        <v>3</v>
      </c>
      <c r="J908" s="2">
        <f ca="1">IFERROR((Tabla3[[#This Row],[Close]]-OFFSET(Tabla3[[#This Row],[Close]],-1,0))/OFFSET(Tabla3[[#This Row],[Close]],-1,0),"")</f>
        <v>1.3305834824595558E-3</v>
      </c>
      <c r="K908" s="2">
        <f ca="1">IFERROR(AVERAGE(OFFSET(Tabla3[[#This Row],[Close]],-6,0,7)),"")</f>
        <v>1497.814278738834</v>
      </c>
      <c r="L908" s="2">
        <f ca="1">IFERROR(_xlfn.STDEV.S(OFFSET(Tabla3[[#This Row],[Close]],-29,0,30)),"")</f>
        <v>17.727962342277802</v>
      </c>
    </row>
    <row r="909" spans="1:12" x14ac:dyDescent="0.3">
      <c r="A909" s="1">
        <v>43726</v>
      </c>
      <c r="B909" s="3">
        <f>YEAR(Tabla3[[#This Row],[Date]])</f>
        <v>2019</v>
      </c>
      <c r="C909" s="1" t="str">
        <f>+TEXT(Tabla3[[#This Row],[Date]],"mmm")</f>
        <v>sept</v>
      </c>
      <c r="D909" s="2">
        <v>1507.5</v>
      </c>
      <c r="E909" s="2">
        <v>1507.5</v>
      </c>
      <c r="F909" s="2">
        <v>1509.40002441406</v>
      </c>
      <c r="G909" s="2">
        <v>1489.30004882812</v>
      </c>
      <c r="H909" s="2">
        <v>1508.90002441406</v>
      </c>
      <c r="I909">
        <v>8</v>
      </c>
      <c r="J909" s="2">
        <f ca="1">IFERROR((Tabla3[[#This Row],[Close]]-OFFSET(Tabla3[[#This Row],[Close]],-1,0))/OFFSET(Tabla3[[#This Row],[Close]],-1,0),"")</f>
        <v>1.594594680088067E-3</v>
      </c>
      <c r="K909" s="2">
        <f ca="1">IFERROR(AVERAGE(OFFSET(Tabla3[[#This Row],[Close]],-6,0,7)),"")</f>
        <v>1498.5714285714241</v>
      </c>
      <c r="L909" s="2">
        <f ca="1">IFERROR(_xlfn.STDEV.S(OFFSET(Tabla3[[#This Row],[Close]],-29,0,30)),"")</f>
        <v>16.217971686940686</v>
      </c>
    </row>
    <row r="910" spans="1:12" x14ac:dyDescent="0.3">
      <c r="A910" s="1">
        <v>43727</v>
      </c>
      <c r="B910" s="3">
        <f>YEAR(Tabla3[[#This Row],[Date]])</f>
        <v>2019</v>
      </c>
      <c r="C910" s="1" t="str">
        <f>+TEXT(Tabla3[[#This Row],[Date]],"mmm")</f>
        <v>sept</v>
      </c>
      <c r="D910" s="2">
        <v>1498.40002441406</v>
      </c>
      <c r="E910" s="2">
        <v>1498.40002441406</v>
      </c>
      <c r="F910" s="2">
        <v>1502.40002441406</v>
      </c>
      <c r="G910" s="2">
        <v>1496.09997558593</v>
      </c>
      <c r="H910" s="2">
        <v>1496.09997558593</v>
      </c>
      <c r="I910">
        <v>10</v>
      </c>
      <c r="J910" s="2">
        <f ca="1">IFERROR((Tabla3[[#This Row],[Close]]-OFFSET(Tabla3[[#This Row],[Close]],-1,0))/OFFSET(Tabla3[[#This Row],[Close]],-1,0),"")</f>
        <v>-6.0364680503747934E-3</v>
      </c>
      <c r="K910" s="2">
        <f ca="1">IFERROR(AVERAGE(OFFSET(Tabla3[[#This Row],[Close]],-6,0,7)),"")</f>
        <v>1499.7285679408444</v>
      </c>
      <c r="L910" s="2">
        <f ca="1">IFERROR(_xlfn.STDEV.S(OFFSET(Tabla3[[#This Row],[Close]],-29,0,30)),"")</f>
        <v>16.381994979167025</v>
      </c>
    </row>
    <row r="911" spans="1:12" x14ac:dyDescent="0.3">
      <c r="A911" s="1">
        <v>43728</v>
      </c>
      <c r="B911" s="3">
        <f>YEAR(Tabla3[[#This Row],[Date]])</f>
        <v>2019</v>
      </c>
      <c r="C911" s="1" t="str">
        <f>+TEXT(Tabla3[[#This Row],[Date]],"mmm")</f>
        <v>sept</v>
      </c>
      <c r="D911" s="2">
        <v>1507.30004882812</v>
      </c>
      <c r="E911" s="2">
        <v>1507.30004882812</v>
      </c>
      <c r="F911" s="2">
        <v>1507.30004882812</v>
      </c>
      <c r="G911" s="2">
        <v>1503</v>
      </c>
      <c r="H911" s="2">
        <v>1503</v>
      </c>
      <c r="I911">
        <v>2</v>
      </c>
      <c r="J911" s="2">
        <f ca="1">IFERROR((Tabla3[[#This Row],[Close]]-OFFSET(Tabla3[[#This Row],[Close]],-1,0))/OFFSET(Tabla3[[#This Row],[Close]],-1,0),"")</f>
        <v>5.9396851768874588E-3</v>
      </c>
      <c r="K911" s="2">
        <f ca="1">IFERROR(AVERAGE(OFFSET(Tabla3[[#This Row],[Close]],-6,0,7)),"")</f>
        <v>1501.5714285714243</v>
      </c>
      <c r="L911" s="2">
        <f ca="1">IFERROR(_xlfn.STDEV.S(OFFSET(Tabla3[[#This Row],[Close]],-29,0,30)),"")</f>
        <v>16.197608600010888</v>
      </c>
    </row>
    <row r="912" spans="1:12" x14ac:dyDescent="0.3">
      <c r="A912" s="1">
        <v>43731</v>
      </c>
      <c r="B912" s="3">
        <f>YEAR(Tabla3[[#This Row],[Date]])</f>
        <v>2019</v>
      </c>
      <c r="C912" s="1" t="str">
        <f>+TEXT(Tabla3[[#This Row],[Date]],"mmm")</f>
        <v>sept</v>
      </c>
      <c r="D912" s="2">
        <v>1523.69995117187</v>
      </c>
      <c r="E912" s="2">
        <v>1523.69995117187</v>
      </c>
      <c r="F912" s="2">
        <v>1523.69995117187</v>
      </c>
      <c r="G912" s="2">
        <v>1515.5</v>
      </c>
      <c r="H912" s="2">
        <v>1515.5</v>
      </c>
      <c r="I912">
        <v>5</v>
      </c>
      <c r="J912" s="2">
        <f ca="1">IFERROR((Tabla3[[#This Row],[Close]]-OFFSET(Tabla3[[#This Row],[Close]],-1,0))/OFFSET(Tabla3[[#This Row],[Close]],-1,0),"")</f>
        <v>1.0880316998928266E-2</v>
      </c>
      <c r="K912" s="2">
        <f ca="1">IFERROR(AVERAGE(OFFSET(Tabla3[[#This Row],[Close]],-6,0,7)),"")</f>
        <v>1505.1428571428528</v>
      </c>
      <c r="L912" s="2">
        <f ca="1">IFERROR(_xlfn.STDEV.S(OFFSET(Tabla3[[#This Row],[Close]],-29,0,30)),"")</f>
        <v>16.07977324684942</v>
      </c>
    </row>
    <row r="913" spans="1:12" x14ac:dyDescent="0.3">
      <c r="A913" s="1">
        <v>43732</v>
      </c>
      <c r="B913" s="3">
        <f>YEAR(Tabla3[[#This Row],[Date]])</f>
        <v>2019</v>
      </c>
      <c r="C913" s="1" t="str">
        <f>+TEXT(Tabla3[[#This Row],[Date]],"mmm")</f>
        <v>sept</v>
      </c>
      <c r="D913" s="2">
        <v>1532.09997558593</v>
      </c>
      <c r="E913" s="2">
        <v>1532.09997558593</v>
      </c>
      <c r="F913" s="2">
        <v>1533</v>
      </c>
      <c r="G913" s="2">
        <v>1515.09997558593</v>
      </c>
      <c r="H913" s="2">
        <v>1515.09997558593</v>
      </c>
      <c r="I913">
        <v>25</v>
      </c>
      <c r="J913" s="2">
        <f ca="1">IFERROR((Tabla3[[#This Row],[Close]]-OFFSET(Tabla3[[#This Row],[Close]],-1,0))/OFFSET(Tabla3[[#This Row],[Close]],-1,0),"")</f>
        <v>5.5129124389612155E-3</v>
      </c>
      <c r="K913" s="2">
        <f ca="1">IFERROR(AVERAGE(OFFSET(Tabla3[[#This Row],[Close]],-6,0,7)),"")</f>
        <v>1511.02856445312</v>
      </c>
      <c r="L913" s="2">
        <f ca="1">IFERROR(_xlfn.STDEV.S(OFFSET(Tabla3[[#This Row],[Close]],-29,0,30)),"")</f>
        <v>16.399397779373967</v>
      </c>
    </row>
    <row r="914" spans="1:12" x14ac:dyDescent="0.3">
      <c r="A914" s="1">
        <v>43733</v>
      </c>
      <c r="B914" s="3">
        <f>YEAR(Tabla3[[#This Row],[Date]])</f>
        <v>2019</v>
      </c>
      <c r="C914" s="1" t="str">
        <f>+TEXT(Tabla3[[#This Row],[Date]],"mmm")</f>
        <v>sept</v>
      </c>
      <c r="D914" s="2">
        <v>1504.59997558593</v>
      </c>
      <c r="E914" s="2">
        <v>1504.59997558593</v>
      </c>
      <c r="F914" s="2">
        <v>1527.90002441406</v>
      </c>
      <c r="G914" s="2">
        <v>1504.59997558593</v>
      </c>
      <c r="H914" s="2">
        <v>1527.59997558593</v>
      </c>
      <c r="I914">
        <v>25</v>
      </c>
      <c r="J914" s="2">
        <f ca="1">IFERROR((Tabla3[[#This Row],[Close]]-OFFSET(Tabla3[[#This Row],[Close]],-1,0))/OFFSET(Tabla3[[#This Row],[Close]],-1,0),"")</f>
        <v>-1.7949220310824045E-2</v>
      </c>
      <c r="K914" s="2">
        <f ca="1">IFERROR(AVERAGE(OFFSET(Tabla3[[#This Row],[Close]],-6,0,7)),"")</f>
        <v>1511.2428501674058</v>
      </c>
      <c r="L914" s="2">
        <f ca="1">IFERROR(_xlfn.STDEV.S(OFFSET(Tabla3[[#This Row],[Close]],-29,0,30)),"")</f>
        <v>16.34799418259799</v>
      </c>
    </row>
    <row r="915" spans="1:12" x14ac:dyDescent="0.3">
      <c r="A915" s="1">
        <v>43734</v>
      </c>
      <c r="B915" s="3">
        <f>YEAR(Tabla3[[#This Row],[Date]])</f>
        <v>2019</v>
      </c>
      <c r="C915" s="1" t="str">
        <f>+TEXT(Tabla3[[#This Row],[Date]],"mmm")</f>
        <v>sept</v>
      </c>
      <c r="D915" s="2">
        <v>1507.5</v>
      </c>
      <c r="E915" s="2">
        <v>1507.5</v>
      </c>
      <c r="F915" s="2">
        <v>1507.5</v>
      </c>
      <c r="G915" s="2">
        <v>1507.5</v>
      </c>
      <c r="H915" s="2">
        <v>1507.5</v>
      </c>
      <c r="I915">
        <v>8178</v>
      </c>
      <c r="J915" s="2">
        <f ca="1">IFERROR((Tabla3[[#This Row],[Close]]-OFFSET(Tabla3[[#This Row],[Close]],-1,0))/OFFSET(Tabla3[[#This Row],[Close]],-1,0),"")</f>
        <v>1.9274388283441644E-3</v>
      </c>
      <c r="K915" s="2">
        <f ca="1">IFERROR(AVERAGE(OFFSET(Tabla3[[#This Row],[Close]],-6,0,7)),"")</f>
        <v>1511.5857107979871</v>
      </c>
      <c r="L915" s="2">
        <f ca="1">IFERROR(_xlfn.STDEV.S(OFFSET(Tabla3[[#This Row],[Close]],-29,0,30)),"")</f>
        <v>16.379325069131745</v>
      </c>
    </row>
    <row r="916" spans="1:12" x14ac:dyDescent="0.3">
      <c r="A916" s="1">
        <v>43735</v>
      </c>
      <c r="B916" s="3">
        <f>YEAR(Tabla3[[#This Row],[Date]])</f>
        <v>2019</v>
      </c>
      <c r="C916" s="1" t="str">
        <f>+TEXT(Tabla3[[#This Row],[Date]],"mmm")</f>
        <v>sept</v>
      </c>
      <c r="D916" s="2">
        <v>1499.09997558593</v>
      </c>
      <c r="E916" s="2">
        <v>1499.09997558593</v>
      </c>
      <c r="F916" s="2">
        <v>1506.09997558593</v>
      </c>
      <c r="G916" s="2">
        <v>1485.59997558593</v>
      </c>
      <c r="H916" s="2">
        <v>1504.19995117187</v>
      </c>
      <c r="I916">
        <v>7827</v>
      </c>
      <c r="J916" s="2">
        <f ca="1">IFERROR((Tabla3[[#This Row],[Close]]-OFFSET(Tabla3[[#This Row],[Close]],-1,0))/OFFSET(Tabla3[[#This Row],[Close]],-1,0),"")</f>
        <v>-5.5721554985538992E-3</v>
      </c>
      <c r="K916" s="2">
        <f ca="1">IFERROR(AVERAGE(OFFSET(Tabla3[[#This Row],[Close]],-6,0,7)),"")</f>
        <v>1510.3857073102629</v>
      </c>
      <c r="L916" s="2">
        <f ca="1">IFERROR(_xlfn.STDEV.S(OFFSET(Tabla3[[#This Row],[Close]],-29,0,30)),"")</f>
        <v>16.535603283883709</v>
      </c>
    </row>
    <row r="917" spans="1:12" x14ac:dyDescent="0.3">
      <c r="A917" s="1">
        <v>43738</v>
      </c>
      <c r="B917" s="3">
        <f>YEAR(Tabla3[[#This Row],[Date]])</f>
        <v>2019</v>
      </c>
      <c r="C917" s="1" t="str">
        <f>+TEXT(Tabla3[[#This Row],[Date]],"mmm")</f>
        <v>sept</v>
      </c>
      <c r="D917" s="2">
        <v>1465.69995117187</v>
      </c>
      <c r="E917" s="2">
        <v>1465.69995117187</v>
      </c>
      <c r="F917" s="2">
        <v>1495.90002441406</v>
      </c>
      <c r="G917" s="2">
        <v>1463.5</v>
      </c>
      <c r="H917" s="2">
        <v>1495.90002441406</v>
      </c>
      <c r="I917">
        <v>1078</v>
      </c>
      <c r="J917" s="2">
        <f ca="1">IFERROR((Tabla3[[#This Row],[Close]]-OFFSET(Tabla3[[#This Row],[Close]],-1,0))/OFFSET(Tabla3[[#This Row],[Close]],-1,0),"")</f>
        <v>-2.2280051336139504E-2</v>
      </c>
      <c r="K917" s="2">
        <f ca="1">IFERROR(AVERAGE(OFFSET(Tabla3[[#This Row],[Close]],-6,0,7)),"")</f>
        <v>1505.7142682756642</v>
      </c>
      <c r="L917" s="2">
        <f ca="1">IFERROR(_xlfn.STDEV.S(OFFSET(Tabla3[[#This Row],[Close]],-29,0,30)),"")</f>
        <v>18.625458671846829</v>
      </c>
    </row>
    <row r="918" spans="1:12" x14ac:dyDescent="0.3">
      <c r="A918" s="1">
        <v>43739</v>
      </c>
      <c r="B918" s="3">
        <f>YEAR(Tabla3[[#This Row],[Date]])</f>
        <v>2019</v>
      </c>
      <c r="C918" s="1" t="str">
        <f>+TEXT(Tabla3[[#This Row],[Date]],"mmm")</f>
        <v>oct</v>
      </c>
      <c r="D918" s="2">
        <v>1482</v>
      </c>
      <c r="E918" s="2">
        <v>1482</v>
      </c>
      <c r="F918" s="2">
        <v>1485.5</v>
      </c>
      <c r="G918" s="2">
        <v>1458.30004882812</v>
      </c>
      <c r="H918" s="2">
        <v>1468.69995117187</v>
      </c>
      <c r="I918">
        <v>219</v>
      </c>
      <c r="J918" s="2">
        <f ca="1">IFERROR((Tabla3[[#This Row],[Close]]-OFFSET(Tabla3[[#This Row],[Close]],-1,0))/OFFSET(Tabla3[[#This Row],[Close]],-1,0),"")</f>
        <v>1.1120999775634594E-2</v>
      </c>
      <c r="K918" s="2">
        <f ca="1">IFERROR(AVERAGE(OFFSET(Tabla3[[#This Row],[Close]],-6,0,7)),"")</f>
        <v>1502.0999755859327</v>
      </c>
      <c r="L918" s="2">
        <f ca="1">IFERROR(_xlfn.STDEV.S(OFFSET(Tabla3[[#This Row],[Close]],-29,0,30)),"")</f>
        <v>19.280925068375257</v>
      </c>
    </row>
    <row r="919" spans="1:12" x14ac:dyDescent="0.3">
      <c r="A919" s="1">
        <v>43740</v>
      </c>
      <c r="B919" s="3">
        <f>YEAR(Tabla3[[#This Row],[Date]])</f>
        <v>2019</v>
      </c>
      <c r="C919" s="1" t="str">
        <f>+TEXT(Tabla3[[#This Row],[Date]],"mmm")</f>
        <v>oct</v>
      </c>
      <c r="D919" s="2">
        <v>1501</v>
      </c>
      <c r="E919" s="2">
        <v>1501</v>
      </c>
      <c r="F919" s="2">
        <v>1503.69995117187</v>
      </c>
      <c r="G919" s="2">
        <v>1474.09997558593</v>
      </c>
      <c r="H919" s="2">
        <v>1476.59997558593</v>
      </c>
      <c r="I919">
        <v>205</v>
      </c>
      <c r="J919" s="2">
        <f ca="1">IFERROR((Tabla3[[#This Row],[Close]]-OFFSET(Tabla3[[#This Row],[Close]],-1,0))/OFFSET(Tabla3[[#This Row],[Close]],-1,0),"")</f>
        <v>1.282051282051282E-2</v>
      </c>
      <c r="K919" s="2">
        <f ca="1">IFERROR(AVERAGE(OFFSET(Tabla3[[#This Row],[Close]],-6,0,7)),"")</f>
        <v>1498.8571254185229</v>
      </c>
      <c r="L919" s="2">
        <f ca="1">IFERROR(_xlfn.STDEV.S(OFFSET(Tabla3[[#This Row],[Close]],-29,0,30)),"")</f>
        <v>19.329880193567799</v>
      </c>
    </row>
    <row r="920" spans="1:12" x14ac:dyDescent="0.3">
      <c r="A920" s="1">
        <v>43741</v>
      </c>
      <c r="B920" s="3">
        <f>YEAR(Tabla3[[#This Row],[Date]])</f>
        <v>2019</v>
      </c>
      <c r="C920" s="1" t="str">
        <f>+TEXT(Tabla3[[#This Row],[Date]],"mmm")</f>
        <v>oct</v>
      </c>
      <c r="D920" s="2">
        <v>1507.09997558593</v>
      </c>
      <c r="E920" s="2">
        <v>1507.09997558593</v>
      </c>
      <c r="F920" s="2">
        <v>1518.19995117187</v>
      </c>
      <c r="G920" s="2">
        <v>1496.59997558593</v>
      </c>
      <c r="H920" s="2">
        <v>1497.40002441406</v>
      </c>
      <c r="I920">
        <v>1213</v>
      </c>
      <c r="J920" s="2">
        <f ca="1">IFERROR((Tabla3[[#This Row],[Close]]-OFFSET(Tabla3[[#This Row],[Close]],-1,0))/OFFSET(Tabla3[[#This Row],[Close]],-1,0),"")</f>
        <v>4.0639410965556269E-3</v>
      </c>
      <c r="K920" s="2">
        <f ca="1">IFERROR(AVERAGE(OFFSET(Tabla3[[#This Row],[Close]],-6,0,7)),"")</f>
        <v>1495.2856968470944</v>
      </c>
      <c r="L920" s="2">
        <f ca="1">IFERROR(_xlfn.STDEV.S(OFFSET(Tabla3[[#This Row],[Close]],-29,0,30)),"")</f>
        <v>19.309599776769549</v>
      </c>
    </row>
    <row r="921" spans="1:12" x14ac:dyDescent="0.3">
      <c r="A921" s="1">
        <v>43742</v>
      </c>
      <c r="B921" s="3">
        <f>YEAR(Tabla3[[#This Row],[Date]])</f>
        <v>2019</v>
      </c>
      <c r="C921" s="1" t="str">
        <f>+TEXT(Tabla3[[#This Row],[Date]],"mmm")</f>
        <v>oct</v>
      </c>
      <c r="D921" s="2">
        <v>1506.19995117187</v>
      </c>
      <c r="E921" s="2">
        <v>1506.19995117187</v>
      </c>
      <c r="F921" s="2">
        <v>1508.69995117187</v>
      </c>
      <c r="G921" s="2">
        <v>1497.09997558593</v>
      </c>
      <c r="H921" s="2">
        <v>1505.59997558593</v>
      </c>
      <c r="I921">
        <v>233</v>
      </c>
      <c r="J921" s="2">
        <f ca="1">IFERROR((Tabla3[[#This Row],[Close]]-OFFSET(Tabla3[[#This Row],[Close]],-1,0))/OFFSET(Tabla3[[#This Row],[Close]],-1,0),"")</f>
        <v>-5.9718958837491035E-4</v>
      </c>
      <c r="K921" s="2">
        <f ca="1">IFERROR(AVERAGE(OFFSET(Tabla3[[#This Row],[Close]],-6,0,7)),"")</f>
        <v>1495.5142647879427</v>
      </c>
      <c r="L921" s="2">
        <f ca="1">IFERROR(_xlfn.STDEV.S(OFFSET(Tabla3[[#This Row],[Close]],-29,0,30)),"")</f>
        <v>19.16866824981636</v>
      </c>
    </row>
    <row r="922" spans="1:12" x14ac:dyDescent="0.3">
      <c r="A922" s="1">
        <v>43745</v>
      </c>
      <c r="B922" s="3">
        <f>YEAR(Tabla3[[#This Row],[Date]])</f>
        <v>2019</v>
      </c>
      <c r="C922" s="1" t="str">
        <f>+TEXT(Tabla3[[#This Row],[Date]],"mmm")</f>
        <v>oct</v>
      </c>
      <c r="D922" s="2">
        <v>1497.69995117187</v>
      </c>
      <c r="E922" s="2">
        <v>1497.69995117187</v>
      </c>
      <c r="F922" s="2">
        <v>1505.80004882812</v>
      </c>
      <c r="G922" s="2">
        <v>1489.09997558593</v>
      </c>
      <c r="H922" s="2">
        <v>1504.80004882812</v>
      </c>
      <c r="I922">
        <v>121</v>
      </c>
      <c r="J922" s="2">
        <f ca="1">IFERROR((Tabla3[[#This Row],[Close]]-OFFSET(Tabla3[[#This Row],[Close]],-1,0))/OFFSET(Tabla3[[#This Row],[Close]],-1,0),"")</f>
        <v>-5.6433410407341587E-3</v>
      </c>
      <c r="K922" s="2">
        <f ca="1">IFERROR(AVERAGE(OFFSET(Tabla3[[#This Row],[Close]],-6,0,7)),"")</f>
        <v>1494.1142578124957</v>
      </c>
      <c r="L922" s="2">
        <f ca="1">IFERROR(_xlfn.STDEV.S(OFFSET(Tabla3[[#This Row],[Close]],-29,0,30)),"")</f>
        <v>19.069722825236042</v>
      </c>
    </row>
    <row r="923" spans="1:12" x14ac:dyDescent="0.3">
      <c r="A923" s="1">
        <v>43746</v>
      </c>
      <c r="B923" s="3">
        <f>YEAR(Tabla3[[#This Row],[Date]])</f>
        <v>2019</v>
      </c>
      <c r="C923" s="1" t="str">
        <f>+TEXT(Tabla3[[#This Row],[Date]],"mmm")</f>
        <v>oct</v>
      </c>
      <c r="D923" s="2">
        <v>1497.19995117187</v>
      </c>
      <c r="E923" s="2">
        <v>1497.19995117187</v>
      </c>
      <c r="F923" s="2">
        <v>1506.30004882812</v>
      </c>
      <c r="G923" s="2">
        <v>1489.30004882812</v>
      </c>
      <c r="H923" s="2">
        <v>1489.40002441406</v>
      </c>
      <c r="I923">
        <v>46</v>
      </c>
      <c r="J923" s="2">
        <f ca="1">IFERROR((Tabla3[[#This Row],[Close]]-OFFSET(Tabla3[[#This Row],[Close]],-1,0))/OFFSET(Tabla3[[#This Row],[Close]],-1,0),"")</f>
        <v>-3.3384524023572063E-4</v>
      </c>
      <c r="K923" s="2">
        <f ca="1">IFERROR(AVERAGE(OFFSET(Tabla3[[#This Row],[Close]],-6,0,7)),"")</f>
        <v>1493.842825753344</v>
      </c>
      <c r="L923" s="2">
        <f ca="1">IFERROR(_xlfn.STDEV.S(OFFSET(Tabla3[[#This Row],[Close]],-29,0,30)),"")</f>
        <v>18.939569661531145</v>
      </c>
    </row>
    <row r="924" spans="1:12" x14ac:dyDescent="0.3">
      <c r="A924" s="1">
        <v>43747</v>
      </c>
      <c r="B924" s="3">
        <f>YEAR(Tabla3[[#This Row],[Date]])</f>
        <v>2019</v>
      </c>
      <c r="C924" s="1" t="str">
        <f>+TEXT(Tabla3[[#This Row],[Date]],"mmm")</f>
        <v>oct</v>
      </c>
      <c r="D924" s="2">
        <v>1506.09997558593</v>
      </c>
      <c r="E924" s="2">
        <v>1506.09997558593</v>
      </c>
      <c r="F924" s="2">
        <v>1507.69995117187</v>
      </c>
      <c r="G924" s="2">
        <v>1498.40002441406</v>
      </c>
      <c r="H924" s="2">
        <v>1507.69995117187</v>
      </c>
      <c r="I924">
        <v>120</v>
      </c>
      <c r="J924" s="2">
        <f ca="1">IFERROR((Tabla3[[#This Row],[Close]]-OFFSET(Tabla3[[#This Row],[Close]],-1,0))/OFFSET(Tabla3[[#This Row],[Close]],-1,0),"")</f>
        <v>5.9444461022683586E-3</v>
      </c>
      <c r="K924" s="2">
        <f ca="1">IFERROR(AVERAGE(OFFSET(Tabla3[[#This Row],[Close]],-6,0,7)),"")</f>
        <v>1499.6142578124957</v>
      </c>
      <c r="L924" s="2">
        <f ca="1">IFERROR(_xlfn.STDEV.S(OFFSET(Tabla3[[#This Row],[Close]],-29,0,30)),"")</f>
        <v>17.938939387036211</v>
      </c>
    </row>
    <row r="925" spans="1:12" x14ac:dyDescent="0.3">
      <c r="A925" s="1">
        <v>43748</v>
      </c>
      <c r="B925" s="3">
        <f>YEAR(Tabla3[[#This Row],[Date]])</f>
        <v>2019</v>
      </c>
      <c r="C925" s="1" t="str">
        <f>+TEXT(Tabla3[[#This Row],[Date]],"mmm")</f>
        <v>oct</v>
      </c>
      <c r="D925" s="2">
        <v>1494.80004882812</v>
      </c>
      <c r="E925" s="2">
        <v>1494.80004882812</v>
      </c>
      <c r="F925" s="2">
        <v>1511.19995117187</v>
      </c>
      <c r="G925" s="2">
        <v>1490.59997558593</v>
      </c>
      <c r="H925" s="2">
        <v>1511.19995117187</v>
      </c>
      <c r="I925">
        <v>78</v>
      </c>
      <c r="J925" s="2">
        <f ca="1">IFERROR((Tabla3[[#This Row],[Close]]-OFFSET(Tabla3[[#This Row],[Close]],-1,0))/OFFSET(Tabla3[[#This Row],[Close]],-1,0),"")</f>
        <v>-7.5027733490360751E-3</v>
      </c>
      <c r="K925" s="2">
        <f ca="1">IFERROR(AVERAGE(OFFSET(Tabla3[[#This Row],[Close]],-6,0,7)),"")</f>
        <v>1501.4428362165127</v>
      </c>
      <c r="L925" s="2">
        <f ca="1">IFERROR(_xlfn.STDEV.S(OFFSET(Tabla3[[#This Row],[Close]],-29,0,30)),"")</f>
        <v>17.146102276033208</v>
      </c>
    </row>
    <row r="926" spans="1:12" x14ac:dyDescent="0.3">
      <c r="A926" s="1">
        <v>43749</v>
      </c>
      <c r="B926" s="3">
        <f>YEAR(Tabla3[[#This Row],[Date]])</f>
        <v>2019</v>
      </c>
      <c r="C926" s="1" t="str">
        <f>+TEXT(Tabla3[[#This Row],[Date]],"mmm")</f>
        <v>oct</v>
      </c>
      <c r="D926" s="2">
        <v>1482.69995117187</v>
      </c>
      <c r="E926" s="2">
        <v>1482.69995117187</v>
      </c>
      <c r="F926" s="2">
        <v>1494.90002441406</v>
      </c>
      <c r="G926" s="2">
        <v>1476.90002441406</v>
      </c>
      <c r="H926" s="2">
        <v>1491.90002441406</v>
      </c>
      <c r="I926">
        <v>57</v>
      </c>
      <c r="J926" s="2">
        <f ca="1">IFERROR((Tabla3[[#This Row],[Close]]-OFFSET(Tabla3[[#This Row],[Close]],-1,0))/OFFSET(Tabla3[[#This Row],[Close]],-1,0),"")</f>
        <v>-8.0947934579853175E-3</v>
      </c>
      <c r="K926" s="2">
        <f ca="1">IFERROR(AVERAGE(OFFSET(Tabla3[[#This Row],[Close]],-6,0,7)),"")</f>
        <v>1498.8285435267796</v>
      </c>
      <c r="L926" s="2">
        <f ca="1">IFERROR(_xlfn.STDEV.S(OFFSET(Tabla3[[#This Row],[Close]],-29,0,30)),"")</f>
        <v>17.222860953251875</v>
      </c>
    </row>
    <row r="927" spans="1:12" x14ac:dyDescent="0.3">
      <c r="A927" s="1">
        <v>43752</v>
      </c>
      <c r="B927" s="3">
        <f>YEAR(Tabla3[[#This Row],[Date]])</f>
        <v>2019</v>
      </c>
      <c r="C927" s="1" t="str">
        <f>+TEXT(Tabla3[[#This Row],[Date]],"mmm")</f>
        <v>oct</v>
      </c>
      <c r="D927" s="2">
        <v>1491.69995117187</v>
      </c>
      <c r="E927" s="2">
        <v>1491.69995117187</v>
      </c>
      <c r="F927" s="2">
        <v>1493.5</v>
      </c>
      <c r="G927" s="2">
        <v>1481.30004882812</v>
      </c>
      <c r="H927" s="2">
        <v>1484.40002441406</v>
      </c>
      <c r="I927">
        <v>400</v>
      </c>
      <c r="J927" s="2">
        <f ca="1">IFERROR((Tabla3[[#This Row],[Close]]-OFFSET(Tabla3[[#This Row],[Close]],-1,0))/OFFSET(Tabla3[[#This Row],[Close]],-1,0),"")</f>
        <v>6.0700076187948484E-3</v>
      </c>
      <c r="K927" s="2">
        <f ca="1">IFERROR(AVERAGE(OFFSET(Tabla3[[#This Row],[Close]],-6,0,7)),"")</f>
        <v>1496.628540039057</v>
      </c>
      <c r="L927" s="2">
        <f ca="1">IFERROR(_xlfn.STDEV.S(OFFSET(Tabla3[[#This Row],[Close]],-29,0,30)),"")</f>
        <v>17.161677362351767</v>
      </c>
    </row>
    <row r="928" spans="1:12" x14ac:dyDescent="0.3">
      <c r="A928" s="1">
        <v>43753</v>
      </c>
      <c r="B928" s="3">
        <f>YEAR(Tabla3[[#This Row],[Date]])</f>
        <v>2019</v>
      </c>
      <c r="C928" s="1" t="str">
        <f>+TEXT(Tabla3[[#This Row],[Date]],"mmm")</f>
        <v>oct</v>
      </c>
      <c r="D928" s="2">
        <v>1477.59997558593</v>
      </c>
      <c r="E928" s="2">
        <v>1477.59997558593</v>
      </c>
      <c r="F928" s="2">
        <v>1495.40002441406</v>
      </c>
      <c r="G928" s="2">
        <v>1476.59997558593</v>
      </c>
      <c r="H928" s="2">
        <v>1488.90002441406</v>
      </c>
      <c r="I928">
        <v>367</v>
      </c>
      <c r="J928" s="2">
        <f ca="1">IFERROR((Tabla3[[#This Row],[Close]]-OFFSET(Tabla3[[#This Row],[Close]],-1,0))/OFFSET(Tabla3[[#This Row],[Close]],-1,0),"")</f>
        <v>-9.4522866846399982E-3</v>
      </c>
      <c r="K928" s="2">
        <f ca="1">IFERROR(AVERAGE(OFFSET(Tabla3[[#This Row],[Close]],-6,0,7)),"")</f>
        <v>1492.5428292410656</v>
      </c>
      <c r="L928" s="2">
        <f ca="1">IFERROR(_xlfn.STDEV.S(OFFSET(Tabla3[[#This Row],[Close]],-29,0,30)),"")</f>
        <v>15.869946701968562</v>
      </c>
    </row>
    <row r="929" spans="1:12" x14ac:dyDescent="0.3">
      <c r="A929" s="1">
        <v>43754</v>
      </c>
      <c r="B929" s="3">
        <f>YEAR(Tabla3[[#This Row],[Date]])</f>
        <v>2019</v>
      </c>
      <c r="C929" s="1" t="str">
        <f>+TEXT(Tabla3[[#This Row],[Date]],"mmm")</f>
        <v>oct</v>
      </c>
      <c r="D929" s="2">
        <v>1488</v>
      </c>
      <c r="E929" s="2">
        <v>1488</v>
      </c>
      <c r="F929" s="2">
        <v>1488</v>
      </c>
      <c r="G929" s="2">
        <v>1480</v>
      </c>
      <c r="H929" s="2">
        <v>1482</v>
      </c>
      <c r="I929">
        <v>383</v>
      </c>
      <c r="J929" s="2">
        <f ca="1">IFERROR((Tabla3[[#This Row],[Close]]-OFFSET(Tabla3[[#This Row],[Close]],-1,0))/OFFSET(Tabla3[[#This Row],[Close]],-1,0),"")</f>
        <v>7.0384573537543276E-3</v>
      </c>
      <c r="K929" s="2">
        <f ca="1">IFERROR(AVERAGE(OFFSET(Tabla3[[#This Row],[Close]],-6,0,7)),"")</f>
        <v>1491.1571219307984</v>
      </c>
      <c r="L929" s="2">
        <f ca="1">IFERROR(_xlfn.STDEV.S(OFFSET(Tabla3[[#This Row],[Close]],-29,0,30)),"")</f>
        <v>13.106820356356948</v>
      </c>
    </row>
    <row r="930" spans="1:12" x14ac:dyDescent="0.3">
      <c r="A930" s="1">
        <v>43755</v>
      </c>
      <c r="B930" s="3">
        <f>YEAR(Tabla3[[#This Row],[Date]])</f>
        <v>2019</v>
      </c>
      <c r="C930" s="1" t="str">
        <f>+TEXT(Tabla3[[#This Row],[Date]],"mmm")</f>
        <v>oct</v>
      </c>
      <c r="D930" s="2">
        <v>1492.30004882812</v>
      </c>
      <c r="E930" s="2">
        <v>1492.30004882812</v>
      </c>
      <c r="F930" s="2">
        <v>1493.19995117187</v>
      </c>
      <c r="G930" s="2">
        <v>1485.80004882812</v>
      </c>
      <c r="H930" s="2">
        <v>1486.19995117187</v>
      </c>
      <c r="I930">
        <v>271</v>
      </c>
      <c r="J930" s="2">
        <f ca="1">IFERROR((Tabla3[[#This Row],[Close]]-OFFSET(Tabla3[[#This Row],[Close]],-1,0))/OFFSET(Tabla3[[#This Row],[Close]],-1,0),"")</f>
        <v>2.8898177608333319E-3</v>
      </c>
      <c r="K930" s="2">
        <f ca="1">IFERROR(AVERAGE(OFFSET(Tabla3[[#This Row],[Close]],-6,0,7)),"")</f>
        <v>1490.4571358816913</v>
      </c>
      <c r="L930" s="2">
        <f ca="1">IFERROR(_xlfn.STDEV.S(OFFSET(Tabla3[[#This Row],[Close]],-29,0,30)),"")</f>
        <v>12.814372774148048</v>
      </c>
    </row>
    <row r="931" spans="1:12" x14ac:dyDescent="0.3">
      <c r="A931" s="1">
        <v>43756</v>
      </c>
      <c r="B931" s="3">
        <f>YEAR(Tabla3[[#This Row],[Date]])</f>
        <v>2019</v>
      </c>
      <c r="C931" s="1" t="str">
        <f>+TEXT(Tabla3[[#This Row],[Date]],"mmm")</f>
        <v>oct</v>
      </c>
      <c r="D931" s="2">
        <v>1488.19995117187</v>
      </c>
      <c r="E931" s="2">
        <v>1488.19995117187</v>
      </c>
      <c r="F931" s="2">
        <v>1489.09997558593</v>
      </c>
      <c r="G931" s="2">
        <v>1486.59997558593</v>
      </c>
      <c r="H931" s="2">
        <v>1487.30004882812</v>
      </c>
      <c r="I931">
        <v>82</v>
      </c>
      <c r="J931" s="2">
        <f ca="1">IFERROR((Tabla3[[#This Row],[Close]]-OFFSET(Tabla3[[#This Row],[Close]],-1,0))/OFFSET(Tabla3[[#This Row],[Close]],-1,0),"")</f>
        <v>-2.747502192652036E-3</v>
      </c>
      <c r="K931" s="2">
        <f ca="1">IFERROR(AVERAGE(OFFSET(Tabla3[[#This Row],[Close]],-6,0,7)),"")</f>
        <v>1487.8999895368256</v>
      </c>
      <c r="L931" s="2">
        <f ca="1">IFERROR(_xlfn.STDEV.S(OFFSET(Tabla3[[#This Row],[Close]],-29,0,30)),"")</f>
        <v>12.872689076859736</v>
      </c>
    </row>
    <row r="932" spans="1:12" x14ac:dyDescent="0.3">
      <c r="A932" s="1">
        <v>43759</v>
      </c>
      <c r="B932" s="3">
        <f>YEAR(Tabla3[[#This Row],[Date]])</f>
        <v>2019</v>
      </c>
      <c r="C932" s="1" t="str">
        <f>+TEXT(Tabla3[[#This Row],[Date]],"mmm")</f>
        <v>oct</v>
      </c>
      <c r="D932" s="2">
        <v>1482.40002441406</v>
      </c>
      <c r="E932" s="2">
        <v>1482.40002441406</v>
      </c>
      <c r="F932" s="2">
        <v>1489.90002441406</v>
      </c>
      <c r="G932" s="2">
        <v>1481.5</v>
      </c>
      <c r="H932" s="2">
        <v>1489.90002441406</v>
      </c>
      <c r="I932">
        <v>72</v>
      </c>
      <c r="J932" s="2">
        <f ca="1">IFERROR((Tabla3[[#This Row],[Close]]-OFFSET(Tabla3[[#This Row],[Close]],-1,0))/OFFSET(Tabla3[[#This Row],[Close]],-1,0),"")</f>
        <v>-3.8972765408592422E-3</v>
      </c>
      <c r="K932" s="2">
        <f ca="1">IFERROR(AVERAGE(OFFSET(Tabla3[[#This Row],[Close]],-6,0,7)),"")</f>
        <v>1486.1285574776743</v>
      </c>
      <c r="L932" s="2">
        <f ca="1">IFERROR(_xlfn.STDEV.S(OFFSET(Tabla3[[#This Row],[Close]],-29,0,30)),"")</f>
        <v>13.159961193287611</v>
      </c>
    </row>
    <row r="933" spans="1:12" x14ac:dyDescent="0.3">
      <c r="A933" s="1">
        <v>43760</v>
      </c>
      <c r="B933" s="3">
        <f>YEAR(Tabla3[[#This Row],[Date]])</f>
        <v>2019</v>
      </c>
      <c r="C933" s="1" t="str">
        <f>+TEXT(Tabla3[[#This Row],[Date]],"mmm")</f>
        <v>oct</v>
      </c>
      <c r="D933" s="2">
        <v>1481.69995117187</v>
      </c>
      <c r="E933" s="2">
        <v>1481.69995117187</v>
      </c>
      <c r="F933" s="2">
        <v>1483.5</v>
      </c>
      <c r="G933" s="2">
        <v>1481.69995117187</v>
      </c>
      <c r="H933" s="2">
        <v>1483.40002441406</v>
      </c>
      <c r="I933">
        <v>99</v>
      </c>
      <c r="J933" s="2">
        <f ca="1">IFERROR((Tabla3[[#This Row],[Close]]-OFFSET(Tabla3[[#This Row],[Close]],-1,0))/OFFSET(Tabla3[[#This Row],[Close]],-1,0),"")</f>
        <v>-4.7225663158411991E-4</v>
      </c>
      <c r="K933" s="2">
        <f ca="1">IFERROR(AVERAGE(OFFSET(Tabla3[[#This Row],[Close]],-6,0,7)),"")</f>
        <v>1485.985700334817</v>
      </c>
      <c r="L933" s="2">
        <f ca="1">IFERROR(_xlfn.STDEV.S(OFFSET(Tabla3[[#This Row],[Close]],-29,0,30)),"")</f>
        <v>13.412259056178211</v>
      </c>
    </row>
    <row r="934" spans="1:12" x14ac:dyDescent="0.3">
      <c r="A934" s="1">
        <v>43761</v>
      </c>
      <c r="B934" s="3">
        <f>YEAR(Tabla3[[#This Row],[Date]])</f>
        <v>2019</v>
      </c>
      <c r="C934" s="1" t="str">
        <f>+TEXT(Tabla3[[#This Row],[Date]],"mmm")</f>
        <v>oct</v>
      </c>
      <c r="D934" s="2">
        <v>1489.90002441406</v>
      </c>
      <c r="E934" s="2">
        <v>1489.90002441406</v>
      </c>
      <c r="F934" s="2">
        <v>1490.30004882812</v>
      </c>
      <c r="G934" s="2">
        <v>1486.40002441406</v>
      </c>
      <c r="H934" s="2">
        <v>1486.40002441406</v>
      </c>
      <c r="I934">
        <v>67</v>
      </c>
      <c r="J934" s="2">
        <f ca="1">IFERROR((Tabla3[[#This Row],[Close]]-OFFSET(Tabla3[[#This Row],[Close]],-1,0))/OFFSET(Tabla3[[#This Row],[Close]],-1,0),"")</f>
        <v>5.5342333214660625E-3</v>
      </c>
      <c r="K934" s="2">
        <f ca="1">IFERROR(AVERAGE(OFFSET(Tabla3[[#This Row],[Close]],-6,0,7)),"")</f>
        <v>1485.7285679408444</v>
      </c>
      <c r="L934" s="2">
        <f ca="1">IFERROR(_xlfn.STDEV.S(OFFSET(Tabla3[[#This Row],[Close]],-29,0,30)),"")</f>
        <v>13.469232813762146</v>
      </c>
    </row>
    <row r="935" spans="1:12" x14ac:dyDescent="0.3">
      <c r="A935" s="1">
        <v>43762</v>
      </c>
      <c r="B935" s="3">
        <f>YEAR(Tabla3[[#This Row],[Date]])</f>
        <v>2019</v>
      </c>
      <c r="C935" s="1" t="str">
        <f>+TEXT(Tabla3[[#This Row],[Date]],"mmm")</f>
        <v>oct</v>
      </c>
      <c r="D935" s="2">
        <v>1498.90002441406</v>
      </c>
      <c r="E935" s="2">
        <v>1498.90002441406</v>
      </c>
      <c r="F935" s="2">
        <v>1501.19995117187</v>
      </c>
      <c r="G935" s="2">
        <v>1485.90002441406</v>
      </c>
      <c r="H935" s="2">
        <v>1490.5</v>
      </c>
      <c r="I935">
        <v>115</v>
      </c>
      <c r="J935" s="2">
        <f ca="1">IFERROR((Tabla3[[#This Row],[Close]]-OFFSET(Tabla3[[#This Row],[Close]],-1,0))/OFFSET(Tabla3[[#This Row],[Close]],-1,0),"")</f>
        <v>6.0406737717448337E-3</v>
      </c>
      <c r="K935" s="2">
        <f ca="1">IFERROR(AVERAGE(OFFSET(Tabla3[[#This Row],[Close]],-6,0,7)),"")</f>
        <v>1488.7714320591488</v>
      </c>
      <c r="L935" s="2">
        <f ca="1">IFERROR(_xlfn.STDEV.S(OFFSET(Tabla3[[#This Row],[Close]],-29,0,30)),"")</f>
        <v>13.470147932042769</v>
      </c>
    </row>
    <row r="936" spans="1:12" x14ac:dyDescent="0.3">
      <c r="A936" s="1">
        <v>43763</v>
      </c>
      <c r="B936" s="3">
        <f>YEAR(Tabla3[[#This Row],[Date]])</f>
        <v>2019</v>
      </c>
      <c r="C936" s="1" t="str">
        <f>+TEXT(Tabla3[[#This Row],[Date]],"mmm")</f>
        <v>oct</v>
      </c>
      <c r="D936" s="2">
        <v>1499.5</v>
      </c>
      <c r="E936" s="2">
        <v>1499.5</v>
      </c>
      <c r="F936" s="2">
        <v>1514.30004882812</v>
      </c>
      <c r="G936" s="2">
        <v>1499</v>
      </c>
      <c r="H936" s="2">
        <v>1501.40002441406</v>
      </c>
      <c r="I936">
        <v>93</v>
      </c>
      <c r="J936" s="2">
        <f ca="1">IFERROR((Tabla3[[#This Row],[Close]]-OFFSET(Tabla3[[#This Row],[Close]],-1,0))/OFFSET(Tabla3[[#This Row],[Close]],-1,0),"")</f>
        <v>4.0027725409807742E-4</v>
      </c>
      <c r="K936" s="2">
        <f ca="1">IFERROR(AVERAGE(OFFSET(Tabla3[[#This Row],[Close]],-6,0,7)),"")</f>
        <v>1490.4142892020056</v>
      </c>
      <c r="L936" s="2">
        <f ca="1">IFERROR(_xlfn.STDEV.S(OFFSET(Tabla3[[#This Row],[Close]],-29,0,30)),"")</f>
        <v>13.426928933079296</v>
      </c>
    </row>
    <row r="937" spans="1:12" x14ac:dyDescent="0.3">
      <c r="A937" s="1">
        <v>43766</v>
      </c>
      <c r="B937" s="3">
        <f>YEAR(Tabla3[[#This Row],[Date]])</f>
        <v>2019</v>
      </c>
      <c r="C937" s="1" t="str">
        <f>+TEXT(Tabla3[[#This Row],[Date]],"mmm")</f>
        <v>oct</v>
      </c>
      <c r="D937" s="2">
        <v>1490</v>
      </c>
      <c r="E937" s="2">
        <v>1490</v>
      </c>
      <c r="F937" s="2">
        <v>1504.09997558593</v>
      </c>
      <c r="G937" s="2">
        <v>1490</v>
      </c>
      <c r="H937" s="2">
        <v>1504.09997558593</v>
      </c>
      <c r="I937">
        <v>37</v>
      </c>
      <c r="J937" s="2">
        <f ca="1">IFERROR((Tabla3[[#This Row],[Close]]-OFFSET(Tabla3[[#This Row],[Close]],-1,0))/OFFSET(Tabla3[[#This Row],[Close]],-1,0),"")</f>
        <v>-6.3354451483827942E-3</v>
      </c>
      <c r="K937" s="2">
        <f ca="1">IFERROR(AVERAGE(OFFSET(Tabla3[[#This Row],[Close]],-6,0,7)),"")</f>
        <v>1490.0857107979884</v>
      </c>
      <c r="L937" s="2">
        <f ca="1">IFERROR(_xlfn.STDEV.S(OFFSET(Tabla3[[#This Row],[Close]],-29,0,30)),"")</f>
        <v>13.444915921386025</v>
      </c>
    </row>
    <row r="938" spans="1:12" x14ac:dyDescent="0.3">
      <c r="A938" s="1">
        <v>43767</v>
      </c>
      <c r="B938" s="3">
        <f>YEAR(Tabla3[[#This Row],[Date]])</f>
        <v>2019</v>
      </c>
      <c r="C938" s="1" t="str">
        <f>+TEXT(Tabla3[[#This Row],[Date]],"mmm")</f>
        <v>oct</v>
      </c>
      <c r="D938" s="2">
        <v>1487</v>
      </c>
      <c r="E938" s="2">
        <v>1487</v>
      </c>
      <c r="F938" s="2">
        <v>1487</v>
      </c>
      <c r="G938" s="2">
        <v>1485.90002441406</v>
      </c>
      <c r="H938" s="2">
        <v>1485.90002441406</v>
      </c>
      <c r="I938">
        <v>425</v>
      </c>
      <c r="J938" s="2">
        <f ca="1">IFERROR((Tabla3[[#This Row],[Close]]-OFFSET(Tabla3[[#This Row],[Close]],-1,0))/OFFSET(Tabla3[[#This Row],[Close]],-1,0),"")</f>
        <v>-2.0134228187919465E-3</v>
      </c>
      <c r="K938" s="2">
        <f ca="1">IFERROR(AVERAGE(OFFSET(Tabla3[[#This Row],[Close]],-6,0,7)),"")</f>
        <v>1489.914289202007</v>
      </c>
      <c r="L938" s="2">
        <f ca="1">IFERROR(_xlfn.STDEV.S(OFFSET(Tabla3[[#This Row],[Close]],-29,0,30)),"")</f>
        <v>13.468801945344223</v>
      </c>
    </row>
    <row r="939" spans="1:12" x14ac:dyDescent="0.3">
      <c r="A939" s="1">
        <v>43768</v>
      </c>
      <c r="B939" s="3">
        <f>YEAR(Tabla3[[#This Row],[Date]])</f>
        <v>2019</v>
      </c>
      <c r="C939" s="1" t="str">
        <f>+TEXT(Tabla3[[#This Row],[Date]],"mmm")</f>
        <v>oct</v>
      </c>
      <c r="D939" s="2">
        <v>1493.19995117187</v>
      </c>
      <c r="E939" s="2">
        <v>1493.19995117187</v>
      </c>
      <c r="F939" s="2">
        <v>1495.40002441406</v>
      </c>
      <c r="G939" s="2">
        <v>1481</v>
      </c>
      <c r="H939" s="2">
        <v>1487.19995117187</v>
      </c>
      <c r="I939">
        <v>320</v>
      </c>
      <c r="J939" s="2">
        <f ca="1">IFERROR((Tabla3[[#This Row],[Close]]-OFFSET(Tabla3[[#This Row],[Close]],-1,0))/OFFSET(Tabla3[[#This Row],[Close]],-1,0),"")</f>
        <v>4.1694358923133812E-3</v>
      </c>
      <c r="K939" s="2">
        <f ca="1">IFERROR(AVERAGE(OFFSET(Tabla3[[#This Row],[Close]],-6,0,7)),"")</f>
        <v>1491.4571358816941</v>
      </c>
      <c r="L939" s="2">
        <f ca="1">IFERROR(_xlfn.STDEV.S(OFFSET(Tabla3[[#This Row],[Close]],-29,0,30)),"")</f>
        <v>13.309518341764575</v>
      </c>
    </row>
    <row r="940" spans="1:12" x14ac:dyDescent="0.3">
      <c r="A940" s="1">
        <v>43769</v>
      </c>
      <c r="B940" s="3">
        <f>YEAR(Tabla3[[#This Row],[Date]])</f>
        <v>2019</v>
      </c>
      <c r="C940" s="1" t="str">
        <f>+TEXT(Tabla3[[#This Row],[Date]],"mmm")</f>
        <v>oct</v>
      </c>
      <c r="D940" s="2">
        <v>1511.40002441406</v>
      </c>
      <c r="E940" s="2">
        <v>1511.40002441406</v>
      </c>
      <c r="F940" s="2">
        <v>1513.09997558593</v>
      </c>
      <c r="G940" s="2">
        <v>1496.09997558593</v>
      </c>
      <c r="H940" s="2">
        <v>1496.09997558593</v>
      </c>
      <c r="I940">
        <v>210</v>
      </c>
      <c r="J940" s="2">
        <f ca="1">IFERROR((Tabla3[[#This Row],[Close]]-OFFSET(Tabla3[[#This Row],[Close]],-1,0))/OFFSET(Tabla3[[#This Row],[Close]],-1,0),"")</f>
        <v>1.2188637715870873E-2</v>
      </c>
      <c r="K940" s="2">
        <f ca="1">IFERROR(AVERAGE(OFFSET(Tabla3[[#This Row],[Close]],-6,0,7)),"")</f>
        <v>1495.7000034877215</v>
      </c>
      <c r="L940" s="2">
        <f ca="1">IFERROR(_xlfn.STDEV.S(OFFSET(Tabla3[[#This Row],[Close]],-29,0,30)),"")</f>
        <v>13.605867627283821</v>
      </c>
    </row>
    <row r="941" spans="1:12" x14ac:dyDescent="0.3">
      <c r="A941" s="1">
        <v>43770</v>
      </c>
      <c r="B941" s="3">
        <f>YEAR(Tabla3[[#This Row],[Date]])</f>
        <v>2019</v>
      </c>
      <c r="C941" s="1" t="str">
        <f>+TEXT(Tabla3[[#This Row],[Date]],"mmm")</f>
        <v>nov</v>
      </c>
      <c r="D941" s="2">
        <v>1508</v>
      </c>
      <c r="E941" s="2">
        <v>1508</v>
      </c>
      <c r="F941" s="2">
        <v>1511.59997558593</v>
      </c>
      <c r="G941" s="2">
        <v>1503</v>
      </c>
      <c r="H941" s="2">
        <v>1511</v>
      </c>
      <c r="I941">
        <v>235</v>
      </c>
      <c r="J941" s="2">
        <f ca="1">IFERROR((Tabla3[[#This Row],[Close]]-OFFSET(Tabla3[[#This Row],[Close]],-1,0))/OFFSET(Tabla3[[#This Row],[Close]],-1,0),"")</f>
        <v>-2.2495860520963811E-3</v>
      </c>
      <c r="K941" s="2">
        <f ca="1">IFERROR(AVERAGE(OFFSET(Tabla3[[#This Row],[Close]],-6,0,7)),"")</f>
        <v>1498.2857142857131</v>
      </c>
      <c r="L941" s="2">
        <f ca="1">IFERROR(_xlfn.STDEV.S(OFFSET(Tabla3[[#This Row],[Close]],-29,0,30)),"")</f>
        <v>13.62610829150591</v>
      </c>
    </row>
    <row r="942" spans="1:12" x14ac:dyDescent="0.3">
      <c r="A942" s="1">
        <v>43773</v>
      </c>
      <c r="B942" s="3">
        <f>YEAR(Tabla3[[#This Row],[Date]])</f>
        <v>2019</v>
      </c>
      <c r="C942" s="1" t="str">
        <f>+TEXT(Tabla3[[#This Row],[Date]],"mmm")</f>
        <v>nov</v>
      </c>
      <c r="D942" s="2">
        <v>1508</v>
      </c>
      <c r="E942" s="2">
        <v>1508</v>
      </c>
      <c r="F942" s="2">
        <v>1511.59997558593</v>
      </c>
      <c r="G942" s="2">
        <v>1508</v>
      </c>
      <c r="H942" s="2">
        <v>1511.59997558593</v>
      </c>
      <c r="I942">
        <v>101</v>
      </c>
      <c r="J942" s="2">
        <f ca="1">IFERROR((Tabla3[[#This Row],[Close]]-OFFSET(Tabla3[[#This Row],[Close]],-1,0))/OFFSET(Tabla3[[#This Row],[Close]],-1,0),"")</f>
        <v>0</v>
      </c>
      <c r="K942" s="2">
        <f ca="1">IFERROR(AVERAGE(OFFSET(Tabla3[[#This Row],[Close]],-6,0,7)),"")</f>
        <v>1499.58571079799</v>
      </c>
      <c r="L942" s="2">
        <f ca="1">IFERROR(_xlfn.STDEV.S(OFFSET(Tabla3[[#This Row],[Close]],-29,0,30)),"")</f>
        <v>12.812427417828973</v>
      </c>
    </row>
    <row r="943" spans="1:12" x14ac:dyDescent="0.3">
      <c r="A943" s="1">
        <v>43774</v>
      </c>
      <c r="B943" s="3">
        <f>YEAR(Tabla3[[#This Row],[Date]])</f>
        <v>2019</v>
      </c>
      <c r="C943" s="1" t="str">
        <f>+TEXT(Tabla3[[#This Row],[Date]],"mmm")</f>
        <v>nov</v>
      </c>
      <c r="D943" s="2">
        <v>1480.80004882812</v>
      </c>
      <c r="E943" s="2">
        <v>1480.80004882812</v>
      </c>
      <c r="F943" s="2">
        <v>1507.09997558593</v>
      </c>
      <c r="G943" s="2">
        <v>1480.80004882812</v>
      </c>
      <c r="H943" s="2">
        <v>1507.09997558593</v>
      </c>
      <c r="I943">
        <v>31</v>
      </c>
      <c r="J943" s="2">
        <f ca="1">IFERROR((Tabla3[[#This Row],[Close]]-OFFSET(Tabla3[[#This Row],[Close]],-1,0))/OFFSET(Tabla3[[#This Row],[Close]],-1,0),"")</f>
        <v>-1.803710289912467E-2</v>
      </c>
      <c r="K943" s="2">
        <f ca="1">IFERROR(AVERAGE(OFFSET(Tabla3[[#This Row],[Close]],-6,0,7)),"")</f>
        <v>1496.914289202007</v>
      </c>
      <c r="L943" s="2">
        <f ca="1">IFERROR(_xlfn.STDEV.S(OFFSET(Tabla3[[#This Row],[Close]],-29,0,30)),"")</f>
        <v>11.098258371703462</v>
      </c>
    </row>
    <row r="944" spans="1:12" x14ac:dyDescent="0.3">
      <c r="A944" s="1">
        <v>43775</v>
      </c>
      <c r="B944" s="3">
        <f>YEAR(Tabla3[[#This Row],[Date]])</f>
        <v>2019</v>
      </c>
      <c r="C944" s="1" t="str">
        <f>+TEXT(Tabla3[[#This Row],[Date]],"mmm")</f>
        <v>nov</v>
      </c>
      <c r="D944" s="2">
        <v>1490.19995117187</v>
      </c>
      <c r="E944" s="2">
        <v>1490.19995117187</v>
      </c>
      <c r="F944" s="2">
        <v>1491</v>
      </c>
      <c r="G944" s="2">
        <v>1483.19995117187</v>
      </c>
      <c r="H944" s="2">
        <v>1483.19995117187</v>
      </c>
      <c r="I944">
        <v>567</v>
      </c>
      <c r="J944" s="2">
        <f ca="1">IFERROR((Tabla3[[#This Row],[Close]]-OFFSET(Tabla3[[#This Row],[Close]],-1,0))/OFFSET(Tabla3[[#This Row],[Close]],-1,0),"")</f>
        <v>6.3478538855998301E-3</v>
      </c>
      <c r="K944" s="2">
        <f ca="1">IFERROR(AVERAGE(OFFSET(Tabla3[[#This Row],[Close]],-6,0,7)),"")</f>
        <v>1496.9428536551313</v>
      </c>
      <c r="L944" s="2">
        <f ca="1">IFERROR(_xlfn.STDEV.S(OFFSET(Tabla3[[#This Row],[Close]],-29,0,30)),"")</f>
        <v>10.934641864914049</v>
      </c>
    </row>
    <row r="945" spans="1:12" x14ac:dyDescent="0.3">
      <c r="A945" s="1">
        <v>43776</v>
      </c>
      <c r="B945" s="3">
        <f>YEAR(Tabla3[[#This Row],[Date]])</f>
        <v>2019</v>
      </c>
      <c r="C945" s="1" t="str">
        <f>+TEXT(Tabla3[[#This Row],[Date]],"mmm")</f>
        <v>nov</v>
      </c>
      <c r="D945" s="2">
        <v>1464.19995117187</v>
      </c>
      <c r="E945" s="2">
        <v>1464.19995117187</v>
      </c>
      <c r="F945" s="2">
        <v>1489.09997558593</v>
      </c>
      <c r="G945" s="2">
        <v>1464.19995117187</v>
      </c>
      <c r="H945" s="2">
        <v>1489.09997558593</v>
      </c>
      <c r="I945">
        <v>581</v>
      </c>
      <c r="J945" s="2">
        <f ca="1">IFERROR((Tabla3[[#This Row],[Close]]-OFFSET(Tabla3[[#This Row],[Close]],-1,0))/OFFSET(Tabla3[[#This Row],[Close]],-1,0),"")</f>
        <v>-1.7447323078727796E-2</v>
      </c>
      <c r="K945" s="2">
        <f ca="1">IFERROR(AVERAGE(OFFSET(Tabla3[[#This Row],[Close]],-6,0,7)),"")</f>
        <v>1493.6857038225412</v>
      </c>
      <c r="L945" s="2">
        <f ca="1">IFERROR(_xlfn.STDEV.S(OFFSET(Tabla3[[#This Row],[Close]],-29,0,30)),"")</f>
        <v>11.846749578980958</v>
      </c>
    </row>
    <row r="946" spans="1:12" x14ac:dyDescent="0.3">
      <c r="A946" s="1">
        <v>43777</v>
      </c>
      <c r="B946" s="3">
        <f>YEAR(Tabla3[[#This Row],[Date]])</f>
        <v>2019</v>
      </c>
      <c r="C946" s="1" t="str">
        <f>+TEXT(Tabla3[[#This Row],[Date]],"mmm")</f>
        <v>nov</v>
      </c>
      <c r="D946" s="2">
        <v>1461.30004882812</v>
      </c>
      <c r="E946" s="2">
        <v>1461.30004882812</v>
      </c>
      <c r="F946" s="2">
        <v>1469.09997558593</v>
      </c>
      <c r="G946" s="2">
        <v>1461.30004882812</v>
      </c>
      <c r="H946" s="2">
        <v>1469.09997558593</v>
      </c>
      <c r="I946">
        <v>21</v>
      </c>
      <c r="J946" s="2">
        <f ca="1">IFERROR((Tabla3[[#This Row],[Close]]-OFFSET(Tabla3[[#This Row],[Close]],-1,0))/OFFSET(Tabla3[[#This Row],[Close]],-1,0),"")</f>
        <v>-1.9805371127277174E-3</v>
      </c>
      <c r="K946" s="2">
        <f ca="1">IFERROR(AVERAGE(OFFSET(Tabla3[[#This Row],[Close]],-6,0,7)),"")</f>
        <v>1489.1285749162912</v>
      </c>
      <c r="L946" s="2">
        <f ca="1">IFERROR(_xlfn.STDEV.S(OFFSET(Tabla3[[#This Row],[Close]],-29,0,30)),"")</f>
        <v>13.026523775004479</v>
      </c>
    </row>
    <row r="947" spans="1:12" x14ac:dyDescent="0.3">
      <c r="A947" s="1">
        <v>43780</v>
      </c>
      <c r="B947" s="3">
        <f>YEAR(Tabla3[[#This Row],[Date]])</f>
        <v>2019</v>
      </c>
      <c r="C947" s="1" t="str">
        <f>+TEXT(Tabla3[[#This Row],[Date]],"mmm")</f>
        <v>nov</v>
      </c>
      <c r="D947" s="2">
        <v>1455.5</v>
      </c>
      <c r="E947" s="2">
        <v>1455.5</v>
      </c>
      <c r="F947" s="2">
        <v>1461</v>
      </c>
      <c r="G947" s="2">
        <v>1449.30004882812</v>
      </c>
      <c r="H947" s="2">
        <v>1461</v>
      </c>
      <c r="I947">
        <v>22</v>
      </c>
      <c r="J947" s="2">
        <f ca="1">IFERROR((Tabla3[[#This Row],[Close]]-OFFSET(Tabla3[[#This Row],[Close]],-1,0))/OFFSET(Tabla3[[#This Row],[Close]],-1,0),"")</f>
        <v>-3.9691019190557812E-3</v>
      </c>
      <c r="K947" s="2">
        <f ca="1">IFERROR(AVERAGE(OFFSET(Tabla3[[#This Row],[Close]],-6,0,7)),"")</f>
        <v>1481.1428571428539</v>
      </c>
      <c r="L947" s="2">
        <f ca="1">IFERROR(_xlfn.STDEV.S(OFFSET(Tabla3[[#This Row],[Close]],-29,0,30)),"")</f>
        <v>13.814251376582545</v>
      </c>
    </row>
    <row r="948" spans="1:12" x14ac:dyDescent="0.3">
      <c r="A948" s="1">
        <v>43781</v>
      </c>
      <c r="B948" s="3">
        <f>YEAR(Tabla3[[#This Row],[Date]])</f>
        <v>2019</v>
      </c>
      <c r="C948" s="1" t="str">
        <f>+TEXT(Tabla3[[#This Row],[Date]],"mmm")</f>
        <v>nov</v>
      </c>
      <c r="D948" s="2">
        <v>1452.09997558593</v>
      </c>
      <c r="E948" s="2">
        <v>1452.09997558593</v>
      </c>
      <c r="F948" s="2">
        <v>1454.90002441406</v>
      </c>
      <c r="G948" s="2">
        <v>1447.09997558593</v>
      </c>
      <c r="H948" s="2">
        <v>1454.90002441406</v>
      </c>
      <c r="I948">
        <v>6</v>
      </c>
      <c r="J948" s="2">
        <f ca="1">IFERROR((Tabla3[[#This Row],[Close]]-OFFSET(Tabla3[[#This Row],[Close]],-1,0))/OFFSET(Tabla3[[#This Row],[Close]],-1,0),"")</f>
        <v>-2.3359837953074569E-3</v>
      </c>
      <c r="K948" s="2">
        <f ca="1">IFERROR(AVERAGE(OFFSET(Tabla3[[#This Row],[Close]],-6,0,7)),"")</f>
        <v>1473.1571393694157</v>
      </c>
      <c r="L948" s="2">
        <f ca="1">IFERROR(_xlfn.STDEV.S(OFFSET(Tabla3[[#This Row],[Close]],-29,0,30)),"")</f>
        <v>15.431591326824226</v>
      </c>
    </row>
    <row r="949" spans="1:12" x14ac:dyDescent="0.3">
      <c r="A949" s="1">
        <v>43782</v>
      </c>
      <c r="B949" s="3">
        <f>YEAR(Tabla3[[#This Row],[Date]])</f>
        <v>2019</v>
      </c>
      <c r="C949" s="1" t="str">
        <f>+TEXT(Tabla3[[#This Row],[Date]],"mmm")</f>
        <v>nov</v>
      </c>
      <c r="D949" s="2">
        <v>1461.69995117187</v>
      </c>
      <c r="E949" s="2">
        <v>1461.69995117187</v>
      </c>
      <c r="F949" s="2">
        <v>1463.30004882812</v>
      </c>
      <c r="G949" s="2">
        <v>1456.80004882812</v>
      </c>
      <c r="H949" s="2">
        <v>1456.80004882812</v>
      </c>
      <c r="I949">
        <v>56</v>
      </c>
      <c r="J949" s="2">
        <f ca="1">IFERROR((Tabla3[[#This Row],[Close]]-OFFSET(Tabla3[[#This Row],[Close]],-1,0))/OFFSET(Tabla3[[#This Row],[Close]],-1,0),"")</f>
        <v>6.6110982352068151E-3</v>
      </c>
      <c r="K949" s="2">
        <f ca="1">IFERROR(AVERAGE(OFFSET(Tabla3[[#This Row],[Close]],-6,0,7)),"")</f>
        <v>1466.5428466796827</v>
      </c>
      <c r="L949" s="2">
        <f ca="1">IFERROR(_xlfn.STDEV.S(OFFSET(Tabla3[[#This Row],[Close]],-29,0,30)),"")</f>
        <v>16.075478363479345</v>
      </c>
    </row>
    <row r="950" spans="1:12" x14ac:dyDescent="0.3">
      <c r="A950" s="1">
        <v>43783</v>
      </c>
      <c r="B950" s="3">
        <f>YEAR(Tabla3[[#This Row],[Date]])</f>
        <v>2019</v>
      </c>
      <c r="C950" s="1" t="str">
        <f>+TEXT(Tabla3[[#This Row],[Date]],"mmm")</f>
        <v>nov</v>
      </c>
      <c r="D950" s="2">
        <v>1471.80004882812</v>
      </c>
      <c r="E950" s="2">
        <v>1471.80004882812</v>
      </c>
      <c r="F950" s="2">
        <v>1471.80004882812</v>
      </c>
      <c r="G950" s="2">
        <v>1463.69995117187</v>
      </c>
      <c r="H950" s="2">
        <v>1463.80004882812</v>
      </c>
      <c r="I950">
        <v>83</v>
      </c>
      <c r="J950" s="2">
        <f ca="1">IFERROR((Tabla3[[#This Row],[Close]]-OFFSET(Tabla3[[#This Row],[Close]],-1,0))/OFFSET(Tabla3[[#This Row],[Close]],-1,0),"")</f>
        <v>6.9098296460587396E-3</v>
      </c>
      <c r="K950" s="2">
        <f ca="1">IFERROR(AVERAGE(OFFSET(Tabla3[[#This Row],[Close]],-6,0,7)),"")</f>
        <v>1465.2571323939685</v>
      </c>
      <c r="L950" s="2">
        <f ca="1">IFERROR(_xlfn.STDEV.S(OFFSET(Tabla3[[#This Row],[Close]],-29,0,30)),"")</f>
        <v>15.934141930432952</v>
      </c>
    </row>
    <row r="951" spans="1:12" x14ac:dyDescent="0.3">
      <c r="A951" s="1">
        <v>43784</v>
      </c>
      <c r="B951" s="3">
        <f>YEAR(Tabla3[[#This Row],[Date]])</f>
        <v>2019</v>
      </c>
      <c r="C951" s="1" t="str">
        <f>+TEXT(Tabla3[[#This Row],[Date]],"mmm")</f>
        <v>nov</v>
      </c>
      <c r="D951" s="2">
        <v>1467.30004882812</v>
      </c>
      <c r="E951" s="2">
        <v>1467.30004882812</v>
      </c>
      <c r="F951" s="2">
        <v>1469.09997558593</v>
      </c>
      <c r="G951" s="2">
        <v>1467.30004882812</v>
      </c>
      <c r="H951" s="2">
        <v>1469.09997558593</v>
      </c>
      <c r="I951">
        <v>13</v>
      </c>
      <c r="J951" s="2">
        <f ca="1">IFERROR((Tabla3[[#This Row],[Close]]-OFFSET(Tabla3[[#This Row],[Close]],-1,0))/OFFSET(Tabla3[[#This Row],[Close]],-1,0),"")</f>
        <v>-3.0574805345216561E-3</v>
      </c>
      <c r="K951" s="2">
        <f ca="1">IFERROR(AVERAGE(OFFSET(Tabla3[[#This Row],[Close]],-6,0,7)),"")</f>
        <v>1461.9857177734327</v>
      </c>
      <c r="L951" s="2">
        <f ca="1">IFERROR(_xlfn.STDEV.S(OFFSET(Tabla3[[#This Row],[Close]],-29,0,30)),"")</f>
        <v>15.900854455507787</v>
      </c>
    </row>
    <row r="952" spans="1:12" x14ac:dyDescent="0.3">
      <c r="A952" s="1">
        <v>43787</v>
      </c>
      <c r="B952" s="3">
        <f>YEAR(Tabla3[[#This Row],[Date]])</f>
        <v>2019</v>
      </c>
      <c r="C952" s="1" t="str">
        <f>+TEXT(Tabla3[[#This Row],[Date]],"mmm")</f>
        <v>nov</v>
      </c>
      <c r="D952" s="2">
        <v>1470.90002441406</v>
      </c>
      <c r="E952" s="2">
        <v>1470.90002441406</v>
      </c>
      <c r="F952" s="2">
        <v>1472</v>
      </c>
      <c r="G952" s="2">
        <v>1469.69995117187</v>
      </c>
      <c r="H952" s="2">
        <v>1472</v>
      </c>
      <c r="I952">
        <v>141</v>
      </c>
      <c r="J952" s="2">
        <f ca="1">IFERROR((Tabla3[[#This Row],[Close]]-OFFSET(Tabla3[[#This Row],[Close]],-1,0))/OFFSET(Tabla3[[#This Row],[Close]],-1,0),"")</f>
        <v>2.4534692742736379E-3</v>
      </c>
      <c r="K952" s="2">
        <f ca="1">IFERROR(AVERAGE(OFFSET(Tabla3[[#This Row],[Close]],-6,0,7)),"")</f>
        <v>1462.9428710937457</v>
      </c>
      <c r="L952" s="2">
        <f ca="1">IFERROR(_xlfn.STDEV.S(OFFSET(Tabla3[[#This Row],[Close]],-29,0,30)),"")</f>
        <v>15.956551215187231</v>
      </c>
    </row>
    <row r="953" spans="1:12" x14ac:dyDescent="0.3">
      <c r="A953" s="1">
        <v>43788</v>
      </c>
      <c r="B953" s="3">
        <f>YEAR(Tabla3[[#This Row],[Date]])</f>
        <v>2019</v>
      </c>
      <c r="C953" s="1" t="str">
        <f>+TEXT(Tabla3[[#This Row],[Date]],"mmm")</f>
        <v>nov</v>
      </c>
      <c r="D953" s="2">
        <v>1473.30004882812</v>
      </c>
      <c r="E953" s="2">
        <v>1473.30004882812</v>
      </c>
      <c r="F953" s="2">
        <v>1474.30004882812</v>
      </c>
      <c r="G953" s="2">
        <v>1467.69995117187</v>
      </c>
      <c r="H953" s="2">
        <v>1467.69995117187</v>
      </c>
      <c r="I953">
        <v>18</v>
      </c>
      <c r="J953" s="2">
        <f ca="1">IFERROR((Tabla3[[#This Row],[Close]]-OFFSET(Tabla3[[#This Row],[Close]],-1,0))/OFFSET(Tabla3[[#This Row],[Close]],-1,0),"")</f>
        <v>1.6316706602925377E-3</v>
      </c>
      <c r="K953" s="2">
        <f ca="1">IFERROR(AVERAGE(OFFSET(Tabla3[[#This Row],[Close]],-6,0,7)),"")</f>
        <v>1464.6571568080312</v>
      </c>
      <c r="L953" s="2">
        <f ca="1">IFERROR(_xlfn.STDEV.S(OFFSET(Tabla3[[#This Row],[Close]],-29,0,30)),"")</f>
        <v>15.913366057468512</v>
      </c>
    </row>
    <row r="954" spans="1:12" x14ac:dyDescent="0.3">
      <c r="A954" s="1">
        <v>43789</v>
      </c>
      <c r="B954" s="3">
        <f>YEAR(Tabla3[[#This Row],[Date]])</f>
        <v>2019</v>
      </c>
      <c r="C954" s="1" t="str">
        <f>+TEXT(Tabla3[[#This Row],[Date]],"mmm")</f>
        <v>nov</v>
      </c>
      <c r="D954" s="2">
        <v>1473.30004882812</v>
      </c>
      <c r="E954" s="2">
        <v>1473.30004882812</v>
      </c>
      <c r="F954" s="2">
        <v>1474.5</v>
      </c>
      <c r="G954" s="2">
        <v>1467.30004882812</v>
      </c>
      <c r="H954" s="2">
        <v>1472.59997558593</v>
      </c>
      <c r="I954">
        <v>31</v>
      </c>
      <c r="J954" s="2">
        <f ca="1">IFERROR((Tabla3[[#This Row],[Close]]-OFFSET(Tabla3[[#This Row],[Close]],-1,0))/OFFSET(Tabla3[[#This Row],[Close]],-1,0),"")</f>
        <v>0</v>
      </c>
      <c r="K954" s="2">
        <f ca="1">IFERROR(AVERAGE(OFFSET(Tabla3[[#This Row],[Close]],-6,0,7)),"")</f>
        <v>1467.200020926334</v>
      </c>
      <c r="L954" s="2">
        <f ca="1">IFERROR(_xlfn.STDEV.S(OFFSET(Tabla3[[#This Row],[Close]],-29,0,30)),"")</f>
        <v>15.464234098103075</v>
      </c>
    </row>
    <row r="955" spans="1:12" x14ac:dyDescent="0.3">
      <c r="A955" s="1">
        <v>43790</v>
      </c>
      <c r="B955" s="3">
        <f>YEAR(Tabla3[[#This Row],[Date]])</f>
        <v>2019</v>
      </c>
      <c r="C955" s="1" t="str">
        <f>+TEXT(Tabla3[[#This Row],[Date]],"mmm")</f>
        <v>nov</v>
      </c>
      <c r="D955" s="2">
        <v>1463.09997558593</v>
      </c>
      <c r="E955" s="2">
        <v>1463.09997558593</v>
      </c>
      <c r="F955" s="2">
        <v>1463.09997558593</v>
      </c>
      <c r="G955" s="2">
        <v>1463.09997558593</v>
      </c>
      <c r="H955" s="2">
        <v>1463.09997558593</v>
      </c>
      <c r="I955">
        <v>16</v>
      </c>
      <c r="J955" s="2">
        <f ca="1">IFERROR((Tabla3[[#This Row],[Close]]-OFFSET(Tabla3[[#This Row],[Close]],-1,0))/OFFSET(Tabla3[[#This Row],[Close]],-1,0),"")</f>
        <v>-6.9232830408871961E-3</v>
      </c>
      <c r="K955" s="2">
        <f ca="1">IFERROR(AVERAGE(OFFSET(Tabla3[[#This Row],[Close]],-6,0,7)),"")</f>
        <v>1468.7714494977629</v>
      </c>
      <c r="L955" s="2">
        <f ca="1">IFERROR(_xlfn.STDEV.S(OFFSET(Tabla3[[#This Row],[Close]],-29,0,30)),"")</f>
        <v>15.705859173647669</v>
      </c>
    </row>
    <row r="956" spans="1:12" x14ac:dyDescent="0.3">
      <c r="A956" s="1">
        <v>43791</v>
      </c>
      <c r="B956" s="3">
        <f>YEAR(Tabla3[[#This Row],[Date]])</f>
        <v>2019</v>
      </c>
      <c r="C956" s="1" t="str">
        <f>+TEXT(Tabla3[[#This Row],[Date]],"mmm")</f>
        <v>nov</v>
      </c>
      <c r="D956" s="2">
        <v>1463.09997558593</v>
      </c>
      <c r="E956" s="2">
        <v>1463.09997558593</v>
      </c>
      <c r="F956" s="2">
        <v>1468.59997558593</v>
      </c>
      <c r="G956" s="2">
        <v>1463.09997558593</v>
      </c>
      <c r="H956" s="2">
        <v>1468.59997558593</v>
      </c>
      <c r="I956">
        <v>19</v>
      </c>
      <c r="J956" s="2">
        <f ca="1">IFERROR((Tabla3[[#This Row],[Close]]-OFFSET(Tabla3[[#This Row],[Close]],-1,0))/OFFSET(Tabla3[[#This Row],[Close]],-1,0),"")</f>
        <v>0</v>
      </c>
      <c r="K956" s="2">
        <f ca="1">IFERROR(AVERAGE(OFFSET(Tabla3[[#This Row],[Close]],-6,0,7)),"")</f>
        <v>1468.9714529854857</v>
      </c>
      <c r="L956" s="2">
        <f ca="1">IFERROR(_xlfn.STDEV.S(OFFSET(Tabla3[[#This Row],[Close]],-29,0,30)),"")</f>
        <v>16.073361329800928</v>
      </c>
    </row>
    <row r="957" spans="1:12" x14ac:dyDescent="0.3">
      <c r="A957" s="1">
        <v>43794</v>
      </c>
      <c r="B957" s="3">
        <f>YEAR(Tabla3[[#This Row],[Date]])</f>
        <v>2019</v>
      </c>
      <c r="C957" s="1" t="str">
        <f>+TEXT(Tabla3[[#This Row],[Date]],"mmm")</f>
        <v>nov</v>
      </c>
      <c r="D957" s="2">
        <v>1456.59997558593</v>
      </c>
      <c r="E957" s="2">
        <v>1456.59997558593</v>
      </c>
      <c r="F957" s="2">
        <v>1457.09997558593</v>
      </c>
      <c r="G957" s="2">
        <v>1455.5</v>
      </c>
      <c r="H957" s="2">
        <v>1457.09997558593</v>
      </c>
      <c r="I957">
        <v>14</v>
      </c>
      <c r="J957" s="2">
        <f ca="1">IFERROR((Tabla3[[#This Row],[Close]]-OFFSET(Tabla3[[#This Row],[Close]],-1,0))/OFFSET(Tabla3[[#This Row],[Close]],-1,0),"")</f>
        <v>-4.4426219044921616E-3</v>
      </c>
      <c r="K957" s="2">
        <f ca="1">IFERROR(AVERAGE(OFFSET(Tabla3[[#This Row],[Close]],-6,0,7)),"")</f>
        <v>1466.8000139508872</v>
      </c>
      <c r="L957" s="2">
        <f ca="1">IFERROR(_xlfn.STDEV.S(OFFSET(Tabla3[[#This Row],[Close]],-29,0,30)),"")</f>
        <v>16.554004337819112</v>
      </c>
    </row>
    <row r="958" spans="1:12" x14ac:dyDescent="0.3">
      <c r="A958" s="1">
        <v>43795</v>
      </c>
      <c r="B958" s="3">
        <f>YEAR(Tabla3[[#This Row],[Date]])</f>
        <v>2019</v>
      </c>
      <c r="C958" s="1" t="str">
        <f>+TEXT(Tabla3[[#This Row],[Date]],"mmm")</f>
        <v>nov</v>
      </c>
      <c r="D958" s="2">
        <v>1459.80004882812</v>
      </c>
      <c r="E958" s="2">
        <v>1459.80004882812</v>
      </c>
      <c r="F958" s="2">
        <v>1459.80004882812</v>
      </c>
      <c r="G958" s="2">
        <v>1459.80004882812</v>
      </c>
      <c r="H958" s="2">
        <v>1459.80004882812</v>
      </c>
      <c r="I958">
        <v>346362</v>
      </c>
      <c r="J958" s="2">
        <f ca="1">IFERROR((Tabla3[[#This Row],[Close]]-OFFSET(Tabla3[[#This Row],[Close]],-1,0))/OFFSET(Tabla3[[#This Row],[Close]],-1,0),"")</f>
        <v>2.1969472029564905E-3</v>
      </c>
      <c r="K958" s="2">
        <f ca="1">IFERROR(AVERAGE(OFFSET(Tabla3[[#This Row],[Close]],-6,0,7)),"")</f>
        <v>1465.7285853794585</v>
      </c>
      <c r="L958" s="2">
        <f ca="1">IFERROR(_xlfn.STDEV.S(OFFSET(Tabla3[[#This Row],[Close]],-29,0,30)),"")</f>
        <v>16.958647586448777</v>
      </c>
    </row>
    <row r="959" spans="1:12" x14ac:dyDescent="0.3">
      <c r="A959" s="1">
        <v>43796</v>
      </c>
      <c r="B959" s="3">
        <f>YEAR(Tabla3[[#This Row],[Date]])</f>
        <v>2019</v>
      </c>
      <c r="C959" s="1" t="str">
        <f>+TEXT(Tabla3[[#This Row],[Date]],"mmm")</f>
        <v>nov</v>
      </c>
      <c r="D959" s="2">
        <v>1453.40002441406</v>
      </c>
      <c r="E959" s="2">
        <v>1453.40002441406</v>
      </c>
      <c r="F959" s="2">
        <v>1461.90002441406</v>
      </c>
      <c r="G959" s="2">
        <v>1452</v>
      </c>
      <c r="H959" s="2">
        <v>1461.09997558593</v>
      </c>
      <c r="I959">
        <v>88364</v>
      </c>
      <c r="J959" s="2">
        <f ca="1">IFERROR((Tabla3[[#This Row],[Close]]-OFFSET(Tabla3[[#This Row],[Close]],-1,0))/OFFSET(Tabla3[[#This Row],[Close]],-1,0),"")</f>
        <v>-4.3841787916076109E-3</v>
      </c>
      <c r="K959" s="2">
        <f ca="1">IFERROR(AVERAGE(OFFSET(Tabla3[[#This Row],[Close]],-6,0,7)),"")</f>
        <v>1463.2285853794588</v>
      </c>
      <c r="L959" s="2">
        <f ca="1">IFERROR(_xlfn.STDEV.S(OFFSET(Tabla3[[#This Row],[Close]],-29,0,30)),"")</f>
        <v>17.524239216566983</v>
      </c>
    </row>
    <row r="960" spans="1:12" x14ac:dyDescent="0.3">
      <c r="A960" s="1">
        <v>43798</v>
      </c>
      <c r="B960" s="3">
        <f>YEAR(Tabla3[[#This Row],[Date]])</f>
        <v>2019</v>
      </c>
      <c r="C960" s="1" t="str">
        <f>+TEXT(Tabla3[[#This Row],[Date]],"mmm")</f>
        <v>nov</v>
      </c>
      <c r="D960" s="2">
        <v>1465.59997558593</v>
      </c>
      <c r="E960" s="2">
        <v>1465.59997558593</v>
      </c>
      <c r="F960" s="2">
        <v>1465.59997558593</v>
      </c>
      <c r="G960" s="2">
        <v>1452.09997558593</v>
      </c>
      <c r="H960" s="2">
        <v>1453.59997558593</v>
      </c>
      <c r="I960">
        <v>7020</v>
      </c>
      <c r="J960" s="2">
        <f ca="1">IFERROR((Tabla3[[#This Row],[Close]]-OFFSET(Tabla3[[#This Row],[Close]],-1,0))/OFFSET(Tabla3[[#This Row],[Close]],-1,0),"")</f>
        <v>8.3940766251111246E-3</v>
      </c>
      <c r="K960" s="2">
        <f ca="1">IFERROR(AVERAGE(OFFSET(Tabla3[[#This Row],[Close]],-6,0,7)),"")</f>
        <v>1462.1285749162887</v>
      </c>
      <c r="L960" s="2">
        <f ca="1">IFERROR(_xlfn.STDEV.S(OFFSET(Tabla3[[#This Row],[Close]],-29,0,30)),"")</f>
        <v>17.466438977686192</v>
      </c>
    </row>
    <row r="961" spans="1:12" x14ac:dyDescent="0.3">
      <c r="A961" s="1">
        <v>43801</v>
      </c>
      <c r="B961" s="3">
        <f>YEAR(Tabla3[[#This Row],[Date]])</f>
        <v>2019</v>
      </c>
      <c r="C961" s="1" t="str">
        <f>+TEXT(Tabla3[[#This Row],[Date]],"mmm")</f>
        <v>dic</v>
      </c>
      <c r="D961" s="2">
        <v>1462.30004882812</v>
      </c>
      <c r="E961" s="2">
        <v>1462.30004882812</v>
      </c>
      <c r="F961" s="2">
        <v>1464.40002441406</v>
      </c>
      <c r="G961" s="2">
        <v>1453.30004882812</v>
      </c>
      <c r="H961" s="2">
        <v>1462.80004882812</v>
      </c>
      <c r="I961">
        <v>2172</v>
      </c>
      <c r="J961" s="2">
        <f ca="1">IFERROR((Tabla3[[#This Row],[Close]]-OFFSET(Tabla3[[#This Row],[Close]],-1,0))/OFFSET(Tabla3[[#This Row],[Close]],-1,0),"")</f>
        <v>-2.2515876178905679E-3</v>
      </c>
      <c r="K961" s="2">
        <f ca="1">IFERROR(AVERAGE(OFFSET(Tabla3[[#This Row],[Close]],-6,0,7)),"")</f>
        <v>1460.5571463448598</v>
      </c>
      <c r="L961" s="2">
        <f ca="1">IFERROR(_xlfn.STDEV.S(OFFSET(Tabla3[[#This Row],[Close]],-29,0,30)),"")</f>
        <v>17.554420899252985</v>
      </c>
    </row>
    <row r="962" spans="1:12" x14ac:dyDescent="0.3">
      <c r="A962" s="1">
        <v>43802</v>
      </c>
      <c r="B962" s="3">
        <f>YEAR(Tabla3[[#This Row],[Date]])</f>
        <v>2019</v>
      </c>
      <c r="C962" s="1" t="str">
        <f>+TEXT(Tabla3[[#This Row],[Date]],"mmm")</f>
        <v>dic</v>
      </c>
      <c r="D962" s="2">
        <v>1478.19995117187</v>
      </c>
      <c r="E962" s="2">
        <v>1478.19995117187</v>
      </c>
      <c r="F962" s="2">
        <v>1480.40002441406</v>
      </c>
      <c r="G962" s="2">
        <v>1459.5</v>
      </c>
      <c r="H962" s="2">
        <v>1461.59997558593</v>
      </c>
      <c r="I962">
        <v>1460</v>
      </c>
      <c r="J962" s="2">
        <f ca="1">IFERROR((Tabla3[[#This Row],[Close]]-OFFSET(Tabla3[[#This Row],[Close]],-1,0))/OFFSET(Tabla3[[#This Row],[Close]],-1,0),"")</f>
        <v>1.0873214670608883E-2</v>
      </c>
      <c r="K962" s="2">
        <f ca="1">IFERROR(AVERAGE(OFFSET(Tabla3[[#This Row],[Close]],-6,0,7)),"")</f>
        <v>1462.7142857142801</v>
      </c>
      <c r="L962" s="2">
        <f ca="1">IFERROR(_xlfn.STDEV.S(OFFSET(Tabla3[[#This Row],[Close]],-29,0,30)),"")</f>
        <v>17.522821257383416</v>
      </c>
    </row>
    <row r="963" spans="1:12" x14ac:dyDescent="0.3">
      <c r="A963" s="1">
        <v>43803</v>
      </c>
      <c r="B963" s="3">
        <f>YEAR(Tabla3[[#This Row],[Date]])</f>
        <v>2019</v>
      </c>
      <c r="C963" s="1" t="str">
        <f>+TEXT(Tabla3[[#This Row],[Date]],"mmm")</f>
        <v>dic</v>
      </c>
      <c r="D963" s="2">
        <v>1474</v>
      </c>
      <c r="E963" s="2">
        <v>1474</v>
      </c>
      <c r="F963" s="2">
        <v>1483.40002441406</v>
      </c>
      <c r="G963" s="2">
        <v>1471.19995117187</v>
      </c>
      <c r="H963" s="2">
        <v>1477.5</v>
      </c>
      <c r="I963">
        <v>613</v>
      </c>
      <c r="J963" s="2">
        <f ca="1">IFERROR((Tabla3[[#This Row],[Close]]-OFFSET(Tabla3[[#This Row],[Close]],-1,0))/OFFSET(Tabla3[[#This Row],[Close]],-1,0),"")</f>
        <v>-2.8412605267240129E-3</v>
      </c>
      <c r="K963" s="2">
        <f ca="1">IFERROR(AVERAGE(OFFSET(Tabla3[[#This Row],[Close]],-6,0,7)),"")</f>
        <v>1464.2714320591472</v>
      </c>
      <c r="L963" s="2">
        <f ca="1">IFERROR(_xlfn.STDEV.S(OFFSET(Tabla3[[#This Row],[Close]],-29,0,30)),"")</f>
        <v>17.498940137534209</v>
      </c>
    </row>
    <row r="964" spans="1:12" x14ac:dyDescent="0.3">
      <c r="A964" s="1">
        <v>43804</v>
      </c>
      <c r="B964" s="3">
        <f>YEAR(Tabla3[[#This Row],[Date]])</f>
        <v>2019</v>
      </c>
      <c r="C964" s="1" t="str">
        <f>+TEXT(Tabla3[[#This Row],[Date]],"mmm")</f>
        <v>dic</v>
      </c>
      <c r="D964" s="2">
        <v>1476.90002441406</v>
      </c>
      <c r="E964" s="2">
        <v>1476.90002441406</v>
      </c>
      <c r="F964" s="2">
        <v>1478</v>
      </c>
      <c r="G964" s="2">
        <v>1472.30004882812</v>
      </c>
      <c r="H964" s="2">
        <v>1474.69995117187</v>
      </c>
      <c r="I964">
        <v>907</v>
      </c>
      <c r="J964" s="2">
        <f ca="1">IFERROR((Tabla3[[#This Row],[Close]]-OFFSET(Tabla3[[#This Row],[Close]],-1,0))/OFFSET(Tabla3[[#This Row],[Close]],-1,0),"")</f>
        <v>1.9674521126594293E-3</v>
      </c>
      <c r="K964" s="2">
        <f ca="1">IFERROR(AVERAGE(OFFSET(Tabla3[[#This Row],[Close]],-6,0,7)),"")</f>
        <v>1467.1714390345944</v>
      </c>
      <c r="L964" s="2">
        <f ca="1">IFERROR(_xlfn.STDEV.S(OFFSET(Tabla3[[#This Row],[Close]],-29,0,30)),"")</f>
        <v>17.306520362190614</v>
      </c>
    </row>
    <row r="965" spans="1:12" x14ac:dyDescent="0.3">
      <c r="A965" s="1">
        <v>43805</v>
      </c>
      <c r="B965" s="3">
        <f>YEAR(Tabla3[[#This Row],[Date]])</f>
        <v>2019</v>
      </c>
      <c r="C965" s="1" t="str">
        <f>+TEXT(Tabla3[[#This Row],[Date]],"mmm")</f>
        <v>dic</v>
      </c>
      <c r="D965" s="2">
        <v>1459.09997558593</v>
      </c>
      <c r="E965" s="2">
        <v>1459.09997558593</v>
      </c>
      <c r="F965" s="2">
        <v>1476</v>
      </c>
      <c r="G965" s="2">
        <v>1458.19995117187</v>
      </c>
      <c r="H965" s="2">
        <v>1475</v>
      </c>
      <c r="I965">
        <v>899</v>
      </c>
      <c r="J965" s="2">
        <f ca="1">IFERROR((Tabla3[[#This Row],[Close]]-OFFSET(Tabla3[[#This Row],[Close]],-1,0))/OFFSET(Tabla3[[#This Row],[Close]],-1,0),"")</f>
        <v>-1.2052304512075507E-2</v>
      </c>
      <c r="K965" s="2">
        <f ca="1">IFERROR(AVERAGE(OFFSET(Tabla3[[#This Row],[Close]],-6,0,7)),"")</f>
        <v>1467.0714285714243</v>
      </c>
      <c r="L965" s="2">
        <f ca="1">IFERROR(_xlfn.STDEV.S(OFFSET(Tabla3[[#This Row],[Close]],-29,0,30)),"")</f>
        <v>16.99039658008882</v>
      </c>
    </row>
    <row r="966" spans="1:12" x14ac:dyDescent="0.3">
      <c r="A966" s="1">
        <v>43808</v>
      </c>
      <c r="B966" s="3">
        <f>YEAR(Tabla3[[#This Row],[Date]])</f>
        <v>2019</v>
      </c>
      <c r="C966" s="1" t="str">
        <f>+TEXT(Tabla3[[#This Row],[Date]],"mmm")</f>
        <v>dic</v>
      </c>
      <c r="D966" s="2">
        <v>1459.30004882812</v>
      </c>
      <c r="E966" s="2">
        <v>1459.30004882812</v>
      </c>
      <c r="F966" s="2">
        <v>1464.19995117187</v>
      </c>
      <c r="G966" s="2">
        <v>1458.59997558593</v>
      </c>
      <c r="H966" s="2">
        <v>1458.80004882812</v>
      </c>
      <c r="I966">
        <v>1461</v>
      </c>
      <c r="J966" s="2">
        <f ca="1">IFERROR((Tabla3[[#This Row],[Close]]-OFFSET(Tabla3[[#This Row],[Close]],-1,0))/OFFSET(Tabla3[[#This Row],[Close]],-1,0),"")</f>
        <v>1.3712099618784368E-4</v>
      </c>
      <c r="K966" s="2">
        <f ca="1">IFERROR(AVERAGE(OFFSET(Tabla3[[#This Row],[Close]],-6,0,7)),"")</f>
        <v>1467.9142892020041</v>
      </c>
      <c r="L966" s="2">
        <f ca="1">IFERROR(_xlfn.STDEV.S(OFFSET(Tabla3[[#This Row],[Close]],-29,0,30)),"")</f>
        <v>16.520199361935525</v>
      </c>
    </row>
    <row r="967" spans="1:12" x14ac:dyDescent="0.3">
      <c r="A967" s="1">
        <v>43809</v>
      </c>
      <c r="B967" s="3">
        <f>YEAR(Tabla3[[#This Row],[Date]])</f>
        <v>2019</v>
      </c>
      <c r="C967" s="1" t="str">
        <f>+TEXT(Tabla3[[#This Row],[Date]],"mmm")</f>
        <v>dic</v>
      </c>
      <c r="D967" s="2">
        <v>1462.59997558593</v>
      </c>
      <c r="E967" s="2">
        <v>1462.59997558593</v>
      </c>
      <c r="F967" s="2">
        <v>1467.19995117187</v>
      </c>
      <c r="G967" s="2">
        <v>1460.69995117187</v>
      </c>
      <c r="H967" s="2">
        <v>1460.69995117187</v>
      </c>
      <c r="I967">
        <v>367</v>
      </c>
      <c r="J967" s="2">
        <f ca="1">IFERROR((Tabla3[[#This Row],[Close]]-OFFSET(Tabla3[[#This Row],[Close]],-1,0))/OFFSET(Tabla3[[#This Row],[Close]],-1,0),"")</f>
        <v>2.2613079198208624E-3</v>
      </c>
      <c r="K967" s="2">
        <f ca="1">IFERROR(AVERAGE(OFFSET(Tabla3[[#This Row],[Close]],-6,0,7)),"")</f>
        <v>1467.4857177734327</v>
      </c>
      <c r="L967" s="2">
        <f ca="1">IFERROR(_xlfn.STDEV.S(OFFSET(Tabla3[[#This Row],[Close]],-29,0,30)),"")</f>
        <v>16.306636426524058</v>
      </c>
    </row>
    <row r="968" spans="1:12" x14ac:dyDescent="0.3">
      <c r="A968" s="1">
        <v>43810</v>
      </c>
      <c r="B968" s="3">
        <f>YEAR(Tabla3[[#This Row],[Date]])</f>
        <v>2019</v>
      </c>
      <c r="C968" s="1" t="str">
        <f>+TEXT(Tabla3[[#This Row],[Date]],"mmm")</f>
        <v>dic</v>
      </c>
      <c r="D968" s="2">
        <v>1469.40002441406</v>
      </c>
      <c r="E968" s="2">
        <v>1469.40002441406</v>
      </c>
      <c r="F968" s="2">
        <v>1475.40002441406</v>
      </c>
      <c r="G968" s="2">
        <v>1463.09997558593</v>
      </c>
      <c r="H968" s="2">
        <v>1463.09997558593</v>
      </c>
      <c r="I968">
        <v>393</v>
      </c>
      <c r="J968" s="2">
        <f ca="1">IFERROR((Tabla3[[#This Row],[Close]]-OFFSET(Tabla3[[#This Row],[Close]],-1,0))/OFFSET(Tabla3[[#This Row],[Close]],-1,0),"")</f>
        <v>4.6492882138917339E-3</v>
      </c>
      <c r="K968" s="2">
        <f ca="1">IFERROR(AVERAGE(OFFSET(Tabla3[[#This Row],[Close]],-6,0,7)),"")</f>
        <v>1468.4999999999959</v>
      </c>
      <c r="L968" s="2">
        <f ca="1">IFERROR(_xlfn.STDEV.S(OFFSET(Tabla3[[#This Row],[Close]],-29,0,30)),"")</f>
        <v>16.06818809740076</v>
      </c>
    </row>
    <row r="969" spans="1:12" x14ac:dyDescent="0.3">
      <c r="A969" s="1">
        <v>43811</v>
      </c>
      <c r="B969" s="3">
        <f>YEAR(Tabla3[[#This Row],[Date]])</f>
        <v>2019</v>
      </c>
      <c r="C969" s="1" t="str">
        <f>+TEXT(Tabla3[[#This Row],[Date]],"mmm")</f>
        <v>dic</v>
      </c>
      <c r="D969" s="2">
        <v>1466.69995117187</v>
      </c>
      <c r="E969" s="2">
        <v>1466.69995117187</v>
      </c>
      <c r="F969" s="2">
        <v>1483.90002441406</v>
      </c>
      <c r="G969" s="2">
        <v>1463.69995117187</v>
      </c>
      <c r="H969" s="2">
        <v>1475.09997558593</v>
      </c>
      <c r="I969">
        <v>955</v>
      </c>
      <c r="J969" s="2">
        <f ca="1">IFERROR((Tabla3[[#This Row],[Close]]-OFFSET(Tabla3[[#This Row],[Close]],-1,0))/OFFSET(Tabla3[[#This Row],[Close]],-1,0),"")</f>
        <v>-1.8375345020609252E-3</v>
      </c>
      <c r="K969" s="2">
        <f ca="1">IFERROR(AVERAGE(OFFSET(Tabla3[[#This Row],[Close]],-6,0,7)),"")</f>
        <v>1466.8571428571388</v>
      </c>
      <c r="L969" s="2">
        <f ca="1">IFERROR(_xlfn.STDEV.S(OFFSET(Tabla3[[#This Row],[Close]],-29,0,30)),"")</f>
        <v>15.557048784869862</v>
      </c>
    </row>
    <row r="970" spans="1:12" x14ac:dyDescent="0.3">
      <c r="A970" s="1">
        <v>43812</v>
      </c>
      <c r="B970" s="3">
        <f>YEAR(Tabla3[[#This Row],[Date]])</f>
        <v>2019</v>
      </c>
      <c r="C970" s="1" t="str">
        <f>+TEXT(Tabla3[[#This Row],[Date]],"mmm")</f>
        <v>dic</v>
      </c>
      <c r="D970" s="2">
        <v>1475.59997558593</v>
      </c>
      <c r="E970" s="2">
        <v>1475.59997558593</v>
      </c>
      <c r="F970" s="2">
        <v>1475.90002441406</v>
      </c>
      <c r="G970" s="2">
        <v>1463.09997558593</v>
      </c>
      <c r="H970" s="2">
        <v>1463.09997558593</v>
      </c>
      <c r="I970">
        <v>468</v>
      </c>
      <c r="J970" s="2">
        <f ca="1">IFERROR((Tabla3[[#This Row],[Close]]-OFFSET(Tabla3[[#This Row],[Close]],-1,0))/OFFSET(Tabla3[[#This Row],[Close]],-1,0),"")</f>
        <v>6.0680607556774105E-3</v>
      </c>
      <c r="K970" s="2">
        <f ca="1">IFERROR(AVERAGE(OFFSET(Tabla3[[#This Row],[Close]],-6,0,7)),"")</f>
        <v>1467.0857107979859</v>
      </c>
      <c r="L970" s="2">
        <f ca="1">IFERROR(_xlfn.STDEV.S(OFFSET(Tabla3[[#This Row],[Close]],-29,0,30)),"")</f>
        <v>13.570762914306293</v>
      </c>
    </row>
    <row r="971" spans="1:12" x14ac:dyDescent="0.3">
      <c r="A971" s="1">
        <v>43815</v>
      </c>
      <c r="B971" s="3">
        <f>YEAR(Tabla3[[#This Row],[Date]])</f>
        <v>2019</v>
      </c>
      <c r="C971" s="1" t="str">
        <f>+TEXT(Tabla3[[#This Row],[Date]],"mmm")</f>
        <v>dic</v>
      </c>
      <c r="D971" s="2">
        <v>1475</v>
      </c>
      <c r="E971" s="2">
        <v>1475</v>
      </c>
      <c r="F971" s="2">
        <v>1475.30004882812</v>
      </c>
      <c r="G971" s="2">
        <v>1473.80004882812</v>
      </c>
      <c r="H971" s="2">
        <v>1473.80004882812</v>
      </c>
      <c r="I971">
        <v>99</v>
      </c>
      <c r="J971" s="2">
        <f ca="1">IFERROR((Tabla3[[#This Row],[Close]]-OFFSET(Tabla3[[#This Row],[Close]],-1,0))/OFFSET(Tabla3[[#This Row],[Close]],-1,0),"")</f>
        <v>-4.0659772015227833E-4</v>
      </c>
      <c r="K971" s="2">
        <f ca="1">IFERROR(AVERAGE(OFFSET(Tabla3[[#This Row],[Close]],-6,0,7)),"")</f>
        <v>1466.8142787388344</v>
      </c>
      <c r="L971" s="2">
        <f ca="1">IFERROR(_xlfn.STDEV.S(OFFSET(Tabla3[[#This Row],[Close]],-29,0,30)),"")</f>
        <v>11.522874987062222</v>
      </c>
    </row>
    <row r="972" spans="1:12" x14ac:dyDescent="0.3">
      <c r="A972" s="1">
        <v>43816</v>
      </c>
      <c r="B972" s="3">
        <f>YEAR(Tabla3[[#This Row],[Date]])</f>
        <v>2019</v>
      </c>
      <c r="C972" s="1" t="str">
        <f>+TEXT(Tabla3[[#This Row],[Date]],"mmm")</f>
        <v>dic</v>
      </c>
      <c r="D972" s="2">
        <v>1474.59997558593</v>
      </c>
      <c r="E972" s="2">
        <v>1474.59997558593</v>
      </c>
      <c r="F972" s="2">
        <v>1476.90002441406</v>
      </c>
      <c r="G972" s="2">
        <v>1474</v>
      </c>
      <c r="H972" s="2">
        <v>1474.09997558593</v>
      </c>
      <c r="I972">
        <v>410</v>
      </c>
      <c r="J972" s="2">
        <f ca="1">IFERROR((Tabla3[[#This Row],[Close]]-OFFSET(Tabla3[[#This Row],[Close]],-1,0))/OFFSET(Tabla3[[#This Row],[Close]],-1,0),"")</f>
        <v>-2.7120299258983277E-4</v>
      </c>
      <c r="K972" s="2">
        <f ca="1">IFERROR(AVERAGE(OFFSET(Tabla3[[#This Row],[Close]],-6,0,7)),"")</f>
        <v>1469.02856445312</v>
      </c>
      <c r="L972" s="2">
        <f ca="1">IFERROR(_xlfn.STDEV.S(OFFSET(Tabla3[[#This Row],[Close]],-29,0,30)),"")</f>
        <v>8.8699673766265494</v>
      </c>
    </row>
    <row r="973" spans="1:12" x14ac:dyDescent="0.3">
      <c r="A973" s="1">
        <v>43817</v>
      </c>
      <c r="B973" s="3">
        <f>YEAR(Tabla3[[#This Row],[Date]])</f>
        <v>2019</v>
      </c>
      <c r="C973" s="1" t="str">
        <f>+TEXT(Tabla3[[#This Row],[Date]],"mmm")</f>
        <v>dic</v>
      </c>
      <c r="D973" s="2">
        <v>1472.59997558593</v>
      </c>
      <c r="E973" s="2">
        <v>1472.59997558593</v>
      </c>
      <c r="F973" s="2">
        <v>1472.59997558593</v>
      </c>
      <c r="G973" s="2">
        <v>1472.59997558593</v>
      </c>
      <c r="H973" s="2">
        <v>1472.59997558593</v>
      </c>
      <c r="I973">
        <v>250</v>
      </c>
      <c r="J973" s="2">
        <f ca="1">IFERROR((Tabla3[[#This Row],[Close]]-OFFSET(Tabla3[[#This Row],[Close]],-1,0))/OFFSET(Tabla3[[#This Row],[Close]],-1,0),"")</f>
        <v>-1.3563000360184484E-3</v>
      </c>
      <c r="K973" s="2">
        <f ca="1">IFERROR(AVERAGE(OFFSET(Tabla3[[#This Row],[Close]],-6,0,7)),"")</f>
        <v>1470.9285539899502</v>
      </c>
      <c r="L973" s="2">
        <f ca="1">IFERROR(_xlfn.STDEV.S(OFFSET(Tabla3[[#This Row],[Close]],-29,0,30)),"")</f>
        <v>8.5591244579475223</v>
      </c>
    </row>
    <row r="974" spans="1:12" x14ac:dyDescent="0.3">
      <c r="A974" s="1">
        <v>43818</v>
      </c>
      <c r="B974" s="3">
        <f>YEAR(Tabla3[[#This Row],[Date]])</f>
        <v>2019</v>
      </c>
      <c r="C974" s="1" t="str">
        <f>+TEXT(Tabla3[[#This Row],[Date]],"mmm")</f>
        <v>dic</v>
      </c>
      <c r="D974" s="2">
        <v>1478.19995117187</v>
      </c>
      <c r="E974" s="2">
        <v>1478.19995117187</v>
      </c>
      <c r="F974" s="2">
        <v>1478.90002441406</v>
      </c>
      <c r="G974" s="2">
        <v>1473.30004882812</v>
      </c>
      <c r="H974" s="2">
        <v>1475.90002441406</v>
      </c>
      <c r="I974">
        <v>319</v>
      </c>
      <c r="J974" s="2">
        <f ca="1">IFERROR((Tabla3[[#This Row],[Close]]-OFFSET(Tabla3[[#This Row],[Close]],-1,0))/OFFSET(Tabla3[[#This Row],[Close]],-1,0),"")</f>
        <v>3.8027812568120121E-3</v>
      </c>
      <c r="K974" s="2">
        <f ca="1">IFERROR(AVERAGE(OFFSET(Tabla3[[#This Row],[Close]],-6,0,7)),"")</f>
        <v>1473.1571219307987</v>
      </c>
      <c r="L974" s="2">
        <f ca="1">IFERROR(_xlfn.STDEV.S(OFFSET(Tabla3[[#This Row],[Close]],-29,0,30)),"")</f>
        <v>7.6710402679603984</v>
      </c>
    </row>
    <row r="975" spans="1:12" x14ac:dyDescent="0.3">
      <c r="A975" s="1">
        <v>43819</v>
      </c>
      <c r="B975" s="3">
        <f>YEAR(Tabla3[[#This Row],[Date]])</f>
        <v>2019</v>
      </c>
      <c r="C975" s="1" t="str">
        <f>+TEXT(Tabla3[[#This Row],[Date]],"mmm")</f>
        <v>dic</v>
      </c>
      <c r="D975" s="2">
        <v>1474.69995117187</v>
      </c>
      <c r="E975" s="2">
        <v>1474.69995117187</v>
      </c>
      <c r="F975" s="2">
        <v>1478.09997558593</v>
      </c>
      <c r="G975" s="2">
        <v>1474.69995117187</v>
      </c>
      <c r="H975" s="2">
        <v>1476.69995117187</v>
      </c>
      <c r="I975">
        <v>118</v>
      </c>
      <c r="J975" s="2">
        <f ca="1">IFERROR((Tabla3[[#This Row],[Close]]-OFFSET(Tabla3[[#This Row],[Close]],-1,0))/OFFSET(Tabla3[[#This Row],[Close]],-1,0),"")</f>
        <v>-2.3677446323992308E-3</v>
      </c>
      <c r="K975" s="2">
        <f ca="1">IFERROR(AVERAGE(OFFSET(Tabla3[[#This Row],[Close]],-6,0,7)),"")</f>
        <v>1473.9142543247713</v>
      </c>
      <c r="L975" s="2">
        <f ca="1">IFERROR(_xlfn.STDEV.S(OFFSET(Tabla3[[#This Row],[Close]],-29,0,30)),"")</f>
        <v>7.7970482469590401</v>
      </c>
    </row>
    <row r="976" spans="1:12" x14ac:dyDescent="0.3">
      <c r="A976" s="1">
        <v>43822</v>
      </c>
      <c r="B976" s="3">
        <f>YEAR(Tabla3[[#This Row],[Date]])</f>
        <v>2019</v>
      </c>
      <c r="C976" s="1" t="str">
        <f>+TEXT(Tabla3[[#This Row],[Date]],"mmm")</f>
        <v>dic</v>
      </c>
      <c r="D976" s="2">
        <v>1482.5</v>
      </c>
      <c r="E976" s="2">
        <v>1482.5</v>
      </c>
      <c r="F976" s="2">
        <v>1482.5</v>
      </c>
      <c r="G976" s="2">
        <v>1479.90002441406</v>
      </c>
      <c r="H976" s="2">
        <v>1482.30004882812</v>
      </c>
      <c r="I976">
        <v>391</v>
      </c>
      <c r="J976" s="2">
        <f ca="1">IFERROR((Tabla3[[#This Row],[Close]]-OFFSET(Tabla3[[#This Row],[Close]],-1,0))/OFFSET(Tabla3[[#This Row],[Close]],-1,0),"")</f>
        <v>5.2892446507045009E-3</v>
      </c>
      <c r="K976" s="2">
        <f ca="1">IFERROR(AVERAGE(OFFSET(Tabla3[[#This Row],[Close]],-6,0,7)),"")</f>
        <v>1476.1714041573614</v>
      </c>
      <c r="L976" s="2">
        <f ca="1">IFERROR(_xlfn.STDEV.S(OFFSET(Tabla3[[#This Row],[Close]],-29,0,30)),"")</f>
        <v>8.2182111319469531</v>
      </c>
    </row>
    <row r="977" spans="1:12" x14ac:dyDescent="0.3">
      <c r="A977" s="1">
        <v>43823</v>
      </c>
      <c r="B977" s="3">
        <f>YEAR(Tabla3[[#This Row],[Date]])</f>
        <v>2019</v>
      </c>
      <c r="C977" s="1" t="str">
        <f>+TEXT(Tabla3[[#This Row],[Date]],"mmm")</f>
        <v>dic</v>
      </c>
      <c r="D977" s="2">
        <v>1499.09997558593</v>
      </c>
      <c r="E977" s="2">
        <v>1499.09997558593</v>
      </c>
      <c r="F977" s="2">
        <v>1499.09997558593</v>
      </c>
      <c r="G977" s="2">
        <v>1488.69995117187</v>
      </c>
      <c r="H977" s="2">
        <v>1488.69995117187</v>
      </c>
      <c r="I977">
        <v>52</v>
      </c>
      <c r="J977" s="2">
        <f ca="1">IFERROR((Tabla3[[#This Row],[Close]]-OFFSET(Tabla3[[#This Row],[Close]],-1,0))/OFFSET(Tabla3[[#This Row],[Close]],-1,0),"")</f>
        <v>1.1197285386799323E-2</v>
      </c>
      <c r="K977" s="2">
        <f ca="1">IFERROR(AVERAGE(OFFSET(Tabla3[[#This Row],[Close]],-6,0,7)),"")</f>
        <v>1479.5285470145043</v>
      </c>
      <c r="L977" s="2">
        <f ca="1">IFERROR(_xlfn.STDEV.S(OFFSET(Tabla3[[#This Row],[Close]],-29,0,30)),"")</f>
        <v>9.7159949452248231</v>
      </c>
    </row>
    <row r="978" spans="1:12" x14ac:dyDescent="0.3">
      <c r="A978" s="1">
        <v>43825</v>
      </c>
      <c r="B978" s="3">
        <f>YEAR(Tabla3[[#This Row],[Date]])</f>
        <v>2019</v>
      </c>
      <c r="C978" s="1" t="str">
        <f>+TEXT(Tabla3[[#This Row],[Date]],"mmm")</f>
        <v>dic</v>
      </c>
      <c r="D978" s="2">
        <v>1509.30004882812</v>
      </c>
      <c r="E978" s="2">
        <v>1509.30004882812</v>
      </c>
      <c r="F978" s="2">
        <v>1512.30004882812</v>
      </c>
      <c r="G978" s="2">
        <v>1505</v>
      </c>
      <c r="H978" s="2">
        <v>1505.19995117187</v>
      </c>
      <c r="I978">
        <v>126</v>
      </c>
      <c r="J978" s="2">
        <f ca="1">IFERROR((Tabla3[[#This Row],[Close]]-OFFSET(Tabla3[[#This Row],[Close]],-1,0))/OFFSET(Tabla3[[#This Row],[Close]],-1,0),"")</f>
        <v>6.8041314177216608E-3</v>
      </c>
      <c r="K978" s="2">
        <f ca="1">IFERROR(AVERAGE(OFFSET(Tabla3[[#This Row],[Close]],-6,0,7)),"")</f>
        <v>1484.4285539899499</v>
      </c>
      <c r="L978" s="2">
        <f ca="1">IFERROR(_xlfn.STDEV.S(OFFSET(Tabla3[[#This Row],[Close]],-29,0,30)),"")</f>
        <v>11.680163859130923</v>
      </c>
    </row>
    <row r="979" spans="1:12" x14ac:dyDescent="0.3">
      <c r="A979" s="1">
        <v>43826</v>
      </c>
      <c r="B979" s="3">
        <f>YEAR(Tabla3[[#This Row],[Date]])</f>
        <v>2019</v>
      </c>
      <c r="C979" s="1" t="str">
        <f>+TEXT(Tabla3[[#This Row],[Date]],"mmm")</f>
        <v>dic</v>
      </c>
      <c r="D979" s="2">
        <v>1513.80004882812</v>
      </c>
      <c r="E979" s="2">
        <v>1513.80004882812</v>
      </c>
      <c r="F979" s="2">
        <v>1513.80004882812</v>
      </c>
      <c r="G979" s="2">
        <v>1513.80004882812</v>
      </c>
      <c r="H979" s="2">
        <v>1513.80004882812</v>
      </c>
      <c r="I979">
        <v>839</v>
      </c>
      <c r="J979" s="2">
        <f ca="1">IFERROR((Tabla3[[#This Row],[Close]]-OFFSET(Tabla3[[#This Row],[Close]],-1,0))/OFFSET(Tabla3[[#This Row],[Close]],-1,0),"")</f>
        <v>2.9815145129651172E-3</v>
      </c>
      <c r="K979" s="2">
        <f ca="1">IFERROR(AVERAGE(OFFSET(Tabla3[[#This Row],[Close]],-6,0,7)),"")</f>
        <v>1490.0285644531198</v>
      </c>
      <c r="L979" s="2">
        <f ca="1">IFERROR(_xlfn.STDEV.S(OFFSET(Tabla3[[#This Row],[Close]],-29,0,30)),"")</f>
        <v>13.910097057677591</v>
      </c>
    </row>
    <row r="980" spans="1:12" x14ac:dyDescent="0.3">
      <c r="A980" s="1">
        <v>43829</v>
      </c>
      <c r="B980" s="3">
        <f>YEAR(Tabla3[[#This Row],[Date]])</f>
        <v>2019</v>
      </c>
      <c r="C980" s="1" t="str">
        <f>+TEXT(Tabla3[[#This Row],[Date]],"mmm")</f>
        <v>dic</v>
      </c>
      <c r="D980" s="2">
        <v>1514.5</v>
      </c>
      <c r="E980" s="2">
        <v>1514.5</v>
      </c>
      <c r="F980" s="2">
        <v>1515.09997558593</v>
      </c>
      <c r="G980" s="2">
        <v>1510</v>
      </c>
      <c r="H980" s="2">
        <v>1512.59997558593</v>
      </c>
      <c r="I980">
        <v>446</v>
      </c>
      <c r="J980" s="2">
        <f ca="1">IFERROR((Tabla3[[#This Row],[Close]]-OFFSET(Tabla3[[#This Row],[Close]],-1,0))/OFFSET(Tabla3[[#This Row],[Close]],-1,0),"")</f>
        <v>4.6238020167977691E-4</v>
      </c>
      <c r="K980" s="2">
        <f ca="1">IFERROR(AVERAGE(OFFSET(Tabla3[[#This Row],[Close]],-6,0,7)),"")</f>
        <v>1496.0142822265586</v>
      </c>
      <c r="L980" s="2">
        <f ca="1">IFERROR(_xlfn.STDEV.S(OFFSET(Tabla3[[#This Row],[Close]],-29,0,30)),"")</f>
        <v>15.859029289631017</v>
      </c>
    </row>
    <row r="981" spans="1:12" x14ac:dyDescent="0.3">
      <c r="A981" s="1">
        <v>43830</v>
      </c>
      <c r="B981" s="3">
        <f>YEAR(Tabla3[[#This Row],[Date]])</f>
        <v>2019</v>
      </c>
      <c r="C981" s="1" t="str">
        <f>+TEXT(Tabla3[[#This Row],[Date]],"mmm")</f>
        <v>dic</v>
      </c>
      <c r="D981" s="2">
        <v>1519.5</v>
      </c>
      <c r="E981" s="2">
        <v>1519.5</v>
      </c>
      <c r="F981" s="2">
        <v>1523.40002441406</v>
      </c>
      <c r="G981" s="2">
        <v>1513.80004882812</v>
      </c>
      <c r="H981" s="2">
        <v>1513.80004882812</v>
      </c>
      <c r="I981">
        <v>301</v>
      </c>
      <c r="J981" s="2">
        <f ca="1">IFERROR((Tabla3[[#This Row],[Close]]-OFFSET(Tabla3[[#This Row],[Close]],-1,0))/OFFSET(Tabla3[[#This Row],[Close]],-1,0),"")</f>
        <v>3.3014196104324861E-3</v>
      </c>
      <c r="K981" s="2">
        <f ca="1">IFERROR(AVERAGE(OFFSET(Tabla3[[#This Row],[Close]],-6,0,7)),"")</f>
        <v>1501.9142892020056</v>
      </c>
      <c r="L981" s="2">
        <f ca="1">IFERROR(_xlfn.STDEV.S(OFFSET(Tabla3[[#This Row],[Close]],-29,0,30)),"")</f>
        <v>17.822481115435746</v>
      </c>
    </row>
    <row r="982" spans="1:12" x14ac:dyDescent="0.3">
      <c r="A982" s="1">
        <v>43832</v>
      </c>
      <c r="B982" s="3">
        <f>YEAR(Tabla3[[#This Row],[Date]])</f>
        <v>2020</v>
      </c>
      <c r="C982" s="1" t="str">
        <f>+TEXT(Tabla3[[#This Row],[Date]],"mmm")</f>
        <v>ene</v>
      </c>
      <c r="D982" s="2">
        <v>1524.5</v>
      </c>
      <c r="E982" s="2">
        <v>1524.5</v>
      </c>
      <c r="F982" s="2">
        <v>1528.69995117187</v>
      </c>
      <c r="G982" s="2">
        <v>1518</v>
      </c>
      <c r="H982" s="2">
        <v>1518.09997558593</v>
      </c>
      <c r="I982">
        <v>214</v>
      </c>
      <c r="J982" s="2">
        <f ca="1">IFERROR((Tabla3[[#This Row],[Close]]-OFFSET(Tabla3[[#This Row],[Close]],-1,0))/OFFSET(Tabla3[[#This Row],[Close]],-1,0),"")</f>
        <v>3.290556103981573E-3</v>
      </c>
      <c r="K982" s="2">
        <f ca="1">IFERROR(AVERAGE(OFFSET(Tabla3[[#This Row],[Close]],-6,0,7)),"")</f>
        <v>1509.0285818917384</v>
      </c>
      <c r="L982" s="2">
        <f ca="1">IFERROR(_xlfn.STDEV.S(OFFSET(Tabla3[[#This Row],[Close]],-29,0,30)),"")</f>
        <v>19.872680223100406</v>
      </c>
    </row>
    <row r="983" spans="1:12" x14ac:dyDescent="0.3">
      <c r="A983" s="1">
        <v>43833</v>
      </c>
      <c r="B983" s="3">
        <f>YEAR(Tabla3[[#This Row],[Date]])</f>
        <v>2020</v>
      </c>
      <c r="C983" s="1" t="str">
        <f>+TEXT(Tabla3[[#This Row],[Date]],"mmm")</f>
        <v>ene</v>
      </c>
      <c r="D983" s="2">
        <v>1549.19995117187</v>
      </c>
      <c r="E983" s="2">
        <v>1549.19995117187</v>
      </c>
      <c r="F983" s="2">
        <v>1552.69995117187</v>
      </c>
      <c r="G983" s="2">
        <v>1530.09997558593</v>
      </c>
      <c r="H983" s="2">
        <v>1530.09997558593</v>
      </c>
      <c r="I983">
        <v>107</v>
      </c>
      <c r="J983" s="2">
        <f ca="1">IFERROR((Tabla3[[#This Row],[Close]]-OFFSET(Tabla3[[#This Row],[Close]],-1,0))/OFFSET(Tabla3[[#This Row],[Close]],-1,0),"")</f>
        <v>1.6202001424644143E-2</v>
      </c>
      <c r="K983" s="2">
        <f ca="1">IFERROR(AVERAGE(OFFSET(Tabla3[[#This Row],[Close]],-6,0,7)),"")</f>
        <v>1518.5571463448628</v>
      </c>
      <c r="L983" s="2">
        <f ca="1">IFERROR(_xlfn.STDEV.S(OFFSET(Tabla3[[#This Row],[Close]],-29,0,30)),"")</f>
        <v>23.748437495298781</v>
      </c>
    </row>
    <row r="984" spans="1:12" x14ac:dyDescent="0.3">
      <c r="A984" s="1">
        <v>43836</v>
      </c>
      <c r="B984" s="3">
        <f>YEAR(Tabla3[[#This Row],[Date]])</f>
        <v>2020</v>
      </c>
      <c r="C984" s="1" t="str">
        <f>+TEXT(Tabla3[[#This Row],[Date]],"mmm")</f>
        <v>ene</v>
      </c>
      <c r="D984" s="2">
        <v>1566.19995117187</v>
      </c>
      <c r="E984" s="2">
        <v>1566.19995117187</v>
      </c>
      <c r="F984" s="2">
        <v>1580</v>
      </c>
      <c r="G984" s="2">
        <v>1560.40002441406</v>
      </c>
      <c r="H984" s="2">
        <v>1580</v>
      </c>
      <c r="I984">
        <v>416</v>
      </c>
      <c r="J984" s="2">
        <f ca="1">IFERROR((Tabla3[[#This Row],[Close]]-OFFSET(Tabla3[[#This Row],[Close]],-1,0))/OFFSET(Tabla3[[#This Row],[Close]],-1,0),"")</f>
        <v>1.097340597457455E-2</v>
      </c>
      <c r="K984" s="2">
        <f ca="1">IFERROR(AVERAGE(OFFSET(Tabla3[[#This Row],[Close]],-6,0,7)),"")</f>
        <v>1528.1428571428544</v>
      </c>
      <c r="L984" s="2">
        <f ca="1">IFERROR(_xlfn.STDEV.S(OFFSET(Tabla3[[#This Row],[Close]],-29,0,30)),"")</f>
        <v>28.413975956511845</v>
      </c>
    </row>
    <row r="985" spans="1:12" x14ac:dyDescent="0.3">
      <c r="A985" s="1">
        <v>43837</v>
      </c>
      <c r="B985" s="3">
        <f>YEAR(Tabla3[[#This Row],[Date]])</f>
        <v>2020</v>
      </c>
      <c r="C985" s="1" t="str">
        <f>+TEXT(Tabla3[[#This Row],[Date]],"mmm")</f>
        <v>ene</v>
      </c>
      <c r="D985" s="2">
        <v>1571.80004882812</v>
      </c>
      <c r="E985" s="2">
        <v>1571.80004882812</v>
      </c>
      <c r="F985" s="2">
        <v>1576.30004882812</v>
      </c>
      <c r="G985" s="2">
        <v>1558.30004882812</v>
      </c>
      <c r="H985" s="2">
        <v>1558.30004882812</v>
      </c>
      <c r="I985">
        <v>47</v>
      </c>
      <c r="J985" s="2">
        <f ca="1">IFERROR((Tabla3[[#This Row],[Close]]-OFFSET(Tabla3[[#This Row],[Close]],-1,0))/OFFSET(Tabla3[[#This Row],[Close]],-1,0),"")</f>
        <v>3.575595601353369E-3</v>
      </c>
      <c r="K985" s="2">
        <f ca="1">IFERROR(AVERAGE(OFFSET(Tabla3[[#This Row],[Close]],-6,0,7)),"")</f>
        <v>1537.0714285714255</v>
      </c>
      <c r="L985" s="2">
        <f ca="1">IFERROR(_xlfn.STDEV.S(OFFSET(Tabla3[[#This Row],[Close]],-29,0,30)),"")</f>
        <v>32.398771036655155</v>
      </c>
    </row>
    <row r="986" spans="1:12" x14ac:dyDescent="0.3">
      <c r="A986" s="1">
        <v>43838</v>
      </c>
      <c r="B986" s="3">
        <f>YEAR(Tabla3[[#This Row],[Date]])</f>
        <v>2020</v>
      </c>
      <c r="C986" s="1" t="str">
        <f>+TEXT(Tabla3[[#This Row],[Date]],"mmm")</f>
        <v>ene</v>
      </c>
      <c r="D986" s="2">
        <v>1557.40002441406</v>
      </c>
      <c r="E986" s="2">
        <v>1557.40002441406</v>
      </c>
      <c r="F986" s="2">
        <v>1604.19995117187</v>
      </c>
      <c r="G986" s="2">
        <v>1552.30004882812</v>
      </c>
      <c r="H986" s="2">
        <v>1579.69995117187</v>
      </c>
      <c r="I986">
        <v>236</v>
      </c>
      <c r="J986" s="2">
        <f ca="1">IFERROR((Tabla3[[#This Row],[Close]]-OFFSET(Tabla3[[#This Row],[Close]],-1,0))/OFFSET(Tabla3[[#This Row],[Close]],-1,0),"")</f>
        <v>-9.1614861730002876E-3</v>
      </c>
      <c r="K986" s="2">
        <f ca="1">IFERROR(AVERAGE(OFFSET(Tabla3[[#This Row],[Close]],-6,0,7)),"")</f>
        <v>1543.2999965122742</v>
      </c>
      <c r="L986" s="2">
        <f ca="1">IFERROR(_xlfn.STDEV.S(OFFSET(Tabla3[[#This Row],[Close]],-29,0,30)),"")</f>
        <v>34.511972834945958</v>
      </c>
    </row>
    <row r="987" spans="1:12" x14ac:dyDescent="0.3">
      <c r="A987" s="1">
        <v>43839</v>
      </c>
      <c r="B987" s="3">
        <f>YEAR(Tabla3[[#This Row],[Date]])</f>
        <v>2020</v>
      </c>
      <c r="C987" s="1" t="str">
        <f>+TEXT(Tabla3[[#This Row],[Date]],"mmm")</f>
        <v>ene</v>
      </c>
      <c r="D987" s="2">
        <v>1551.69995117187</v>
      </c>
      <c r="E987" s="2">
        <v>1551.69995117187</v>
      </c>
      <c r="F987" s="2">
        <v>1555.69995117187</v>
      </c>
      <c r="G987" s="2">
        <v>1543.30004882812</v>
      </c>
      <c r="H987" s="2">
        <v>1555.69995117187</v>
      </c>
      <c r="I987">
        <v>54</v>
      </c>
      <c r="J987" s="2">
        <f ca="1">IFERROR((Tabla3[[#This Row],[Close]]-OFFSET(Tabla3[[#This Row],[Close]],-1,0))/OFFSET(Tabla3[[#This Row],[Close]],-1,0),"")</f>
        <v>-3.659993035080719E-3</v>
      </c>
      <c r="K987" s="2">
        <f ca="1">IFERROR(AVERAGE(OFFSET(Tabla3[[#This Row],[Close]],-6,0,7)),"")</f>
        <v>1548.6142752511128</v>
      </c>
      <c r="L987" s="2">
        <f ca="1">IFERROR(_xlfn.STDEV.S(OFFSET(Tabla3[[#This Row],[Close]],-29,0,30)),"")</f>
        <v>35.678570754496469</v>
      </c>
    </row>
    <row r="988" spans="1:12" x14ac:dyDescent="0.3">
      <c r="A988" s="1">
        <v>43840</v>
      </c>
      <c r="B988" s="3">
        <f>YEAR(Tabla3[[#This Row],[Date]])</f>
        <v>2020</v>
      </c>
      <c r="C988" s="1" t="str">
        <f>+TEXT(Tabla3[[#This Row],[Date]],"mmm")</f>
        <v>ene</v>
      </c>
      <c r="D988" s="2">
        <v>1557.5</v>
      </c>
      <c r="E988" s="2">
        <v>1557.5</v>
      </c>
      <c r="F988" s="2">
        <v>1558.80004882812</v>
      </c>
      <c r="G988" s="2">
        <v>1545.40002441406</v>
      </c>
      <c r="H988" s="2">
        <v>1551.19995117187</v>
      </c>
      <c r="I988">
        <v>16</v>
      </c>
      <c r="J988" s="2">
        <f ca="1">IFERROR((Tabla3[[#This Row],[Close]]-OFFSET(Tabla3[[#This Row],[Close]],-1,0))/OFFSET(Tabla3[[#This Row],[Close]],-1,0),"")</f>
        <v>3.7378675070200958E-3</v>
      </c>
      <c r="K988" s="2">
        <f ca="1">IFERROR(AVERAGE(OFFSET(Tabla3[[#This Row],[Close]],-6,0,7)),"")</f>
        <v>1554.0428466796843</v>
      </c>
      <c r="L988" s="2">
        <f ca="1">IFERROR(_xlfn.STDEV.S(OFFSET(Tabla3[[#This Row],[Close]],-29,0,30)),"")</f>
        <v>36.956096957582552</v>
      </c>
    </row>
    <row r="989" spans="1:12" x14ac:dyDescent="0.3">
      <c r="A989" s="1">
        <v>43843</v>
      </c>
      <c r="B989" s="3">
        <f>YEAR(Tabla3[[#This Row],[Date]])</f>
        <v>2020</v>
      </c>
      <c r="C989" s="1" t="str">
        <f>+TEXT(Tabla3[[#This Row],[Date]],"mmm")</f>
        <v>ene</v>
      </c>
      <c r="D989" s="2">
        <v>1548.40002441406</v>
      </c>
      <c r="E989" s="2">
        <v>1548.40002441406</v>
      </c>
      <c r="F989" s="2">
        <v>1558</v>
      </c>
      <c r="G989" s="2">
        <v>1548.40002441406</v>
      </c>
      <c r="H989" s="2">
        <v>1557.40002441406</v>
      </c>
      <c r="I989">
        <v>48</v>
      </c>
      <c r="J989" s="2">
        <f ca="1">IFERROR((Tabla3[[#This Row],[Close]]-OFFSET(Tabla3[[#This Row],[Close]],-1,0))/OFFSET(Tabla3[[#This Row],[Close]],-1,0),"")</f>
        <v>-5.8426809540545752E-3</v>
      </c>
      <c r="K989" s="2">
        <f ca="1">IFERROR(AVERAGE(OFFSET(Tabla3[[#This Row],[Close]],-6,0,7)),"")</f>
        <v>1557.4571358816931</v>
      </c>
      <c r="L989" s="2">
        <f ca="1">IFERROR(_xlfn.STDEV.S(OFFSET(Tabla3[[#This Row],[Close]],-29,0,30)),"")</f>
        <v>37.204349805401641</v>
      </c>
    </row>
    <row r="990" spans="1:12" x14ac:dyDescent="0.3">
      <c r="A990" s="1">
        <v>43844</v>
      </c>
      <c r="B990" s="3">
        <f>YEAR(Tabla3[[#This Row],[Date]])</f>
        <v>2020</v>
      </c>
      <c r="C990" s="1" t="str">
        <f>+TEXT(Tabla3[[#This Row],[Date]],"mmm")</f>
        <v>ene</v>
      </c>
      <c r="D990" s="2">
        <v>1542.40002441406</v>
      </c>
      <c r="E990" s="2">
        <v>1542.40002441406</v>
      </c>
      <c r="F990" s="2">
        <v>1546.69995117187</v>
      </c>
      <c r="G990" s="2">
        <v>1534.90002441406</v>
      </c>
      <c r="H990" s="2">
        <v>1546.69995117187</v>
      </c>
      <c r="I990">
        <v>32</v>
      </c>
      <c r="J990" s="2">
        <f ca="1">IFERROR((Tabla3[[#This Row],[Close]]-OFFSET(Tabla3[[#This Row],[Close]],-1,0))/OFFSET(Tabla3[[#This Row],[Close]],-1,0),"")</f>
        <v>-3.8749676475047191E-3</v>
      </c>
      <c r="K990" s="2">
        <f ca="1">IFERROR(AVERAGE(OFFSET(Tabla3[[#This Row],[Close]],-6,0,7)),"")</f>
        <v>1556.4857177734343</v>
      </c>
      <c r="L990" s="2">
        <f ca="1">IFERROR(_xlfn.STDEV.S(OFFSET(Tabla3[[#This Row],[Close]],-29,0,30)),"")</f>
        <v>37.420589361346188</v>
      </c>
    </row>
    <row r="991" spans="1:12" x14ac:dyDescent="0.3">
      <c r="A991" s="1">
        <v>43845</v>
      </c>
      <c r="B991" s="3">
        <f>YEAR(Tabla3[[#This Row],[Date]])</f>
        <v>2020</v>
      </c>
      <c r="C991" s="1" t="str">
        <f>+TEXT(Tabla3[[#This Row],[Date]],"mmm")</f>
        <v>ene</v>
      </c>
      <c r="D991" s="2">
        <v>1552.09997558593</v>
      </c>
      <c r="E991" s="2">
        <v>1552.09997558593</v>
      </c>
      <c r="F991" s="2">
        <v>1553.90002441406</v>
      </c>
      <c r="G991" s="2">
        <v>1545.59997558593</v>
      </c>
      <c r="H991" s="2">
        <v>1548</v>
      </c>
      <c r="I991">
        <v>11</v>
      </c>
      <c r="J991" s="2">
        <f ca="1">IFERROR((Tabla3[[#This Row],[Close]]-OFFSET(Tabla3[[#This Row],[Close]],-1,0))/OFFSET(Tabla3[[#This Row],[Close]],-1,0),"")</f>
        <v>6.2888686581516993E-3</v>
      </c>
      <c r="K991" s="2">
        <f ca="1">IFERROR(AVERAGE(OFFSET(Tabla3[[#This Row],[Close]],-6,0,7)),"")</f>
        <v>1554.4714355468714</v>
      </c>
      <c r="L991" s="2">
        <f ca="1">IFERROR(_xlfn.STDEV.S(OFFSET(Tabla3[[#This Row],[Close]],-29,0,30)),"")</f>
        <v>37.706639573786568</v>
      </c>
    </row>
    <row r="992" spans="1:12" x14ac:dyDescent="0.3">
      <c r="A992" s="1">
        <v>43846</v>
      </c>
      <c r="B992" s="3">
        <f>YEAR(Tabla3[[#This Row],[Date]])</f>
        <v>2020</v>
      </c>
      <c r="C992" s="1" t="str">
        <f>+TEXT(Tabla3[[#This Row],[Date]],"mmm")</f>
        <v>ene</v>
      </c>
      <c r="D992" s="2">
        <v>1549</v>
      </c>
      <c r="E992" s="2">
        <v>1549</v>
      </c>
      <c r="F992" s="2">
        <v>1556.09997558593</v>
      </c>
      <c r="G992" s="2">
        <v>1548.5</v>
      </c>
      <c r="H992" s="2">
        <v>1555.69995117187</v>
      </c>
      <c r="I992">
        <v>98</v>
      </c>
      <c r="J992" s="2">
        <f ca="1">IFERROR((Tabla3[[#This Row],[Close]]-OFFSET(Tabla3[[#This Row],[Close]],-1,0))/OFFSET(Tabla3[[#This Row],[Close]],-1,0),"")</f>
        <v>-1.9972782905042772E-3</v>
      </c>
      <c r="K992" s="2">
        <f ca="1">IFERROR(AVERAGE(OFFSET(Tabla3[[#This Row],[Close]],-6,0,7)),"")</f>
        <v>1551.2142857142828</v>
      </c>
      <c r="L992" s="2">
        <f ca="1">IFERROR(_xlfn.STDEV.S(OFFSET(Tabla3[[#This Row],[Close]],-29,0,30)),"")</f>
        <v>38.169541667705161</v>
      </c>
    </row>
    <row r="993" spans="1:12" x14ac:dyDescent="0.3">
      <c r="A993" s="1">
        <v>43847</v>
      </c>
      <c r="B993" s="3">
        <f>YEAR(Tabla3[[#This Row],[Date]])</f>
        <v>2020</v>
      </c>
      <c r="C993" s="1" t="str">
        <f>+TEXT(Tabla3[[#This Row],[Date]],"mmm")</f>
        <v>ene</v>
      </c>
      <c r="D993" s="2">
        <v>1558.80004882812</v>
      </c>
      <c r="E993" s="2">
        <v>1558.80004882812</v>
      </c>
      <c r="F993" s="2">
        <v>1558.80004882812</v>
      </c>
      <c r="G993" s="2">
        <v>1553.59997558593</v>
      </c>
      <c r="H993" s="2">
        <v>1554.09997558593</v>
      </c>
      <c r="I993">
        <v>108</v>
      </c>
      <c r="J993" s="2">
        <f ca="1">IFERROR((Tabla3[[#This Row],[Close]]-OFFSET(Tabla3[[#This Row],[Close]],-1,0))/OFFSET(Tabla3[[#This Row],[Close]],-1,0),"")</f>
        <v>6.3266938851646208E-3</v>
      </c>
      <c r="K993" s="2">
        <f ca="1">IFERROR(AVERAGE(OFFSET(Tabla3[[#This Row],[Close]],-6,0,7)),"")</f>
        <v>1551.4142892020056</v>
      </c>
      <c r="L993" s="2">
        <f ca="1">IFERROR(_xlfn.STDEV.S(OFFSET(Tabla3[[#This Row],[Close]],-29,0,30)),"")</f>
        <v>38.732303623695586</v>
      </c>
    </row>
    <row r="994" spans="1:12" x14ac:dyDescent="0.3">
      <c r="A994" s="1">
        <v>43851</v>
      </c>
      <c r="B994" s="3">
        <f>YEAR(Tabla3[[#This Row],[Date]])</f>
        <v>2020</v>
      </c>
      <c r="C994" s="1" t="str">
        <f>+TEXT(Tabla3[[#This Row],[Date]],"mmm")</f>
        <v>ene</v>
      </c>
      <c r="D994" s="2">
        <v>1556.40002441406</v>
      </c>
      <c r="E994" s="2">
        <v>1556.40002441406</v>
      </c>
      <c r="F994" s="2">
        <v>1566.19995117187</v>
      </c>
      <c r="G994" s="2">
        <v>1551</v>
      </c>
      <c r="H994" s="2">
        <v>1559.30004882812</v>
      </c>
      <c r="I994">
        <v>45</v>
      </c>
      <c r="J994" s="2">
        <f ca="1">IFERROR((Tabla3[[#This Row],[Close]]-OFFSET(Tabla3[[#This Row],[Close]],-1,0))/OFFSET(Tabla3[[#This Row],[Close]],-1,0),"")</f>
        <v>-1.5396614953048645E-3</v>
      </c>
      <c r="K994" s="2">
        <f ca="1">IFERROR(AVERAGE(OFFSET(Tabla3[[#This Row],[Close]],-6,0,7)),"")</f>
        <v>1552.0857282366044</v>
      </c>
      <c r="L994" s="2">
        <f ca="1">IFERROR(_xlfn.STDEV.S(OFFSET(Tabla3[[#This Row],[Close]],-29,0,30)),"")</f>
        <v>39.07839529024578</v>
      </c>
    </row>
    <row r="995" spans="1:12" x14ac:dyDescent="0.3">
      <c r="A995" s="1">
        <v>43852</v>
      </c>
      <c r="B995" s="3">
        <f>YEAR(Tabla3[[#This Row],[Date]])</f>
        <v>2020</v>
      </c>
      <c r="C995" s="1" t="str">
        <f>+TEXT(Tabla3[[#This Row],[Date]],"mmm")</f>
        <v>ene</v>
      </c>
      <c r="D995" s="2">
        <v>1555.30004882812</v>
      </c>
      <c r="E995" s="2">
        <v>1555.30004882812</v>
      </c>
      <c r="F995" s="2">
        <v>1557.09997558593</v>
      </c>
      <c r="G995" s="2">
        <v>1549.80004882812</v>
      </c>
      <c r="H995" s="2">
        <v>1549.80004882812</v>
      </c>
      <c r="I995">
        <v>42</v>
      </c>
      <c r="J995" s="2">
        <f ca="1">IFERROR((Tabla3[[#This Row],[Close]]-OFFSET(Tabla3[[#This Row],[Close]],-1,0))/OFFSET(Tabla3[[#This Row],[Close]],-1,0),"")</f>
        <v>-7.0674349054582566E-4</v>
      </c>
      <c r="K995" s="2">
        <f ca="1">IFERROR(AVERAGE(OFFSET(Tabla3[[#This Row],[Close]],-6,0,7)),"")</f>
        <v>1551.7714494977643</v>
      </c>
      <c r="L995" s="2">
        <f ca="1">IFERROR(_xlfn.STDEV.S(OFFSET(Tabla3[[#This Row],[Close]],-29,0,30)),"")</f>
        <v>38.439349161583138</v>
      </c>
    </row>
    <row r="996" spans="1:12" x14ac:dyDescent="0.3">
      <c r="A996" s="1">
        <v>43853</v>
      </c>
      <c r="B996" s="3">
        <f>YEAR(Tabla3[[#This Row],[Date]])</f>
        <v>2020</v>
      </c>
      <c r="C996" s="1" t="str">
        <f>+TEXT(Tabla3[[#This Row],[Date]],"mmm")</f>
        <v>ene</v>
      </c>
      <c r="D996" s="2">
        <v>1564.59997558593</v>
      </c>
      <c r="E996" s="2">
        <v>1564.59997558593</v>
      </c>
      <c r="F996" s="2">
        <v>1564.59997558593</v>
      </c>
      <c r="G996" s="2">
        <v>1552.19995117187</v>
      </c>
      <c r="H996" s="2">
        <v>1553.09997558593</v>
      </c>
      <c r="I996">
        <v>15</v>
      </c>
      <c r="J996" s="2">
        <f ca="1">IFERROR((Tabla3[[#This Row],[Close]]-OFFSET(Tabla3[[#This Row],[Close]],-1,0))/OFFSET(Tabla3[[#This Row],[Close]],-1,0),"")</f>
        <v>5.9795065041097781E-3</v>
      </c>
      <c r="K996" s="2">
        <f ca="1">IFERROR(AVERAGE(OFFSET(Tabla3[[#This Row],[Close]],-6,0,7)),"")</f>
        <v>1554.085728236603</v>
      </c>
      <c r="L996" s="2">
        <f ca="1">IFERROR(_xlfn.STDEV.S(OFFSET(Tabla3[[#This Row],[Close]],-29,0,30)),"")</f>
        <v>37.861149336879201</v>
      </c>
    </row>
    <row r="997" spans="1:12" x14ac:dyDescent="0.3">
      <c r="A997" s="1">
        <v>43854</v>
      </c>
      <c r="B997" s="3">
        <f>YEAR(Tabla3[[#This Row],[Date]])</f>
        <v>2020</v>
      </c>
      <c r="C997" s="1" t="str">
        <f>+TEXT(Tabla3[[#This Row],[Date]],"mmm")</f>
        <v>ene</v>
      </c>
      <c r="D997" s="2">
        <v>1571.09997558593</v>
      </c>
      <c r="E997" s="2">
        <v>1571.09997558593</v>
      </c>
      <c r="F997" s="2">
        <v>1571.09997558593</v>
      </c>
      <c r="G997" s="2">
        <v>1556.30004882812</v>
      </c>
      <c r="H997" s="2">
        <v>1556.30004882812</v>
      </c>
      <c r="I997">
        <v>43</v>
      </c>
      <c r="J997" s="2">
        <f ca="1">IFERROR((Tabla3[[#This Row],[Close]]-OFFSET(Tabla3[[#This Row],[Close]],-1,0))/OFFSET(Tabla3[[#This Row],[Close]],-1,0),"")</f>
        <v>4.1544165290976712E-3</v>
      </c>
      <c r="K997" s="2">
        <f ca="1">IFERROR(AVERAGE(OFFSET(Tabla3[[#This Row],[Close]],-6,0,7)),"")</f>
        <v>1558.1857212611558</v>
      </c>
      <c r="L997" s="2">
        <f ca="1">IFERROR(_xlfn.STDEV.S(OFFSET(Tabla3[[#This Row],[Close]],-29,0,30)),"")</f>
        <v>37.38998082622058</v>
      </c>
    </row>
    <row r="998" spans="1:12" x14ac:dyDescent="0.3">
      <c r="A998" s="1">
        <v>43857</v>
      </c>
      <c r="B998" s="3">
        <f>YEAR(Tabla3[[#This Row],[Date]])</f>
        <v>2020</v>
      </c>
      <c r="C998" s="1" t="str">
        <f>+TEXT(Tabla3[[#This Row],[Date]],"mmm")</f>
        <v>ene</v>
      </c>
      <c r="D998" s="2">
        <v>1576.80004882812</v>
      </c>
      <c r="E998" s="2">
        <v>1576.80004882812</v>
      </c>
      <c r="F998" s="2">
        <v>1584.5</v>
      </c>
      <c r="G998" s="2">
        <v>1576.80004882812</v>
      </c>
      <c r="H998" s="2">
        <v>1584.30004882812</v>
      </c>
      <c r="I998">
        <v>22</v>
      </c>
      <c r="J998" s="2">
        <f ca="1">IFERROR((Tabla3[[#This Row],[Close]]-OFFSET(Tabla3[[#This Row],[Close]],-1,0))/OFFSET(Tabla3[[#This Row],[Close]],-1,0),"")</f>
        <v>3.6280779904310045E-3</v>
      </c>
      <c r="K998" s="2">
        <f ca="1">IFERROR(AVERAGE(OFFSET(Tabla3[[#This Row],[Close]],-6,0,7)),"")</f>
        <v>1561.7143031528972</v>
      </c>
      <c r="L998" s="2">
        <f ca="1">IFERROR(_xlfn.STDEV.S(OFFSET(Tabla3[[#This Row],[Close]],-29,0,30)),"")</f>
        <v>37.182727587949643</v>
      </c>
    </row>
    <row r="999" spans="1:12" x14ac:dyDescent="0.3">
      <c r="A999" s="1">
        <v>43858</v>
      </c>
      <c r="B999" s="3">
        <f>YEAR(Tabla3[[#This Row],[Date]])</f>
        <v>2020</v>
      </c>
      <c r="C999" s="1" t="str">
        <f>+TEXT(Tabla3[[#This Row],[Date]],"mmm")</f>
        <v>ene</v>
      </c>
      <c r="D999" s="2">
        <v>1569.19995117187</v>
      </c>
      <c r="E999" s="2">
        <v>1569.19995117187</v>
      </c>
      <c r="F999" s="2">
        <v>1576.40002441406</v>
      </c>
      <c r="G999" s="2">
        <v>1569.19995117187</v>
      </c>
      <c r="H999" s="2">
        <v>1576.40002441406</v>
      </c>
      <c r="I999">
        <v>3</v>
      </c>
      <c r="J999" s="2">
        <f ca="1">IFERROR((Tabla3[[#This Row],[Close]]-OFFSET(Tabla3[[#This Row],[Close]],-1,0))/OFFSET(Tabla3[[#This Row],[Close]],-1,0),"")</f>
        <v>-4.8199501654622619E-3</v>
      </c>
      <c r="K999" s="2">
        <f ca="1">IFERROR(AVERAGE(OFFSET(Tabla3[[#This Row],[Close]],-6,0,7)),"")</f>
        <v>1564.6000104631642</v>
      </c>
      <c r="L999" s="2">
        <f ca="1">IFERROR(_xlfn.STDEV.S(OFFSET(Tabla3[[#This Row],[Close]],-29,0,30)),"")</f>
        <v>36.147884559763142</v>
      </c>
    </row>
    <row r="1000" spans="1:12" x14ac:dyDescent="0.3">
      <c r="A1000" s="1">
        <v>43859</v>
      </c>
      <c r="B1000" s="3">
        <f>YEAR(Tabla3[[#This Row],[Date]])</f>
        <v>2020</v>
      </c>
      <c r="C1000" s="1" t="str">
        <f>+TEXT(Tabla3[[#This Row],[Date]],"mmm")</f>
        <v>ene</v>
      </c>
      <c r="D1000" s="2">
        <v>1569.80004882812</v>
      </c>
      <c r="E1000" s="2">
        <v>1569.80004882812</v>
      </c>
      <c r="F1000" s="2">
        <v>1569.80004882812</v>
      </c>
      <c r="G1000" s="2">
        <v>1569.80004882812</v>
      </c>
      <c r="H1000" s="2">
        <v>1569.80004882812</v>
      </c>
      <c r="I1000">
        <v>251274</v>
      </c>
      <c r="J1000" s="2">
        <f ca="1">IFERROR((Tabla3[[#This Row],[Close]]-OFFSET(Tabla3[[#This Row],[Close]],-1,0))/OFFSET(Tabla3[[#This Row],[Close]],-1,0),"")</f>
        <v>3.8242268348393101E-4</v>
      </c>
      <c r="K1000" s="2">
        <f ca="1">IFERROR(AVERAGE(OFFSET(Tabla3[[#This Row],[Close]],-6,0,7)),"")</f>
        <v>1566.1714390345928</v>
      </c>
      <c r="L1000" s="2">
        <f ca="1">IFERROR(_xlfn.STDEV.S(OFFSET(Tabla3[[#This Row],[Close]],-29,0,30)),"")</f>
        <v>35.305663489746827</v>
      </c>
    </row>
    <row r="1001" spans="1:12" x14ac:dyDescent="0.3">
      <c r="A1001" s="1">
        <v>43860</v>
      </c>
      <c r="B1001" s="3">
        <f>YEAR(Tabla3[[#This Row],[Date]])</f>
        <v>2020</v>
      </c>
      <c r="C1001" s="1" t="str">
        <f>+TEXT(Tabla3[[#This Row],[Date]],"mmm")</f>
        <v>ene</v>
      </c>
      <c r="D1001" s="2">
        <v>1583.5</v>
      </c>
      <c r="E1001" s="2">
        <v>1583.5</v>
      </c>
      <c r="F1001" s="2">
        <v>1585</v>
      </c>
      <c r="G1001" s="2">
        <v>1571.40002441406</v>
      </c>
      <c r="H1001" s="2">
        <v>1576.80004882812</v>
      </c>
      <c r="I1001">
        <v>62336</v>
      </c>
      <c r="J1001" s="2">
        <f ca="1">IFERROR((Tabla3[[#This Row],[Close]]-OFFSET(Tabla3[[#This Row],[Close]],-1,0))/OFFSET(Tabla3[[#This Row],[Close]],-1,0),"")</f>
        <v>8.727195022134971E-3</v>
      </c>
      <c r="K1001" s="2">
        <f ca="1">IFERROR(AVERAGE(OFFSET(Tabla3[[#This Row],[Close]],-6,0,7)),"")</f>
        <v>1570.0428641182984</v>
      </c>
      <c r="L1001" s="2">
        <f ca="1">IFERROR(_xlfn.STDEV.S(OFFSET(Tabla3[[#This Row],[Close]],-29,0,30)),"")</f>
        <v>34.654110913236593</v>
      </c>
    </row>
    <row r="1002" spans="1:12" x14ac:dyDescent="0.3">
      <c r="A1002" s="1">
        <v>43861</v>
      </c>
      <c r="B1002" s="3">
        <f>YEAR(Tabla3[[#This Row],[Date]])</f>
        <v>2020</v>
      </c>
      <c r="C1002" s="1" t="str">
        <f>+TEXT(Tabla3[[#This Row],[Date]],"mmm")</f>
        <v>ene</v>
      </c>
      <c r="D1002" s="2">
        <v>1582.90002441406</v>
      </c>
      <c r="E1002" s="2">
        <v>1582.90002441406</v>
      </c>
      <c r="F1002" s="2">
        <v>1589</v>
      </c>
      <c r="G1002" s="2">
        <v>1570</v>
      </c>
      <c r="H1002" s="2">
        <v>1573.40002441406</v>
      </c>
      <c r="I1002">
        <v>1095</v>
      </c>
      <c r="J1002" s="2">
        <f ca="1">IFERROR((Tabla3[[#This Row],[Close]]-OFFSET(Tabla3[[#This Row],[Close]],-1,0))/OFFSET(Tabla3[[#This Row],[Close]],-1,0),"")</f>
        <v>-3.7889206563940708E-4</v>
      </c>
      <c r="K1002" s="2">
        <f ca="1">IFERROR(AVERAGE(OFFSET(Tabla3[[#This Row],[Close]],-6,0,7)),"")</f>
        <v>1573.9857177734327</v>
      </c>
      <c r="L1002" s="2">
        <f ca="1">IFERROR(_xlfn.STDEV.S(OFFSET(Tabla3[[#This Row],[Close]],-29,0,30)),"")</f>
        <v>33.536346993080265</v>
      </c>
    </row>
    <row r="1003" spans="1:12" x14ac:dyDescent="0.3">
      <c r="A1003" s="1">
        <v>43864</v>
      </c>
      <c r="B1003" s="3">
        <f>YEAR(Tabla3[[#This Row],[Date]])</f>
        <v>2020</v>
      </c>
      <c r="C1003" s="1" t="str">
        <f>+TEXT(Tabla3[[#This Row],[Date]],"mmm")</f>
        <v>feb</v>
      </c>
      <c r="D1003" s="2">
        <v>1577.19995117187</v>
      </c>
      <c r="E1003" s="2">
        <v>1577.19995117187</v>
      </c>
      <c r="F1003" s="2">
        <v>1593.30004882812</v>
      </c>
      <c r="G1003" s="2">
        <v>1568.19995117187</v>
      </c>
      <c r="H1003" s="2">
        <v>1592.90002441406</v>
      </c>
      <c r="I1003">
        <v>1062</v>
      </c>
      <c r="J1003" s="2">
        <f ca="1">IFERROR((Tabla3[[#This Row],[Close]]-OFFSET(Tabla3[[#This Row],[Close]],-1,0))/OFFSET(Tabla3[[#This Row],[Close]],-1,0),"")</f>
        <v>-3.6010317482305871E-3</v>
      </c>
      <c r="K1003" s="2">
        <f ca="1">IFERROR(AVERAGE(OFFSET(Tabla3[[#This Row],[Close]],-6,0,7)),"")</f>
        <v>1575.7857142857099</v>
      </c>
      <c r="L1003" s="2">
        <f ca="1">IFERROR(_xlfn.STDEV.S(OFFSET(Tabla3[[#This Row],[Close]],-29,0,30)),"")</f>
        <v>31.586381902632738</v>
      </c>
    </row>
    <row r="1004" spans="1:12" x14ac:dyDescent="0.3">
      <c r="A1004" s="1">
        <v>43865</v>
      </c>
      <c r="B1004" s="3">
        <f>YEAR(Tabla3[[#This Row],[Date]])</f>
        <v>2020</v>
      </c>
      <c r="C1004" s="1" t="str">
        <f>+TEXT(Tabla3[[#This Row],[Date]],"mmm")</f>
        <v>feb</v>
      </c>
      <c r="D1004" s="2">
        <v>1550.40002441406</v>
      </c>
      <c r="E1004" s="2">
        <v>1550.40002441406</v>
      </c>
      <c r="F1004" s="2">
        <v>1577.69995117187</v>
      </c>
      <c r="G1004" s="2">
        <v>1547.80004882812</v>
      </c>
      <c r="H1004" s="2">
        <v>1577.69995117187</v>
      </c>
      <c r="I1004">
        <v>978</v>
      </c>
      <c r="J1004" s="2">
        <f ca="1">IFERROR((Tabla3[[#This Row],[Close]]-OFFSET(Tabla3[[#This Row],[Close]],-1,0))/OFFSET(Tabla3[[#This Row],[Close]],-1,0),"")</f>
        <v>-1.6992092053957696E-2</v>
      </c>
      <c r="K1004" s="2">
        <f ca="1">IFERROR(AVERAGE(OFFSET(Tabla3[[#This Row],[Close]],-6,0,7)),"")</f>
        <v>1572.8285784040145</v>
      </c>
      <c r="L1004" s="2">
        <f ca="1">IFERROR(_xlfn.STDEV.S(OFFSET(Tabla3[[#This Row],[Close]],-29,0,30)),"")</f>
        <v>29.027465893530128</v>
      </c>
    </row>
    <row r="1005" spans="1:12" x14ac:dyDescent="0.3">
      <c r="A1005" s="1">
        <v>43866</v>
      </c>
      <c r="B1005" s="3">
        <f>YEAR(Tabla3[[#This Row],[Date]])</f>
        <v>2020</v>
      </c>
      <c r="C1005" s="1" t="str">
        <f>+TEXT(Tabla3[[#This Row],[Date]],"mmm")</f>
        <v>feb</v>
      </c>
      <c r="D1005" s="2">
        <v>1557.80004882812</v>
      </c>
      <c r="E1005" s="2">
        <v>1557.80004882812</v>
      </c>
      <c r="F1005" s="2">
        <v>1560.69995117187</v>
      </c>
      <c r="G1005" s="2">
        <v>1547.69995117187</v>
      </c>
      <c r="H1005" s="2">
        <v>1553.19995117187</v>
      </c>
      <c r="I1005">
        <v>1305</v>
      </c>
      <c r="J1005" s="2">
        <f ca="1">IFERROR((Tabla3[[#This Row],[Close]]-OFFSET(Tabla3[[#This Row],[Close]],-1,0))/OFFSET(Tabla3[[#This Row],[Close]],-1,0),"")</f>
        <v>4.7729774880883903E-3</v>
      </c>
      <c r="K1005" s="2">
        <f ca="1">IFERROR(AVERAGE(OFFSET(Tabla3[[#This Row],[Close]],-6,0,7)),"")</f>
        <v>1570.1142926897285</v>
      </c>
      <c r="L1005" s="2">
        <f ca="1">IFERROR(_xlfn.STDEV.S(OFFSET(Tabla3[[#This Row],[Close]],-29,0,30)),"")</f>
        <v>25.698511623088297</v>
      </c>
    </row>
    <row r="1006" spans="1:12" x14ac:dyDescent="0.3">
      <c r="A1006" s="1">
        <v>43867</v>
      </c>
      <c r="B1006" s="3">
        <f>YEAR(Tabla3[[#This Row],[Date]])</f>
        <v>2020</v>
      </c>
      <c r="C1006" s="1" t="str">
        <f>+TEXT(Tabla3[[#This Row],[Date]],"mmm")</f>
        <v>feb</v>
      </c>
      <c r="D1006" s="2">
        <v>1565.09997558593</v>
      </c>
      <c r="E1006" s="2">
        <v>1565.09997558593</v>
      </c>
      <c r="F1006" s="2">
        <v>1565.59997558593</v>
      </c>
      <c r="G1006" s="2">
        <v>1551.59997558593</v>
      </c>
      <c r="H1006" s="2">
        <v>1553.59997558593</v>
      </c>
      <c r="I1006">
        <v>110</v>
      </c>
      <c r="J1006" s="2">
        <f ca="1">IFERROR((Tabla3[[#This Row],[Close]]-OFFSET(Tabla3[[#This Row],[Close]],-1,0))/OFFSET(Tabla3[[#This Row],[Close]],-1,0),"")</f>
        <v>4.6860486127866573E-3</v>
      </c>
      <c r="K1006" s="2">
        <f ca="1">IFERROR(AVERAGE(OFFSET(Tabla3[[#This Row],[Close]],-6,0,7)),"")</f>
        <v>1569.5285818917371</v>
      </c>
      <c r="L1006" s="2">
        <f ca="1">IFERROR(_xlfn.STDEV.S(OFFSET(Tabla3[[#This Row],[Close]],-29,0,30)),"")</f>
        <v>22.507921810865081</v>
      </c>
    </row>
    <row r="1007" spans="1:12" x14ac:dyDescent="0.3">
      <c r="A1007" s="1">
        <v>43868</v>
      </c>
      <c r="B1007" s="3">
        <f>YEAR(Tabla3[[#This Row],[Date]])</f>
        <v>2020</v>
      </c>
      <c r="C1007" s="1" t="str">
        <f>+TEXT(Tabla3[[#This Row],[Date]],"mmm")</f>
        <v>feb</v>
      </c>
      <c r="D1007" s="2">
        <v>1568.59997558593</v>
      </c>
      <c r="E1007" s="2">
        <v>1568.59997558593</v>
      </c>
      <c r="F1007" s="2">
        <v>1571.90002441406</v>
      </c>
      <c r="G1007" s="2">
        <v>1560.5</v>
      </c>
      <c r="H1007" s="2">
        <v>1564.90002441406</v>
      </c>
      <c r="I1007">
        <v>431</v>
      </c>
      <c r="J1007" s="2">
        <f ca="1">IFERROR((Tabla3[[#This Row],[Close]]-OFFSET(Tabla3[[#This Row],[Close]],-1,0))/OFFSET(Tabla3[[#This Row],[Close]],-1,0),"")</f>
        <v>2.2362788669073341E-3</v>
      </c>
      <c r="K1007" s="2">
        <f ca="1">IFERROR(AVERAGE(OFFSET(Tabla3[[#This Row],[Close]],-6,0,7)),"")</f>
        <v>1569.3571428571388</v>
      </c>
      <c r="L1007" s="2">
        <f ca="1">IFERROR(_xlfn.STDEV.S(OFFSET(Tabla3[[#This Row],[Close]],-29,0,30)),"")</f>
        <v>20.327635849521545</v>
      </c>
    </row>
    <row r="1008" spans="1:12" x14ac:dyDescent="0.3">
      <c r="A1008" s="1">
        <v>43871</v>
      </c>
      <c r="B1008" s="3">
        <f>YEAR(Tabla3[[#This Row],[Date]])</f>
        <v>2020</v>
      </c>
      <c r="C1008" s="1" t="str">
        <f>+TEXT(Tabla3[[#This Row],[Date]],"mmm")</f>
        <v>feb</v>
      </c>
      <c r="D1008" s="2">
        <v>1574.69995117187</v>
      </c>
      <c r="E1008" s="2">
        <v>1574.69995117187</v>
      </c>
      <c r="F1008" s="2">
        <v>1574.69995117187</v>
      </c>
      <c r="G1008" s="2">
        <v>1568.59997558593</v>
      </c>
      <c r="H1008" s="2">
        <v>1569.30004882812</v>
      </c>
      <c r="I1008">
        <v>128</v>
      </c>
      <c r="J1008" s="2">
        <f ca="1">IFERROR((Tabla3[[#This Row],[Close]]-OFFSET(Tabla3[[#This Row],[Close]],-1,0))/OFFSET(Tabla3[[#This Row],[Close]],-1,0),"")</f>
        <v>3.8888025506065909E-3</v>
      </c>
      <c r="K1008" s="2">
        <f ca="1">IFERROR(AVERAGE(OFFSET(Tabla3[[#This Row],[Close]],-6,0,7)),"")</f>
        <v>1568.0999930245487</v>
      </c>
      <c r="L1008" s="2">
        <f ca="1">IFERROR(_xlfn.STDEV.S(OFFSET(Tabla3[[#This Row],[Close]],-29,0,30)),"")</f>
        <v>18.760259463006786</v>
      </c>
    </row>
    <row r="1009" spans="1:12" x14ac:dyDescent="0.3">
      <c r="A1009" s="1">
        <v>43872</v>
      </c>
      <c r="B1009" s="3">
        <f>YEAR(Tabla3[[#This Row],[Date]])</f>
        <v>2020</v>
      </c>
      <c r="C1009" s="1" t="str">
        <f>+TEXT(Tabla3[[#This Row],[Date]],"mmm")</f>
        <v>feb</v>
      </c>
      <c r="D1009" s="2">
        <v>1565.59997558593</v>
      </c>
      <c r="E1009" s="2">
        <v>1565.59997558593</v>
      </c>
      <c r="F1009" s="2">
        <v>1571.09997558593</v>
      </c>
      <c r="G1009" s="2">
        <v>1561.90002441406</v>
      </c>
      <c r="H1009" s="2">
        <v>1570.90002441406</v>
      </c>
      <c r="I1009">
        <v>440</v>
      </c>
      <c r="J1009" s="2">
        <f ca="1">IFERROR((Tabla3[[#This Row],[Close]]-OFFSET(Tabla3[[#This Row],[Close]],-1,0))/OFFSET(Tabla3[[#This Row],[Close]],-1,0),"")</f>
        <v>-5.7788631917896011E-3</v>
      </c>
      <c r="K1009" s="2">
        <f ca="1">IFERROR(AVERAGE(OFFSET(Tabla3[[#This Row],[Close]],-6,0,7)),"")</f>
        <v>1565.6285574776728</v>
      </c>
      <c r="L1009" s="2">
        <f ca="1">IFERROR(_xlfn.STDEV.S(OFFSET(Tabla3[[#This Row],[Close]],-29,0,30)),"")</f>
        <v>16.977264515825446</v>
      </c>
    </row>
    <row r="1010" spans="1:12" x14ac:dyDescent="0.3">
      <c r="A1010" s="1">
        <v>43873</v>
      </c>
      <c r="B1010" s="3">
        <f>YEAR(Tabla3[[#This Row],[Date]])</f>
        <v>2020</v>
      </c>
      <c r="C1010" s="1" t="str">
        <f>+TEXT(Tabla3[[#This Row],[Date]],"mmm")</f>
        <v>feb</v>
      </c>
      <c r="D1010" s="2">
        <v>1567.40002441406</v>
      </c>
      <c r="E1010" s="2">
        <v>1567.40002441406</v>
      </c>
      <c r="F1010" s="2">
        <v>1568.69995117187</v>
      </c>
      <c r="G1010" s="2">
        <v>1561</v>
      </c>
      <c r="H1010" s="2">
        <v>1565.19995117187</v>
      </c>
      <c r="I1010">
        <v>36</v>
      </c>
      <c r="J1010" s="2">
        <f ca="1">IFERROR((Tabla3[[#This Row],[Close]]-OFFSET(Tabla3[[#This Row],[Close]],-1,0))/OFFSET(Tabla3[[#This Row],[Close]],-1,0),"")</f>
        <v>1.1497501636433848E-3</v>
      </c>
      <c r="K1010" s="2">
        <f ca="1">IFERROR(AVERAGE(OFFSET(Tabla3[[#This Row],[Close]],-6,0,7)),"")</f>
        <v>1564.228567940843</v>
      </c>
      <c r="L1010" s="2">
        <f ca="1">IFERROR(_xlfn.STDEV.S(OFFSET(Tabla3[[#This Row],[Close]],-29,0,30)),"")</f>
        <v>14.877786986424644</v>
      </c>
    </row>
    <row r="1011" spans="1:12" x14ac:dyDescent="0.3">
      <c r="A1011" s="1">
        <v>43874</v>
      </c>
      <c r="B1011" s="3">
        <f>YEAR(Tabla3[[#This Row],[Date]])</f>
        <v>2020</v>
      </c>
      <c r="C1011" s="1" t="str">
        <f>+TEXT(Tabla3[[#This Row],[Date]],"mmm")</f>
        <v>feb</v>
      </c>
      <c r="D1011" s="2">
        <v>1575.09997558593</v>
      </c>
      <c r="E1011" s="2">
        <v>1575.09997558593</v>
      </c>
      <c r="F1011" s="2">
        <v>1575.09997558593</v>
      </c>
      <c r="G1011" s="2">
        <v>1570.19995117187</v>
      </c>
      <c r="H1011" s="2">
        <v>1570.19995117187</v>
      </c>
      <c r="I1011">
        <v>74</v>
      </c>
      <c r="J1011" s="2">
        <f ca="1">IFERROR((Tabla3[[#This Row],[Close]]-OFFSET(Tabla3[[#This Row],[Close]],-1,0))/OFFSET(Tabla3[[#This Row],[Close]],-1,0),"")</f>
        <v>4.9125628760586914E-3</v>
      </c>
      <c r="K1011" s="2">
        <f ca="1">IFERROR(AVERAGE(OFFSET(Tabla3[[#This Row],[Close]],-6,0,7)),"")</f>
        <v>1567.7571323939671</v>
      </c>
      <c r="L1011" s="2">
        <f ca="1">IFERROR(_xlfn.STDEV.S(OFFSET(Tabla3[[#This Row],[Close]],-29,0,30)),"")</f>
        <v>12.979638023565476</v>
      </c>
    </row>
    <row r="1012" spans="1:12" x14ac:dyDescent="0.3">
      <c r="A1012" s="1">
        <v>43875</v>
      </c>
      <c r="B1012" s="3">
        <f>YEAR(Tabla3[[#This Row],[Date]])</f>
        <v>2020</v>
      </c>
      <c r="C1012" s="1" t="str">
        <f>+TEXT(Tabla3[[#This Row],[Date]],"mmm")</f>
        <v>feb</v>
      </c>
      <c r="D1012" s="2">
        <v>1582.69995117187</v>
      </c>
      <c r="E1012" s="2">
        <v>1582.69995117187</v>
      </c>
      <c r="F1012" s="2">
        <v>1582.69995117187</v>
      </c>
      <c r="G1012" s="2">
        <v>1574.80004882812</v>
      </c>
      <c r="H1012" s="2">
        <v>1575.80004882812</v>
      </c>
      <c r="I1012">
        <v>68</v>
      </c>
      <c r="J1012" s="2">
        <f ca="1">IFERROR((Tabla3[[#This Row],[Close]]-OFFSET(Tabla3[[#This Row],[Close]],-1,0))/OFFSET(Tabla3[[#This Row],[Close]],-1,0),"")</f>
        <v>4.8250750452286974E-3</v>
      </c>
      <c r="K1012" s="2">
        <f ca="1">IFERROR(AVERAGE(OFFSET(Tabla3[[#This Row],[Close]],-6,0,7)),"")</f>
        <v>1571.3142613002169</v>
      </c>
      <c r="L1012" s="2">
        <f ca="1">IFERROR(_xlfn.STDEV.S(OFFSET(Tabla3[[#This Row],[Close]],-29,0,30)),"")</f>
        <v>11.436555520543566</v>
      </c>
    </row>
    <row r="1013" spans="1:12" x14ac:dyDescent="0.3">
      <c r="A1013" s="1">
        <v>43879</v>
      </c>
      <c r="B1013" s="3">
        <f>YEAR(Tabla3[[#This Row],[Date]])</f>
        <v>2020</v>
      </c>
      <c r="C1013" s="1" t="str">
        <f>+TEXT(Tabla3[[#This Row],[Date]],"mmm")</f>
        <v>feb</v>
      </c>
      <c r="D1013" s="2">
        <v>1600</v>
      </c>
      <c r="E1013" s="2">
        <v>1600</v>
      </c>
      <c r="F1013" s="2">
        <v>1604.30004882812</v>
      </c>
      <c r="G1013" s="2">
        <v>1579.80004882812</v>
      </c>
      <c r="H1013" s="2">
        <v>1579.80004882812</v>
      </c>
      <c r="I1013">
        <v>310</v>
      </c>
      <c r="J1013" s="2">
        <f ca="1">IFERROR((Tabla3[[#This Row],[Close]]-OFFSET(Tabla3[[#This Row],[Close]],-1,0))/OFFSET(Tabla3[[#This Row],[Close]],-1,0),"")</f>
        <v>1.0930719253084338E-2</v>
      </c>
      <c r="K1013" s="2">
        <f ca="1">IFERROR(AVERAGE(OFFSET(Tabla3[[#This Row],[Close]],-6,0,7)),"")</f>
        <v>1576.2999790736558</v>
      </c>
      <c r="L1013" s="2">
        <f ca="1">IFERROR(_xlfn.STDEV.S(OFFSET(Tabla3[[#This Row],[Close]],-29,0,30)),"")</f>
        <v>12.849780831768916</v>
      </c>
    </row>
    <row r="1014" spans="1:12" x14ac:dyDescent="0.3">
      <c r="A1014" s="1">
        <v>43880</v>
      </c>
      <c r="B1014" s="3">
        <f>YEAR(Tabla3[[#This Row],[Date]])</f>
        <v>2020</v>
      </c>
      <c r="C1014" s="1" t="str">
        <f>+TEXT(Tabla3[[#This Row],[Date]],"mmm")</f>
        <v>feb</v>
      </c>
      <c r="D1014" s="2">
        <v>1607.5</v>
      </c>
      <c r="E1014" s="2">
        <v>1607.5</v>
      </c>
      <c r="F1014" s="2">
        <v>1610.5</v>
      </c>
      <c r="G1014" s="2">
        <v>1599.69995117187</v>
      </c>
      <c r="H1014" s="2">
        <v>1600.59997558593</v>
      </c>
      <c r="I1014">
        <v>542</v>
      </c>
      <c r="J1014" s="2">
        <f ca="1">IFERROR((Tabla3[[#This Row],[Close]]-OFFSET(Tabla3[[#This Row],[Close]],-1,0))/OFFSET(Tabla3[[#This Row],[Close]],-1,0),"")</f>
        <v>4.6874999999999998E-3</v>
      </c>
      <c r="K1014" s="2">
        <f ca="1">IFERROR(AVERAGE(OFFSET(Tabla3[[#This Row],[Close]],-6,0,7)),"")</f>
        <v>1581.8571254185229</v>
      </c>
      <c r="L1014" s="2">
        <f ca="1">IFERROR(_xlfn.STDEV.S(OFFSET(Tabla3[[#This Row],[Close]],-29,0,30)),"")</f>
        <v>14.95124575739861</v>
      </c>
    </row>
    <row r="1015" spans="1:12" x14ac:dyDescent="0.3">
      <c r="A1015" s="1">
        <v>43881</v>
      </c>
      <c r="B1015" s="3">
        <f>YEAR(Tabla3[[#This Row],[Date]])</f>
        <v>2020</v>
      </c>
      <c r="C1015" s="1" t="str">
        <f>+TEXT(Tabla3[[#This Row],[Date]],"mmm")</f>
        <v>feb</v>
      </c>
      <c r="D1015" s="2">
        <v>1616.59997558593</v>
      </c>
      <c r="E1015" s="2">
        <v>1616.59997558593</v>
      </c>
      <c r="F1015" s="2">
        <v>1621</v>
      </c>
      <c r="G1015" s="2">
        <v>1603</v>
      </c>
      <c r="H1015" s="2">
        <v>1606.5</v>
      </c>
      <c r="I1015">
        <v>117</v>
      </c>
      <c r="J1015" s="2">
        <f ca="1">IFERROR((Tabla3[[#This Row],[Close]]-OFFSET(Tabla3[[#This Row],[Close]],-1,0))/OFFSET(Tabla3[[#This Row],[Close]],-1,0),"")</f>
        <v>5.6609490425692044E-3</v>
      </c>
      <c r="K1015" s="2">
        <f ca="1">IFERROR(AVERAGE(OFFSET(Tabla3[[#This Row],[Close]],-6,0,7)),"")</f>
        <v>1587.8428431919601</v>
      </c>
      <c r="L1015" s="2">
        <f ca="1">IFERROR(_xlfn.STDEV.S(OFFSET(Tabla3[[#This Row],[Close]],-29,0,30)),"")</f>
        <v>17.469657696323743</v>
      </c>
    </row>
    <row r="1016" spans="1:12" x14ac:dyDescent="0.3">
      <c r="A1016" s="1">
        <v>43882</v>
      </c>
      <c r="B1016" s="3">
        <f>YEAR(Tabla3[[#This Row],[Date]])</f>
        <v>2020</v>
      </c>
      <c r="C1016" s="1" t="str">
        <f>+TEXT(Tabla3[[#This Row],[Date]],"mmm")</f>
        <v>feb</v>
      </c>
      <c r="D1016" s="2">
        <v>1644.59997558593</v>
      </c>
      <c r="E1016" s="2">
        <v>1644.59997558593</v>
      </c>
      <c r="F1016" s="2">
        <v>1645</v>
      </c>
      <c r="G1016" s="2">
        <v>1619.30004882812</v>
      </c>
      <c r="H1016" s="2">
        <v>1619.30004882812</v>
      </c>
      <c r="I1016">
        <v>186</v>
      </c>
      <c r="J1016" s="2">
        <f ca="1">IFERROR((Tabla3[[#This Row],[Close]]-OFFSET(Tabla3[[#This Row],[Close]],-1,0))/OFFSET(Tabla3[[#This Row],[Close]],-1,0),"")</f>
        <v>1.7320302129691371E-2</v>
      </c>
      <c r="K1016" s="2">
        <f ca="1">IFERROR(AVERAGE(OFFSET(Tabla3[[#This Row],[Close]],-6,0,7)),"")</f>
        <v>1599.1285574776743</v>
      </c>
      <c r="L1016" s="2">
        <f ca="1">IFERROR(_xlfn.STDEV.S(OFFSET(Tabla3[[#This Row],[Close]],-29,0,30)),"")</f>
        <v>22.176041111000934</v>
      </c>
    </row>
    <row r="1017" spans="1:12" x14ac:dyDescent="0.3">
      <c r="A1017" s="1">
        <v>43885</v>
      </c>
      <c r="B1017" s="3">
        <f>YEAR(Tabla3[[#This Row],[Date]])</f>
        <v>2020</v>
      </c>
      <c r="C1017" s="1" t="str">
        <f>+TEXT(Tabla3[[#This Row],[Date]],"mmm")</f>
        <v>feb</v>
      </c>
      <c r="D1017" s="2">
        <v>1672.40002441406</v>
      </c>
      <c r="E1017" s="2">
        <v>1672.40002441406</v>
      </c>
      <c r="F1017" s="2">
        <v>1686.59997558593</v>
      </c>
      <c r="G1017" s="2">
        <v>1650</v>
      </c>
      <c r="H1017" s="2">
        <v>1657</v>
      </c>
      <c r="I1017">
        <v>435</v>
      </c>
      <c r="J1017" s="2">
        <f ca="1">IFERROR((Tabla3[[#This Row],[Close]]-OFFSET(Tabla3[[#This Row],[Close]],-1,0))/OFFSET(Tabla3[[#This Row],[Close]],-1,0),"")</f>
        <v>1.6903836337602729E-2</v>
      </c>
      <c r="K1017" s="2">
        <f ca="1">IFERROR(AVERAGE(OFFSET(Tabla3[[#This Row],[Close]],-6,0,7)),"")</f>
        <v>1614.1285574776743</v>
      </c>
      <c r="L1017" s="2">
        <f ca="1">IFERROR(_xlfn.STDEV.S(OFFSET(Tabla3[[#This Row],[Close]],-29,0,30)),"")</f>
        <v>28.516411801280224</v>
      </c>
    </row>
    <row r="1018" spans="1:12" x14ac:dyDescent="0.3">
      <c r="A1018" s="1">
        <v>43886</v>
      </c>
      <c r="B1018" s="3">
        <f>YEAR(Tabla3[[#This Row],[Date]])</f>
        <v>2020</v>
      </c>
      <c r="C1018" s="1" t="str">
        <f>+TEXT(Tabla3[[#This Row],[Date]],"mmm")</f>
        <v>feb</v>
      </c>
      <c r="D1018" s="2">
        <v>1646.90002441406</v>
      </c>
      <c r="E1018" s="2">
        <v>1646.90002441406</v>
      </c>
      <c r="F1018" s="2">
        <v>1653.69995117187</v>
      </c>
      <c r="G1018" s="2">
        <v>1632.30004882812</v>
      </c>
      <c r="H1018" s="2">
        <v>1645.09997558593</v>
      </c>
      <c r="I1018">
        <v>409</v>
      </c>
      <c r="J1018" s="2">
        <f ca="1">IFERROR((Tabla3[[#This Row],[Close]]-OFFSET(Tabla3[[#This Row],[Close]],-1,0))/OFFSET(Tabla3[[#This Row],[Close]],-1,0),"")</f>
        <v>-1.5247548210802106E-2</v>
      </c>
      <c r="K1018" s="2">
        <f ca="1">IFERROR(AVERAGE(OFFSET(Tabla3[[#This Row],[Close]],-6,0,7)),"")</f>
        <v>1624.3857073102645</v>
      </c>
      <c r="L1018" s="2">
        <f ca="1">IFERROR(_xlfn.STDEV.S(OFFSET(Tabla3[[#This Row],[Close]],-29,0,30)),"")</f>
        <v>31.127589415538701</v>
      </c>
    </row>
    <row r="1019" spans="1:12" x14ac:dyDescent="0.3">
      <c r="A1019" s="1">
        <v>43887</v>
      </c>
      <c r="B1019" s="3">
        <f>YEAR(Tabla3[[#This Row],[Date]])</f>
        <v>2020</v>
      </c>
      <c r="C1019" s="1" t="str">
        <f>+TEXT(Tabla3[[#This Row],[Date]],"mmm")</f>
        <v>feb</v>
      </c>
      <c r="D1019" s="2">
        <v>1640</v>
      </c>
      <c r="E1019" s="2">
        <v>1640</v>
      </c>
      <c r="F1019" s="2">
        <v>1648.09997558593</v>
      </c>
      <c r="G1019" s="2">
        <v>1636.40002441406</v>
      </c>
      <c r="H1019" s="2">
        <v>1644</v>
      </c>
      <c r="I1019">
        <v>1990</v>
      </c>
      <c r="J1019" s="2">
        <f ca="1">IFERROR((Tabla3[[#This Row],[Close]]-OFFSET(Tabla3[[#This Row],[Close]],-1,0))/OFFSET(Tabla3[[#This Row],[Close]],-1,0),"")</f>
        <v>-4.1897044822225404E-3</v>
      </c>
      <c r="K1019" s="2">
        <f ca="1">IFERROR(AVERAGE(OFFSET(Tabla3[[#This Row],[Close]],-6,0,7)),"")</f>
        <v>1632.5714285714257</v>
      </c>
      <c r="L1019" s="2">
        <f ca="1">IFERROR(_xlfn.STDEV.S(OFFSET(Tabla3[[#This Row],[Close]],-29,0,30)),"")</f>
        <v>32.540827403392313</v>
      </c>
    </row>
    <row r="1020" spans="1:12" x14ac:dyDescent="0.3">
      <c r="A1020" s="1">
        <v>43888</v>
      </c>
      <c r="B1020" s="3">
        <f>YEAR(Tabla3[[#This Row],[Date]])</f>
        <v>2020</v>
      </c>
      <c r="C1020" s="1" t="str">
        <f>+TEXT(Tabla3[[#This Row],[Date]],"mmm")</f>
        <v>feb</v>
      </c>
      <c r="D1020" s="2">
        <v>1640</v>
      </c>
      <c r="E1020" s="2">
        <v>1640</v>
      </c>
      <c r="F1020" s="2">
        <v>1658</v>
      </c>
      <c r="G1020" s="2">
        <v>1638.5</v>
      </c>
      <c r="H1020" s="2">
        <v>1641.09997558593</v>
      </c>
      <c r="I1020">
        <v>707</v>
      </c>
      <c r="J1020" s="2">
        <f ca="1">IFERROR((Tabla3[[#This Row],[Close]]-OFFSET(Tabla3[[#This Row],[Close]],-1,0))/OFFSET(Tabla3[[#This Row],[Close]],-1,0),"")</f>
        <v>0</v>
      </c>
      <c r="K1020" s="2">
        <f ca="1">IFERROR(AVERAGE(OFFSET(Tabla3[[#This Row],[Close]],-6,0,7)),"")</f>
        <v>1638.2857142857115</v>
      </c>
      <c r="L1020" s="2">
        <f ca="1">IFERROR(_xlfn.STDEV.S(OFFSET(Tabla3[[#This Row],[Close]],-29,0,30)),"")</f>
        <v>33.367043446285983</v>
      </c>
    </row>
    <row r="1021" spans="1:12" x14ac:dyDescent="0.3">
      <c r="A1021" s="1">
        <v>43889</v>
      </c>
      <c r="B1021" s="3">
        <f>YEAR(Tabla3[[#This Row],[Date]])</f>
        <v>2020</v>
      </c>
      <c r="C1021" s="1" t="str">
        <f>+TEXT(Tabla3[[#This Row],[Date]],"mmm")</f>
        <v>feb</v>
      </c>
      <c r="D1021" s="2">
        <v>1564.09997558593</v>
      </c>
      <c r="E1021" s="2">
        <v>1564.09997558593</v>
      </c>
      <c r="F1021" s="2">
        <v>1642.5</v>
      </c>
      <c r="G1021" s="2">
        <v>1564.09997558593</v>
      </c>
      <c r="H1021" s="2">
        <v>1640.30004882812</v>
      </c>
      <c r="I1021">
        <v>289</v>
      </c>
      <c r="J1021" s="2">
        <f ca="1">IFERROR((Tabla3[[#This Row],[Close]]-OFFSET(Tabla3[[#This Row],[Close]],-1,0))/OFFSET(Tabla3[[#This Row],[Close]],-1,0),"")</f>
        <v>-4.6280502691506097E-2</v>
      </c>
      <c r="K1021" s="2">
        <f ca="1">IFERROR(AVERAGE(OFFSET(Tabla3[[#This Row],[Close]],-6,0,7)),"")</f>
        <v>1632.0857107979871</v>
      </c>
      <c r="L1021" s="2">
        <f ca="1">IFERROR(_xlfn.STDEV.S(OFFSET(Tabla3[[#This Row],[Close]],-29,0,30)),"")</f>
        <v>33.032558387788697</v>
      </c>
    </row>
    <row r="1022" spans="1:12" x14ac:dyDescent="0.3">
      <c r="A1022" s="1">
        <v>43892</v>
      </c>
      <c r="B1022" s="3">
        <f>YEAR(Tabla3[[#This Row],[Date]])</f>
        <v>2020</v>
      </c>
      <c r="C1022" s="1" t="str">
        <f>+TEXT(Tabla3[[#This Row],[Date]],"mmm")</f>
        <v>mar</v>
      </c>
      <c r="D1022" s="2">
        <v>1592.30004882812</v>
      </c>
      <c r="E1022" s="2">
        <v>1592.30004882812</v>
      </c>
      <c r="F1022" s="2">
        <v>1608.30004882812</v>
      </c>
      <c r="G1022" s="2">
        <v>1574.30004882812</v>
      </c>
      <c r="H1022" s="2">
        <v>1583.90002441406</v>
      </c>
      <c r="I1022">
        <v>537</v>
      </c>
      <c r="J1022" s="2">
        <f ca="1">IFERROR((Tabla3[[#This Row],[Close]]-OFFSET(Tabla3[[#This Row],[Close]],-1,0))/OFFSET(Tabla3[[#This Row],[Close]],-1,0),"")</f>
        <v>1.802958486181545E-2</v>
      </c>
      <c r="K1022" s="2">
        <f ca="1">IFERROR(AVERAGE(OFFSET(Tabla3[[#This Row],[Close]],-6,0,7)),"")</f>
        <v>1628.6142926897285</v>
      </c>
      <c r="L1022" s="2">
        <f ca="1">IFERROR(_xlfn.STDEV.S(OFFSET(Tabla3[[#This Row],[Close]],-29,0,30)),"")</f>
        <v>32.337821594067528</v>
      </c>
    </row>
    <row r="1023" spans="1:12" x14ac:dyDescent="0.3">
      <c r="A1023" s="1">
        <v>43893</v>
      </c>
      <c r="B1023" s="3">
        <f>YEAR(Tabla3[[#This Row],[Date]])</f>
        <v>2020</v>
      </c>
      <c r="C1023" s="1" t="str">
        <f>+TEXT(Tabla3[[#This Row],[Date]],"mmm")</f>
        <v>mar</v>
      </c>
      <c r="D1023" s="2">
        <v>1642.09997558593</v>
      </c>
      <c r="E1023" s="2">
        <v>1642.09997558593</v>
      </c>
      <c r="F1023" s="2">
        <v>1645.30004882812</v>
      </c>
      <c r="G1023" s="2">
        <v>1594</v>
      </c>
      <c r="H1023" s="2">
        <v>1594.5</v>
      </c>
      <c r="I1023">
        <v>610</v>
      </c>
      <c r="J1023" s="2">
        <f ca="1">IFERROR((Tabla3[[#This Row],[Close]]-OFFSET(Tabla3[[#This Row],[Close]],-1,0))/OFFSET(Tabla3[[#This Row],[Close]],-1,0),"")</f>
        <v>3.1275466451477593E-2</v>
      </c>
      <c r="K1023" s="2">
        <f ca="1">IFERROR(AVERAGE(OFFSET(Tabla3[[#This Row],[Close]],-6,0,7)),"")</f>
        <v>1628.2571498325856</v>
      </c>
      <c r="L1023" s="2">
        <f ca="1">IFERROR(_xlfn.STDEV.S(OFFSET(Tabla3[[#This Row],[Close]],-29,0,30)),"")</f>
        <v>33.428127944230198</v>
      </c>
    </row>
    <row r="1024" spans="1:12" x14ac:dyDescent="0.3">
      <c r="A1024" s="1">
        <v>43894</v>
      </c>
      <c r="B1024" s="3">
        <f>YEAR(Tabla3[[#This Row],[Date]])</f>
        <v>2020</v>
      </c>
      <c r="C1024" s="1" t="str">
        <f>+TEXT(Tabla3[[#This Row],[Date]],"mmm")</f>
        <v>mar</v>
      </c>
      <c r="D1024" s="2">
        <v>1641.09997558593</v>
      </c>
      <c r="E1024" s="2">
        <v>1641.09997558593</v>
      </c>
      <c r="F1024" s="2">
        <v>1645.90002441406</v>
      </c>
      <c r="G1024" s="2">
        <v>1631.30004882812</v>
      </c>
      <c r="H1024" s="2">
        <v>1645.40002441406</v>
      </c>
      <c r="I1024">
        <v>83</v>
      </c>
      <c r="J1024" s="2">
        <f ca="1">IFERROR((Tabla3[[#This Row],[Close]]-OFFSET(Tabla3[[#This Row],[Close]],-1,0))/OFFSET(Tabla3[[#This Row],[Close]],-1,0),"")</f>
        <v>-6.0897631987551942E-4</v>
      </c>
      <c r="K1024" s="2">
        <f ca="1">IFERROR(AVERAGE(OFFSET(Tabla3[[#This Row],[Close]],-6,0,7)),"")</f>
        <v>1623.7857142857101</v>
      </c>
      <c r="L1024" s="2">
        <f ca="1">IFERROR(_xlfn.STDEV.S(OFFSET(Tabla3[[#This Row],[Close]],-29,0,30)),"")</f>
        <v>34.118377273367024</v>
      </c>
    </row>
    <row r="1025" spans="1:12" x14ac:dyDescent="0.3">
      <c r="A1025" s="1">
        <v>43895</v>
      </c>
      <c r="B1025" s="3">
        <f>YEAR(Tabla3[[#This Row],[Date]])</f>
        <v>2020</v>
      </c>
      <c r="C1025" s="1" t="str">
        <f>+TEXT(Tabla3[[#This Row],[Date]],"mmm")</f>
        <v>mar</v>
      </c>
      <c r="D1025" s="2">
        <v>1666.40002441406</v>
      </c>
      <c r="E1025" s="2">
        <v>1666.40002441406</v>
      </c>
      <c r="F1025" s="2">
        <v>1672.90002441406</v>
      </c>
      <c r="G1025" s="2">
        <v>1637.19995117187</v>
      </c>
      <c r="H1025" s="2">
        <v>1637.30004882812</v>
      </c>
      <c r="I1025">
        <v>154</v>
      </c>
      <c r="J1025" s="2">
        <f ca="1">IFERROR((Tabla3[[#This Row],[Close]]-OFFSET(Tabla3[[#This Row],[Close]],-1,0))/OFFSET(Tabla3[[#This Row],[Close]],-1,0),"")</f>
        <v>1.5416518922984568E-2</v>
      </c>
      <c r="K1025" s="2">
        <f ca="1">IFERROR(AVERAGE(OFFSET(Tabla3[[#This Row],[Close]],-6,0,7)),"")</f>
        <v>1626.5714285714243</v>
      </c>
      <c r="L1025" s="2">
        <f ca="1">IFERROR(_xlfn.STDEV.S(OFFSET(Tabla3[[#This Row],[Close]],-29,0,30)),"")</f>
        <v>35.957296588981507</v>
      </c>
    </row>
    <row r="1026" spans="1:12" x14ac:dyDescent="0.3">
      <c r="A1026" s="1">
        <v>43896</v>
      </c>
      <c r="B1026" s="3">
        <f>YEAR(Tabla3[[#This Row],[Date]])</f>
        <v>2020</v>
      </c>
      <c r="C1026" s="1" t="str">
        <f>+TEXT(Tabla3[[#This Row],[Date]],"mmm")</f>
        <v>mar</v>
      </c>
      <c r="D1026" s="2">
        <v>1670.80004882812</v>
      </c>
      <c r="E1026" s="2">
        <v>1670.80004882812</v>
      </c>
      <c r="F1026" s="2">
        <v>1686.19995117187</v>
      </c>
      <c r="G1026" s="2">
        <v>1647.19995117187</v>
      </c>
      <c r="H1026" s="2">
        <v>1670.80004882812</v>
      </c>
      <c r="I1026">
        <v>175</v>
      </c>
      <c r="J1026" s="2">
        <f ca="1">IFERROR((Tabla3[[#This Row],[Close]]-OFFSET(Tabla3[[#This Row],[Close]],-1,0))/OFFSET(Tabla3[[#This Row],[Close]],-1,0),"")</f>
        <v>2.6404370796904763E-3</v>
      </c>
      <c r="K1026" s="2">
        <f ca="1">IFERROR(AVERAGE(OFFSET(Tabla3[[#This Row],[Close]],-6,0,7)),"")</f>
        <v>1630.97143554687</v>
      </c>
      <c r="L1026" s="2">
        <f ca="1">IFERROR(_xlfn.STDEV.S(OFFSET(Tabla3[[#This Row],[Close]],-29,0,30)),"")</f>
        <v>37.944063320089889</v>
      </c>
    </row>
    <row r="1027" spans="1:12" x14ac:dyDescent="0.3">
      <c r="A1027" s="1">
        <v>43899</v>
      </c>
      <c r="B1027" s="3">
        <f>YEAR(Tabla3[[#This Row],[Date]])</f>
        <v>2020</v>
      </c>
      <c r="C1027" s="1" t="str">
        <f>+TEXT(Tabla3[[#This Row],[Date]],"mmm")</f>
        <v>mar</v>
      </c>
      <c r="D1027" s="2">
        <v>1674.5</v>
      </c>
      <c r="E1027" s="2">
        <v>1674.5</v>
      </c>
      <c r="F1027" s="2">
        <v>1701.59997558593</v>
      </c>
      <c r="G1027" s="2">
        <v>1657.69995117187</v>
      </c>
      <c r="H1027" s="2">
        <v>1696.09997558593</v>
      </c>
      <c r="I1027">
        <v>161</v>
      </c>
      <c r="J1027" s="2">
        <f ca="1">IFERROR((Tabla3[[#This Row],[Close]]-OFFSET(Tabla3[[#This Row],[Close]],-1,0))/OFFSET(Tabla3[[#This Row],[Close]],-1,0),"")</f>
        <v>2.2144787309978267E-3</v>
      </c>
      <c r="K1027" s="2">
        <f ca="1">IFERROR(AVERAGE(OFFSET(Tabla3[[#This Row],[Close]],-6,0,7)),"")</f>
        <v>1635.9000069754416</v>
      </c>
      <c r="L1027" s="2">
        <f ca="1">IFERROR(_xlfn.STDEV.S(OFFSET(Tabla3[[#This Row],[Close]],-29,0,30)),"")</f>
        <v>39.926965399590578</v>
      </c>
    </row>
    <row r="1028" spans="1:12" x14ac:dyDescent="0.3">
      <c r="A1028" s="1">
        <v>43900</v>
      </c>
      <c r="B1028" s="3">
        <f>YEAR(Tabla3[[#This Row],[Date]])</f>
        <v>2020</v>
      </c>
      <c r="C1028" s="1" t="str">
        <f>+TEXT(Tabla3[[#This Row],[Date]],"mmm")</f>
        <v>mar</v>
      </c>
      <c r="D1028" s="2">
        <v>1659.09997558593</v>
      </c>
      <c r="E1028" s="2">
        <v>1659.09997558593</v>
      </c>
      <c r="F1028" s="2">
        <v>1674.59997558593</v>
      </c>
      <c r="G1028" s="2">
        <v>1643</v>
      </c>
      <c r="H1028" s="2">
        <v>1671.59997558593</v>
      </c>
      <c r="I1028">
        <v>48</v>
      </c>
      <c r="J1028" s="2">
        <f ca="1">IFERROR((Tabla3[[#This Row],[Close]]-OFFSET(Tabla3[[#This Row],[Close]],-1,0))/OFFSET(Tabla3[[#This Row],[Close]],-1,0),"")</f>
        <v>-9.1967897366796083E-3</v>
      </c>
      <c r="K1028" s="2">
        <f ca="1">IFERROR(AVERAGE(OFFSET(Tabla3[[#This Row],[Close]],-6,0,7)),"")</f>
        <v>1649.47143554687</v>
      </c>
      <c r="L1028" s="2">
        <f ca="1">IFERROR(_xlfn.STDEV.S(OFFSET(Tabla3[[#This Row],[Close]],-29,0,30)),"")</f>
        <v>40.889719818128917</v>
      </c>
    </row>
    <row r="1029" spans="1:12" x14ac:dyDescent="0.3">
      <c r="A1029" s="1">
        <v>43901</v>
      </c>
      <c r="B1029" s="3">
        <f>YEAR(Tabla3[[#This Row],[Date]])</f>
        <v>2020</v>
      </c>
      <c r="C1029" s="1" t="str">
        <f>+TEXT(Tabla3[[#This Row],[Date]],"mmm")</f>
        <v>mar</v>
      </c>
      <c r="D1029" s="2">
        <v>1641.40002441406</v>
      </c>
      <c r="E1029" s="2">
        <v>1641.40002441406</v>
      </c>
      <c r="F1029" s="2">
        <v>1666.5</v>
      </c>
      <c r="G1029" s="2">
        <v>1635</v>
      </c>
      <c r="H1029" s="2">
        <v>1656.59997558593</v>
      </c>
      <c r="I1029">
        <v>47</v>
      </c>
      <c r="J1029" s="2">
        <f ca="1">IFERROR((Tabla3[[#This Row],[Close]]-OFFSET(Tabla3[[#This Row],[Close]],-1,0))/OFFSET(Tabla3[[#This Row],[Close]],-1,0),"")</f>
        <v>-1.0668405420004336E-2</v>
      </c>
      <c r="K1029" s="2">
        <f ca="1">IFERROR(AVERAGE(OFFSET(Tabla3[[#This Row],[Close]],-6,0,7)),"")</f>
        <v>1656.4857177734332</v>
      </c>
      <c r="L1029" s="2">
        <f ca="1">IFERROR(_xlfn.STDEV.S(OFFSET(Tabla3[[#This Row],[Close]],-29,0,30)),"")</f>
        <v>40.797269203574373</v>
      </c>
    </row>
    <row r="1030" spans="1:12" x14ac:dyDescent="0.3">
      <c r="A1030" s="1">
        <v>43902</v>
      </c>
      <c r="B1030" s="3">
        <f>YEAR(Tabla3[[#This Row],[Date]])</f>
        <v>2020</v>
      </c>
      <c r="C1030" s="1" t="str">
        <f>+TEXT(Tabla3[[#This Row],[Date]],"mmm")</f>
        <v>mar</v>
      </c>
      <c r="D1030" s="2">
        <v>1589.30004882812</v>
      </c>
      <c r="E1030" s="2">
        <v>1589.30004882812</v>
      </c>
      <c r="F1030" s="2">
        <v>1647.5</v>
      </c>
      <c r="G1030" s="2">
        <v>1566.40002441406</v>
      </c>
      <c r="H1030" s="2">
        <v>1637</v>
      </c>
      <c r="I1030">
        <v>256</v>
      </c>
      <c r="J1030" s="2">
        <f ca="1">IFERROR((Tabla3[[#This Row],[Close]]-OFFSET(Tabla3[[#This Row],[Close]],-1,0))/OFFSET(Tabla3[[#This Row],[Close]],-1,0),"")</f>
        <v>-3.174118119349878E-2</v>
      </c>
      <c r="K1030" s="2">
        <f ca="1">IFERROR(AVERAGE(OFFSET(Tabla3[[#This Row],[Close]],-6,0,7)),"")</f>
        <v>1648.9428710937459</v>
      </c>
      <c r="L1030" s="2">
        <f ca="1">IFERROR(_xlfn.STDEV.S(OFFSET(Tabla3[[#This Row],[Close]],-29,0,30)),"")</f>
        <v>40.319882575274484</v>
      </c>
    </row>
    <row r="1031" spans="1:12" x14ac:dyDescent="0.3">
      <c r="A1031" s="1">
        <v>43903</v>
      </c>
      <c r="B1031" s="3">
        <f>YEAR(Tabla3[[#This Row],[Date]])</f>
        <v>2020</v>
      </c>
      <c r="C1031" s="1" t="str">
        <f>+TEXT(Tabla3[[#This Row],[Date]],"mmm")</f>
        <v>mar</v>
      </c>
      <c r="D1031" s="2">
        <v>1515.69995117187</v>
      </c>
      <c r="E1031" s="2">
        <v>1515.69995117187</v>
      </c>
      <c r="F1031" s="2">
        <v>1589.80004882812</v>
      </c>
      <c r="G1031" s="2">
        <v>1513.80004882812</v>
      </c>
      <c r="H1031" s="2">
        <v>1574.90002441406</v>
      </c>
      <c r="I1031">
        <v>89</v>
      </c>
      <c r="J1031" s="2">
        <f ca="1">IFERROR((Tabla3[[#This Row],[Close]]-OFFSET(Tabla3[[#This Row],[Close]],-1,0))/OFFSET(Tabla3[[#This Row],[Close]],-1,0),"")</f>
        <v>-4.630975611592001E-2</v>
      </c>
      <c r="K1031" s="2">
        <f ca="1">IFERROR(AVERAGE(OFFSET(Tabla3[[#This Row],[Close]],-6,0,7)),"")</f>
        <v>1631.0285818917371</v>
      </c>
      <c r="L1031" s="2">
        <f ca="1">IFERROR(_xlfn.STDEV.S(OFFSET(Tabla3[[#This Row],[Close]],-29,0,30)),"")</f>
        <v>43.550116886371974</v>
      </c>
    </row>
    <row r="1032" spans="1:12" x14ac:dyDescent="0.3">
      <c r="A1032" s="1">
        <v>43906</v>
      </c>
      <c r="B1032" s="3">
        <f>YEAR(Tabla3[[#This Row],[Date]])</f>
        <v>2020</v>
      </c>
      <c r="C1032" s="1" t="str">
        <f>+TEXT(Tabla3[[#This Row],[Date]],"mmm")</f>
        <v>mar</v>
      </c>
      <c r="D1032" s="2">
        <v>1485.90002441406</v>
      </c>
      <c r="E1032" s="2">
        <v>1485.90002441406</v>
      </c>
      <c r="F1032" s="2">
        <v>1569.09997558593</v>
      </c>
      <c r="G1032" s="2">
        <v>1452.09997558593</v>
      </c>
      <c r="H1032" s="2">
        <v>1569.09997558593</v>
      </c>
      <c r="I1032">
        <v>193</v>
      </c>
      <c r="J1032" s="2">
        <f ca="1">IFERROR((Tabla3[[#This Row],[Close]]-OFFSET(Tabla3[[#This Row],[Close]],-1,0))/OFFSET(Tabla3[[#This Row],[Close]],-1,0),"")</f>
        <v>-1.9660835071459926E-2</v>
      </c>
      <c r="K1032" s="2">
        <f ca="1">IFERROR(AVERAGE(OFFSET(Tabla3[[#This Row],[Close]],-6,0,7)),"")</f>
        <v>1605.2428676060229</v>
      </c>
      <c r="L1032" s="2">
        <f ca="1">IFERROR(_xlfn.STDEV.S(OFFSET(Tabla3[[#This Row],[Close]],-29,0,30)),"")</f>
        <v>48.657164196031864</v>
      </c>
    </row>
    <row r="1033" spans="1:12" x14ac:dyDescent="0.3">
      <c r="A1033" s="1">
        <v>43907</v>
      </c>
      <c r="B1033" s="3">
        <f>YEAR(Tabla3[[#This Row],[Date]])</f>
        <v>2020</v>
      </c>
      <c r="C1033" s="1" t="str">
        <f>+TEXT(Tabla3[[#This Row],[Date]],"mmm")</f>
        <v>mar</v>
      </c>
      <c r="D1033" s="2">
        <v>1524.90002441406</v>
      </c>
      <c r="E1033" s="2">
        <v>1524.90002441406</v>
      </c>
      <c r="F1033" s="2">
        <v>1537.69995117187</v>
      </c>
      <c r="G1033" s="2">
        <v>1469.30004882812</v>
      </c>
      <c r="H1033" s="2">
        <v>1469.30004882812</v>
      </c>
      <c r="I1033">
        <v>122</v>
      </c>
      <c r="J1033" s="2">
        <f ca="1">IFERROR((Tabla3[[#This Row],[Close]]-OFFSET(Tabla3[[#This Row],[Close]],-1,0))/OFFSET(Tabla3[[#This Row],[Close]],-1,0),"")</f>
        <v>2.6246718728858628E-2</v>
      </c>
      <c r="K1033" s="2">
        <f ca="1">IFERROR(AVERAGE(OFFSET(Tabla3[[#This Row],[Close]],-6,0,7)),"")</f>
        <v>1584.4000069754431</v>
      </c>
      <c r="L1033" s="2">
        <f ca="1">IFERROR(_xlfn.STDEV.S(OFFSET(Tabla3[[#This Row],[Close]],-29,0,30)),"")</f>
        <v>50.521192494696749</v>
      </c>
    </row>
    <row r="1034" spans="1:12" x14ac:dyDescent="0.3">
      <c r="A1034" s="1">
        <v>43908</v>
      </c>
      <c r="B1034" s="3">
        <f>YEAR(Tabla3[[#This Row],[Date]])</f>
        <v>2020</v>
      </c>
      <c r="C1034" s="1" t="str">
        <f>+TEXT(Tabla3[[#This Row],[Date]],"mmm")</f>
        <v>mar</v>
      </c>
      <c r="D1034" s="2">
        <v>1477.30004882812</v>
      </c>
      <c r="E1034" s="2">
        <v>1477.30004882812</v>
      </c>
      <c r="F1034" s="2">
        <v>1542</v>
      </c>
      <c r="G1034" s="2">
        <v>1477.30004882812</v>
      </c>
      <c r="H1034" s="2">
        <v>1537.5</v>
      </c>
      <c r="I1034">
        <v>333</v>
      </c>
      <c r="J1034" s="2">
        <f ca="1">IFERROR((Tabla3[[#This Row],[Close]]-OFFSET(Tabla3[[#This Row],[Close]],-1,0))/OFFSET(Tabla3[[#This Row],[Close]],-1,0),"")</f>
        <v>-3.1215145139911846E-2</v>
      </c>
      <c r="K1034" s="2">
        <f ca="1">IFERROR(AVERAGE(OFFSET(Tabla3[[#This Row],[Close]],-6,0,7)),"")</f>
        <v>1556.2285853794599</v>
      </c>
      <c r="L1034" s="2">
        <f ca="1">IFERROR(_xlfn.STDEV.S(OFFSET(Tabla3[[#This Row],[Close]],-29,0,30)),"")</f>
        <v>54.660674046699405</v>
      </c>
    </row>
    <row r="1035" spans="1:12" x14ac:dyDescent="0.3">
      <c r="A1035" s="1">
        <v>43909</v>
      </c>
      <c r="B1035" s="3">
        <f>YEAR(Tabla3[[#This Row],[Date]])</f>
        <v>2020</v>
      </c>
      <c r="C1035" s="1" t="str">
        <f>+TEXT(Tabla3[[#This Row],[Date]],"mmm")</f>
        <v>mar</v>
      </c>
      <c r="D1035" s="2">
        <v>1478.59997558593</v>
      </c>
      <c r="E1035" s="2">
        <v>1478.59997558593</v>
      </c>
      <c r="F1035" s="2">
        <v>1491.59997558593</v>
      </c>
      <c r="G1035" s="2">
        <v>1471</v>
      </c>
      <c r="H1035" s="2">
        <v>1481.5</v>
      </c>
      <c r="I1035">
        <v>262</v>
      </c>
      <c r="J1035" s="2">
        <f ca="1">IFERROR((Tabla3[[#This Row],[Close]]-OFFSET(Tabla3[[#This Row],[Close]],-1,0))/OFFSET(Tabla3[[#This Row],[Close]],-1,0),"")</f>
        <v>8.7993414664893309E-4</v>
      </c>
      <c r="K1035" s="2">
        <f ca="1">IFERROR(AVERAGE(OFFSET(Tabla3[[#This Row],[Close]],-6,0,7)),"")</f>
        <v>1530.4428710937457</v>
      </c>
      <c r="L1035" s="2">
        <f ca="1">IFERROR(_xlfn.STDEV.S(OFFSET(Tabla3[[#This Row],[Close]],-29,0,30)),"")</f>
        <v>58.496979873113474</v>
      </c>
    </row>
    <row r="1036" spans="1:12" x14ac:dyDescent="0.3">
      <c r="A1036" s="1">
        <v>43910</v>
      </c>
      <c r="B1036" s="3">
        <f>YEAR(Tabla3[[#This Row],[Date]])</f>
        <v>2020</v>
      </c>
      <c r="C1036" s="1" t="str">
        <f>+TEXT(Tabla3[[#This Row],[Date]],"mmm")</f>
        <v>mar</v>
      </c>
      <c r="D1036" s="2">
        <v>1484</v>
      </c>
      <c r="E1036" s="2">
        <v>1484</v>
      </c>
      <c r="F1036" s="2">
        <v>1484</v>
      </c>
      <c r="G1036" s="2">
        <v>1483.5</v>
      </c>
      <c r="H1036" s="2">
        <v>1483.5</v>
      </c>
      <c r="I1036">
        <v>14</v>
      </c>
      <c r="J1036" s="2">
        <f ca="1">IFERROR((Tabla3[[#This Row],[Close]]-OFFSET(Tabla3[[#This Row],[Close]],-1,0))/OFFSET(Tabla3[[#This Row],[Close]],-1,0),"")</f>
        <v>3.652119912912968E-3</v>
      </c>
      <c r="K1036" s="2">
        <f ca="1">IFERROR(AVERAGE(OFFSET(Tabla3[[#This Row],[Close]],-6,0,7)),"")</f>
        <v>1507.9571533203086</v>
      </c>
      <c r="L1036" s="2">
        <f ca="1">IFERROR(_xlfn.STDEV.S(OFFSET(Tabla3[[#This Row],[Close]],-29,0,30)),"")</f>
        <v>61.773446565205035</v>
      </c>
    </row>
    <row r="1037" spans="1:12" x14ac:dyDescent="0.3">
      <c r="A1037" s="1">
        <v>43913</v>
      </c>
      <c r="B1037" s="3">
        <f>YEAR(Tabla3[[#This Row],[Date]])</f>
        <v>2020</v>
      </c>
      <c r="C1037" s="1" t="str">
        <f>+TEXT(Tabla3[[#This Row],[Date]],"mmm")</f>
        <v>mar</v>
      </c>
      <c r="D1037" s="2">
        <v>1567</v>
      </c>
      <c r="E1037" s="2">
        <v>1567</v>
      </c>
      <c r="F1037" s="2">
        <v>1567</v>
      </c>
      <c r="G1037" s="2">
        <v>1490.19995117187</v>
      </c>
      <c r="H1037" s="2">
        <v>1505.30004882812</v>
      </c>
      <c r="I1037">
        <v>51</v>
      </c>
      <c r="J1037" s="2">
        <f ca="1">IFERROR((Tabla3[[#This Row],[Close]]-OFFSET(Tabla3[[#This Row],[Close]],-1,0))/OFFSET(Tabla3[[#This Row],[Close]],-1,0),"")</f>
        <v>5.5929919137466311E-2</v>
      </c>
      <c r="K1037" s="2">
        <f ca="1">IFERROR(AVERAGE(OFFSET(Tabla3[[#This Row],[Close]],-6,0,7)),"")</f>
        <v>1504.7714320591488</v>
      </c>
      <c r="L1037" s="2">
        <f ca="1">IFERROR(_xlfn.STDEV.S(OFFSET(Tabla3[[#This Row],[Close]],-29,0,30)),"")</f>
        <v>61.796508780364427</v>
      </c>
    </row>
    <row r="1038" spans="1:12" x14ac:dyDescent="0.3">
      <c r="A1038" s="1">
        <v>43914</v>
      </c>
      <c r="B1038" s="3">
        <f>YEAR(Tabla3[[#This Row],[Date]])</f>
        <v>2020</v>
      </c>
      <c r="C1038" s="1" t="str">
        <f>+TEXT(Tabla3[[#This Row],[Date]],"mmm")</f>
        <v>mar</v>
      </c>
      <c r="D1038" s="2">
        <v>1660.19995117187</v>
      </c>
      <c r="E1038" s="2">
        <v>1660.19995117187</v>
      </c>
      <c r="F1038" s="2">
        <v>1685.5</v>
      </c>
      <c r="G1038" s="2">
        <v>1592.69995117187</v>
      </c>
      <c r="H1038" s="2">
        <v>1592.69995117187</v>
      </c>
      <c r="I1038">
        <v>442</v>
      </c>
      <c r="J1038" s="2">
        <f ca="1">IFERROR((Tabla3[[#This Row],[Close]]-OFFSET(Tabla3[[#This Row],[Close]],-1,0))/OFFSET(Tabla3[[#This Row],[Close]],-1,0),"")</f>
        <v>5.9476675923337587E-2</v>
      </c>
      <c r="K1038" s="2">
        <f ca="1">IFERROR(AVERAGE(OFFSET(Tabla3[[#This Row],[Close]],-6,0,7)),"")</f>
        <v>1525.4142892020056</v>
      </c>
      <c r="L1038" s="2">
        <f ca="1">IFERROR(_xlfn.STDEV.S(OFFSET(Tabla3[[#This Row],[Close]],-29,0,30)),"")</f>
        <v>62.857285830187422</v>
      </c>
    </row>
    <row r="1039" spans="1:12" x14ac:dyDescent="0.3">
      <c r="A1039" s="1">
        <v>43915</v>
      </c>
      <c r="B1039" s="3">
        <f>YEAR(Tabla3[[#This Row],[Date]])</f>
        <v>2020</v>
      </c>
      <c r="C1039" s="1" t="str">
        <f>+TEXT(Tabla3[[#This Row],[Date]],"mmm")</f>
        <v>mar</v>
      </c>
      <c r="D1039" s="2">
        <v>1632.30004882812</v>
      </c>
      <c r="E1039" s="2">
        <v>1632.30004882812</v>
      </c>
      <c r="F1039" s="2">
        <v>1676.5</v>
      </c>
      <c r="G1039" s="2">
        <v>1631.09997558593</v>
      </c>
      <c r="H1039" s="2">
        <v>1676.5</v>
      </c>
      <c r="I1039">
        <v>476</v>
      </c>
      <c r="J1039" s="2">
        <f ca="1">IFERROR((Tabla3[[#This Row],[Close]]-OFFSET(Tabla3[[#This Row],[Close]],-1,0))/OFFSET(Tabla3[[#This Row],[Close]],-1,0),"")</f>
        <v>-1.6805145864542733E-2</v>
      </c>
      <c r="K1039" s="2">
        <f ca="1">IFERROR(AVERAGE(OFFSET(Tabla3[[#This Row],[Close]],-6,0,7)),"")</f>
        <v>1546.3285784040143</v>
      </c>
      <c r="L1039" s="2">
        <f ca="1">IFERROR(_xlfn.STDEV.S(OFFSET(Tabla3[[#This Row],[Close]],-29,0,30)),"")</f>
        <v>62.908066039428498</v>
      </c>
    </row>
    <row r="1040" spans="1:12" x14ac:dyDescent="0.3">
      <c r="A1040" s="1">
        <v>43916</v>
      </c>
      <c r="B1040" s="3">
        <f>YEAR(Tabla3[[#This Row],[Date]])</f>
        <v>2020</v>
      </c>
      <c r="C1040" s="1" t="str">
        <f>+TEXT(Tabla3[[#This Row],[Date]],"mmm")</f>
        <v>mar</v>
      </c>
      <c r="D1040" s="2">
        <v>1650.09997558593</v>
      </c>
      <c r="E1040" s="2">
        <v>1650.09997558593</v>
      </c>
      <c r="F1040" s="2">
        <v>1660.5</v>
      </c>
      <c r="G1040" s="2">
        <v>1650.09997558593</v>
      </c>
      <c r="H1040" s="2">
        <v>1660.5</v>
      </c>
      <c r="I1040">
        <v>3</v>
      </c>
      <c r="J1040" s="2">
        <f ca="1">IFERROR((Tabla3[[#This Row],[Close]]-OFFSET(Tabla3[[#This Row],[Close]],-1,0))/OFFSET(Tabla3[[#This Row],[Close]],-1,0),"")</f>
        <v>1.0904812978832617E-2</v>
      </c>
      <c r="K1040" s="2">
        <f ca="1">IFERROR(AVERAGE(OFFSET(Tabla3[[#This Row],[Close]],-6,0,7)),"")</f>
        <v>1564.2142857142812</v>
      </c>
      <c r="L1040" s="2">
        <f ca="1">IFERROR(_xlfn.STDEV.S(OFFSET(Tabla3[[#This Row],[Close]],-29,0,30)),"")</f>
        <v>63.301147134153496</v>
      </c>
    </row>
    <row r="1041" spans="1:12" x14ac:dyDescent="0.3">
      <c r="A1041" s="1">
        <v>43917</v>
      </c>
      <c r="B1041" s="3">
        <f>YEAR(Tabla3[[#This Row],[Date]])</f>
        <v>2020</v>
      </c>
      <c r="C1041" s="1" t="str">
        <f>+TEXT(Tabla3[[#This Row],[Date]],"mmm")</f>
        <v>mar</v>
      </c>
      <c r="D1041" s="2">
        <v>1623.90002441406</v>
      </c>
      <c r="E1041" s="2">
        <v>1623.90002441406</v>
      </c>
      <c r="F1041" s="2">
        <v>1623.90002441406</v>
      </c>
      <c r="G1041" s="2">
        <v>1623.90002441406</v>
      </c>
      <c r="H1041" s="2">
        <v>1623.90002441406</v>
      </c>
      <c r="I1041">
        <v>100638</v>
      </c>
      <c r="J1041" s="2">
        <f ca="1">IFERROR((Tabla3[[#This Row],[Close]]-OFFSET(Tabla3[[#This Row],[Close]],-1,0))/OFFSET(Tabla3[[#This Row],[Close]],-1,0),"")</f>
        <v>-1.5877796230235518E-2</v>
      </c>
      <c r="K1041" s="2">
        <f ca="1">IFERROR(AVERAGE(OFFSET(Tabla3[[#This Row],[Close]],-6,0,7)),"")</f>
        <v>1585.1571393694157</v>
      </c>
      <c r="L1041" s="2">
        <f ca="1">IFERROR(_xlfn.STDEV.S(OFFSET(Tabla3[[#This Row],[Close]],-29,0,30)),"")</f>
        <v>63.228177881003091</v>
      </c>
    </row>
    <row r="1042" spans="1:12" x14ac:dyDescent="0.3">
      <c r="A1042" s="1">
        <v>43920</v>
      </c>
      <c r="B1042" s="3">
        <f>YEAR(Tabla3[[#This Row],[Date]])</f>
        <v>2020</v>
      </c>
      <c r="C1042" s="1" t="str">
        <f>+TEXT(Tabla3[[#This Row],[Date]],"mmm")</f>
        <v>mar</v>
      </c>
      <c r="D1042" s="2">
        <v>1622</v>
      </c>
      <c r="E1042" s="2">
        <v>1622</v>
      </c>
      <c r="F1042" s="2">
        <v>1652.80004882812</v>
      </c>
      <c r="G1042" s="2">
        <v>1607.19995117187</v>
      </c>
      <c r="H1042" s="2">
        <v>1641.19995117187</v>
      </c>
      <c r="I1042">
        <v>16389</v>
      </c>
      <c r="J1042" s="2">
        <f ca="1">IFERROR((Tabla3[[#This Row],[Close]]-OFFSET(Tabla3[[#This Row],[Close]],-1,0))/OFFSET(Tabla3[[#This Row],[Close]],-1,0),"")</f>
        <v>-1.1700378012775576E-3</v>
      </c>
      <c r="K1042" s="2">
        <f ca="1">IFERROR(AVERAGE(OFFSET(Tabla3[[#This Row],[Close]],-6,0,7)),"")</f>
        <v>1605.6428571428544</v>
      </c>
      <c r="L1042" s="2">
        <f ca="1">IFERROR(_xlfn.STDEV.S(OFFSET(Tabla3[[#This Row],[Close]],-29,0,30)),"")</f>
        <v>63.198985849190358</v>
      </c>
    </row>
    <row r="1043" spans="1:12" x14ac:dyDescent="0.3">
      <c r="A1043" s="1">
        <v>43921</v>
      </c>
      <c r="B1043" s="3">
        <f>YEAR(Tabla3[[#This Row],[Date]])</f>
        <v>2020</v>
      </c>
      <c r="C1043" s="1" t="str">
        <f>+TEXT(Tabla3[[#This Row],[Date]],"mmm")</f>
        <v>mar</v>
      </c>
      <c r="D1043" s="2">
        <v>1583.40002441406</v>
      </c>
      <c r="E1043" s="2">
        <v>1583.40002441406</v>
      </c>
      <c r="F1043" s="2">
        <v>1621</v>
      </c>
      <c r="G1043" s="2">
        <v>1576</v>
      </c>
      <c r="H1043" s="2">
        <v>1618.69995117187</v>
      </c>
      <c r="I1043">
        <v>2874</v>
      </c>
      <c r="J1043" s="2">
        <f ca="1">IFERROR((Tabla3[[#This Row],[Close]]-OFFSET(Tabla3[[#This Row],[Close]],-1,0))/OFFSET(Tabla3[[#This Row],[Close]],-1,0),"")</f>
        <v>-2.3797765466054256E-2</v>
      </c>
      <c r="K1043" s="2">
        <f ca="1">IFERROR(AVERAGE(OFFSET(Tabla3[[#This Row],[Close]],-6,0,7)),"")</f>
        <v>1619.8428606305772</v>
      </c>
      <c r="L1043" s="2">
        <f ca="1">IFERROR(_xlfn.STDEV.S(OFFSET(Tabla3[[#This Row],[Close]],-29,0,30)),"")</f>
        <v>63.311106422547098</v>
      </c>
    </row>
    <row r="1044" spans="1:12" x14ac:dyDescent="0.3">
      <c r="A1044" s="1">
        <v>43922</v>
      </c>
      <c r="B1044" s="3">
        <f>YEAR(Tabla3[[#This Row],[Date]])</f>
        <v>2020</v>
      </c>
      <c r="C1044" s="1" t="str">
        <f>+TEXT(Tabla3[[#This Row],[Date]],"mmm")</f>
        <v>abr</v>
      </c>
      <c r="D1044" s="2">
        <v>1578.19995117187</v>
      </c>
      <c r="E1044" s="2">
        <v>1578.19995117187</v>
      </c>
      <c r="F1044" s="2">
        <v>1600</v>
      </c>
      <c r="G1044" s="2">
        <v>1570</v>
      </c>
      <c r="H1044" s="2">
        <v>1570</v>
      </c>
      <c r="I1044">
        <v>2158</v>
      </c>
      <c r="J1044" s="2">
        <f ca="1">IFERROR((Tabla3[[#This Row],[Close]]-OFFSET(Tabla3[[#This Row],[Close]],-1,0))/OFFSET(Tabla3[[#This Row],[Close]],-1,0),"")</f>
        <v>-3.2841184552300975E-3</v>
      </c>
      <c r="K1044" s="2">
        <f ca="1">IFERROR(AVERAGE(OFFSET(Tabla3[[#This Row],[Close]],-6,0,7)),"")</f>
        <v>1621.44285365513</v>
      </c>
      <c r="L1044" s="2">
        <f ca="1">IFERROR(_xlfn.STDEV.S(OFFSET(Tabla3[[#This Row],[Close]],-29,0,30)),"")</f>
        <v>63.478051430511584</v>
      </c>
    </row>
    <row r="1045" spans="1:12" x14ac:dyDescent="0.3">
      <c r="A1045" s="1">
        <v>43923</v>
      </c>
      <c r="B1045" s="3">
        <f>YEAR(Tabla3[[#This Row],[Date]])</f>
        <v>2020</v>
      </c>
      <c r="C1045" s="1" t="str">
        <f>+TEXT(Tabla3[[#This Row],[Date]],"mmm")</f>
        <v>abr</v>
      </c>
      <c r="D1045" s="2">
        <v>1625.69995117187</v>
      </c>
      <c r="E1045" s="2">
        <v>1625.69995117187</v>
      </c>
      <c r="F1045" s="2">
        <v>1631.19995117187</v>
      </c>
      <c r="G1045" s="2">
        <v>1586</v>
      </c>
      <c r="H1045" s="2">
        <v>1590.90002441406</v>
      </c>
      <c r="I1045">
        <v>1294</v>
      </c>
      <c r="J1045" s="2">
        <f ca="1">IFERROR((Tabla3[[#This Row],[Close]]-OFFSET(Tabla3[[#This Row],[Close]],-1,0))/OFFSET(Tabla3[[#This Row],[Close]],-1,0),"")</f>
        <v>3.0097580452166119E-2</v>
      </c>
      <c r="K1045" s="2">
        <f ca="1">IFERROR(AVERAGE(OFFSET(Tabla3[[#This Row],[Close]],-6,0,7)),"")</f>
        <v>1616.5142822265584</v>
      </c>
      <c r="L1045" s="2">
        <f ca="1">IFERROR(_xlfn.STDEV.S(OFFSET(Tabla3[[#This Row],[Close]],-29,0,30)),"")</f>
        <v>63.5677667498177</v>
      </c>
    </row>
    <row r="1046" spans="1:12" x14ac:dyDescent="0.3">
      <c r="A1046" s="1">
        <v>43924</v>
      </c>
      <c r="B1046" s="3">
        <f>YEAR(Tabla3[[#This Row],[Date]])</f>
        <v>2020</v>
      </c>
      <c r="C1046" s="1" t="str">
        <f>+TEXT(Tabla3[[#This Row],[Date]],"mmm")</f>
        <v>abr</v>
      </c>
      <c r="D1046" s="2">
        <v>1633.69995117187</v>
      </c>
      <c r="E1046" s="2">
        <v>1633.69995117187</v>
      </c>
      <c r="F1046" s="2">
        <v>1636</v>
      </c>
      <c r="G1046" s="2">
        <v>1619.80004882812</v>
      </c>
      <c r="H1046" s="2">
        <v>1624.5</v>
      </c>
      <c r="I1046">
        <v>643</v>
      </c>
      <c r="J1046" s="2">
        <f ca="1">IFERROR((Tabla3[[#This Row],[Close]]-OFFSET(Tabla3[[#This Row],[Close]],-1,0))/OFFSET(Tabla3[[#This Row],[Close]],-1,0),"")</f>
        <v>4.9209572739626877E-3</v>
      </c>
      <c r="K1046" s="2">
        <f ca="1">IFERROR(AVERAGE(OFFSET(Tabla3[[#This Row],[Close]],-6,0,7)),"")</f>
        <v>1616.7142682756655</v>
      </c>
      <c r="L1046" s="2">
        <f ca="1">IFERROR(_xlfn.STDEV.S(OFFSET(Tabla3[[#This Row],[Close]],-29,0,30)),"")</f>
        <v>63.353411812272761</v>
      </c>
    </row>
    <row r="1047" spans="1:12" x14ac:dyDescent="0.3">
      <c r="A1047" s="1">
        <v>43927</v>
      </c>
      <c r="B1047" s="3">
        <f>YEAR(Tabla3[[#This Row],[Date]])</f>
        <v>2020</v>
      </c>
      <c r="C1047" s="1" t="str">
        <f>+TEXT(Tabla3[[#This Row],[Date]],"mmm")</f>
        <v>abr</v>
      </c>
      <c r="D1047" s="2">
        <v>1677</v>
      </c>
      <c r="E1047" s="2">
        <v>1677</v>
      </c>
      <c r="F1047" s="2">
        <v>1696.69995117187</v>
      </c>
      <c r="G1047" s="2">
        <v>1625.90002441406</v>
      </c>
      <c r="H1047" s="2">
        <v>1629.09997558593</v>
      </c>
      <c r="I1047">
        <v>1063</v>
      </c>
      <c r="J1047" s="2">
        <f ca="1">IFERROR((Tabla3[[#This Row],[Close]]-OFFSET(Tabla3[[#This Row],[Close]],-1,0))/OFFSET(Tabla3[[#This Row],[Close]],-1,0),"")</f>
        <v>2.6504284827253883E-2</v>
      </c>
      <c r="K1047" s="2">
        <f ca="1">IFERROR(AVERAGE(OFFSET(Tabla3[[#This Row],[Close]],-6,0,7)),"")</f>
        <v>1620.5571289062468</v>
      </c>
      <c r="L1047" s="2">
        <f ca="1">IFERROR(_xlfn.STDEV.S(OFFSET(Tabla3[[#This Row],[Close]],-29,0,30)),"")</f>
        <v>63.533041847550805</v>
      </c>
    </row>
    <row r="1048" spans="1:12" x14ac:dyDescent="0.3">
      <c r="A1048" s="1">
        <v>43928</v>
      </c>
      <c r="B1048" s="3">
        <f>YEAR(Tabla3[[#This Row],[Date]])</f>
        <v>2020</v>
      </c>
      <c r="C1048" s="1" t="str">
        <f>+TEXT(Tabla3[[#This Row],[Date]],"mmm")</f>
        <v>abr</v>
      </c>
      <c r="D1048" s="2">
        <v>1664.80004882812</v>
      </c>
      <c r="E1048" s="2">
        <v>1664.80004882812</v>
      </c>
      <c r="F1048" s="2">
        <v>1724.40002441406</v>
      </c>
      <c r="G1048" s="2">
        <v>1658</v>
      </c>
      <c r="H1048" s="2">
        <v>1695.69995117187</v>
      </c>
      <c r="I1048">
        <v>1144</v>
      </c>
      <c r="J1048" s="2">
        <f ca="1">IFERROR((Tabla3[[#This Row],[Close]]-OFFSET(Tabla3[[#This Row],[Close]],-1,0))/OFFSET(Tabla3[[#This Row],[Close]],-1,0),"")</f>
        <v>-7.2748665306380453E-3</v>
      </c>
      <c r="K1048" s="2">
        <f ca="1">IFERROR(AVERAGE(OFFSET(Tabla3[[#This Row],[Close]],-6,0,7)),"")</f>
        <v>1626.399989536827</v>
      </c>
      <c r="L1048" s="2">
        <f ca="1">IFERROR(_xlfn.STDEV.S(OFFSET(Tabla3[[#This Row],[Close]],-29,0,30)),"")</f>
        <v>64.042236679665919</v>
      </c>
    </row>
    <row r="1049" spans="1:12" x14ac:dyDescent="0.3">
      <c r="A1049" s="1">
        <v>43929</v>
      </c>
      <c r="B1049" s="3">
        <f>YEAR(Tabla3[[#This Row],[Date]])</f>
        <v>2020</v>
      </c>
      <c r="C1049" s="1" t="str">
        <f>+TEXT(Tabla3[[#This Row],[Date]],"mmm")</f>
        <v>abr</v>
      </c>
      <c r="D1049" s="2">
        <v>1665.40002441406</v>
      </c>
      <c r="E1049" s="2">
        <v>1665.40002441406</v>
      </c>
      <c r="F1049" s="2">
        <v>1677</v>
      </c>
      <c r="G1049" s="2">
        <v>1662.5</v>
      </c>
      <c r="H1049" s="2">
        <v>1669.69995117187</v>
      </c>
      <c r="I1049">
        <v>747</v>
      </c>
      <c r="J1049" s="2">
        <f ca="1">IFERROR((Tabla3[[#This Row],[Close]]-OFFSET(Tabla3[[#This Row],[Close]],-1,0))/OFFSET(Tabla3[[#This Row],[Close]],-1,0),"")</f>
        <v>3.6038897665958969E-4</v>
      </c>
      <c r="K1049" s="2">
        <f ca="1">IFERROR(AVERAGE(OFFSET(Tabla3[[#This Row],[Close]],-6,0,7)),"")</f>
        <v>1632.59999302455</v>
      </c>
      <c r="L1049" s="2">
        <f ca="1">IFERROR(_xlfn.STDEV.S(OFFSET(Tabla3[[#This Row],[Close]],-29,0,30)),"")</f>
        <v>64.705523184344315</v>
      </c>
    </row>
    <row r="1050" spans="1:12" x14ac:dyDescent="0.3">
      <c r="A1050" s="1">
        <v>43930</v>
      </c>
      <c r="B1050" s="3">
        <f>YEAR(Tabla3[[#This Row],[Date]])</f>
        <v>2020</v>
      </c>
      <c r="C1050" s="1" t="str">
        <f>+TEXT(Tabla3[[#This Row],[Date]],"mmm")</f>
        <v>abr</v>
      </c>
      <c r="D1050" s="2">
        <v>1736.19995117187</v>
      </c>
      <c r="E1050" s="2">
        <v>1736.19995117187</v>
      </c>
      <c r="F1050" s="2">
        <v>1736.19995117187</v>
      </c>
      <c r="G1050" s="2">
        <v>1662.69995117187</v>
      </c>
      <c r="H1050" s="2">
        <v>1662.69995117187</v>
      </c>
      <c r="I1050">
        <v>825</v>
      </c>
      <c r="J1050" s="2">
        <f ca="1">IFERROR((Tabla3[[#This Row],[Close]]-OFFSET(Tabla3[[#This Row],[Close]],-1,0))/OFFSET(Tabla3[[#This Row],[Close]],-1,0),"")</f>
        <v>4.2512264753160209E-2</v>
      </c>
      <c r="K1050" s="2">
        <f ca="1">IFERROR(AVERAGE(OFFSET(Tabla3[[#This Row],[Close]],-6,0,7)),"")</f>
        <v>1654.4285539899515</v>
      </c>
      <c r="L1050" s="2">
        <f ca="1">IFERROR(_xlfn.STDEV.S(OFFSET(Tabla3[[#This Row],[Close]],-29,0,30)),"")</f>
        <v>68.786990923578529</v>
      </c>
    </row>
    <row r="1051" spans="1:12" x14ac:dyDescent="0.3">
      <c r="A1051" s="1">
        <v>43934</v>
      </c>
      <c r="B1051" s="3">
        <f>YEAR(Tabla3[[#This Row],[Date]])</f>
        <v>2020</v>
      </c>
      <c r="C1051" s="1" t="str">
        <f>+TEXT(Tabla3[[#This Row],[Date]],"mmm")</f>
        <v>abr</v>
      </c>
      <c r="D1051" s="2">
        <v>1744.80004882812</v>
      </c>
      <c r="E1051" s="2">
        <v>1744.80004882812</v>
      </c>
      <c r="F1051" s="2">
        <v>1756.80004882812</v>
      </c>
      <c r="G1051" s="2">
        <v>1710.69995117187</v>
      </c>
      <c r="H1051" s="2">
        <v>1722</v>
      </c>
      <c r="I1051">
        <v>696</v>
      </c>
      <c r="J1051" s="2">
        <f ca="1">IFERROR((Tabla3[[#This Row],[Close]]-OFFSET(Tabla3[[#This Row],[Close]],-1,0))/OFFSET(Tabla3[[#This Row],[Close]],-1,0),"")</f>
        <v>4.9534027750923826E-3</v>
      </c>
      <c r="K1051" s="2">
        <f ca="1">IFERROR(AVERAGE(OFFSET(Tabla3[[#This Row],[Close]],-6,0,7)),"")</f>
        <v>1678.2285679408444</v>
      </c>
      <c r="L1051" s="2">
        <f ca="1">IFERROR(_xlfn.STDEV.S(OFFSET(Tabla3[[#This Row],[Close]],-29,0,30)),"")</f>
        <v>72.651332013531871</v>
      </c>
    </row>
    <row r="1052" spans="1:12" x14ac:dyDescent="0.3">
      <c r="A1052" s="1">
        <v>43935</v>
      </c>
      <c r="B1052" s="3">
        <f>YEAR(Tabla3[[#This Row],[Date]])</f>
        <v>2020</v>
      </c>
      <c r="C1052" s="1" t="str">
        <f>+TEXT(Tabla3[[#This Row],[Date]],"mmm")</f>
        <v>abr</v>
      </c>
      <c r="D1052" s="2">
        <v>1756.69995117187</v>
      </c>
      <c r="E1052" s="2">
        <v>1756.69995117187</v>
      </c>
      <c r="F1052" s="2">
        <v>1775</v>
      </c>
      <c r="G1052" s="2">
        <v>1739.5</v>
      </c>
      <c r="H1052" s="2">
        <v>1756.80004882812</v>
      </c>
      <c r="I1052">
        <v>675</v>
      </c>
      <c r="J1052" s="2">
        <f ca="1">IFERROR((Tabla3[[#This Row],[Close]]-OFFSET(Tabla3[[#This Row],[Close]],-1,0))/OFFSET(Tabla3[[#This Row],[Close]],-1,0),"")</f>
        <v>6.8202097723131473E-3</v>
      </c>
      <c r="K1052" s="2">
        <f ca="1">IFERROR(AVERAGE(OFFSET(Tabla3[[#This Row],[Close]],-6,0,7)),"")</f>
        <v>1696.9428536551297</v>
      </c>
      <c r="L1052" s="2">
        <f ca="1">IFERROR(_xlfn.STDEV.S(OFFSET(Tabla3[[#This Row],[Close]],-29,0,30)),"")</f>
        <v>77.055771419593938</v>
      </c>
    </row>
    <row r="1053" spans="1:12" x14ac:dyDescent="0.3">
      <c r="A1053" s="1">
        <v>43936</v>
      </c>
      <c r="B1053" s="3">
        <f>YEAR(Tabla3[[#This Row],[Date]])</f>
        <v>2020</v>
      </c>
      <c r="C1053" s="1" t="str">
        <f>+TEXT(Tabla3[[#This Row],[Date]],"mmm")</f>
        <v>abr</v>
      </c>
      <c r="D1053" s="2">
        <v>1727.19995117187</v>
      </c>
      <c r="E1053" s="2">
        <v>1727.19995117187</v>
      </c>
      <c r="F1053" s="2">
        <v>1744.90002441406</v>
      </c>
      <c r="G1053" s="2">
        <v>1722.69995117187</v>
      </c>
      <c r="H1053" s="2">
        <v>1739.40002441406</v>
      </c>
      <c r="I1053">
        <v>642</v>
      </c>
      <c r="J1053" s="2">
        <f ca="1">IFERROR((Tabla3[[#This Row],[Close]]-OFFSET(Tabla3[[#This Row],[Close]],-1,0))/OFFSET(Tabla3[[#This Row],[Close]],-1,0),"")</f>
        <v>-1.6792850697309441E-2</v>
      </c>
      <c r="K1053" s="2">
        <f ca="1">IFERROR(AVERAGE(OFFSET(Tabla3[[#This Row],[Close]],-6,0,7)),"")</f>
        <v>1710.2999965122726</v>
      </c>
      <c r="L1053" s="2">
        <f ca="1">IFERROR(_xlfn.STDEV.S(OFFSET(Tabla3[[#This Row],[Close]],-29,0,30)),"")</f>
        <v>79.461159976697957</v>
      </c>
    </row>
    <row r="1054" spans="1:12" x14ac:dyDescent="0.3">
      <c r="A1054" s="1">
        <v>43937</v>
      </c>
      <c r="B1054" s="3">
        <f>YEAR(Tabla3[[#This Row],[Date]])</f>
        <v>2020</v>
      </c>
      <c r="C1054" s="1" t="str">
        <f>+TEXT(Tabla3[[#This Row],[Date]],"mmm")</f>
        <v>abr</v>
      </c>
      <c r="D1054" s="2">
        <v>1720.40002441406</v>
      </c>
      <c r="E1054" s="2">
        <v>1720.40002441406</v>
      </c>
      <c r="F1054" s="2">
        <v>1750.59997558593</v>
      </c>
      <c r="G1054" s="2">
        <v>1715</v>
      </c>
      <c r="H1054" s="2">
        <v>1731</v>
      </c>
      <c r="I1054">
        <v>162</v>
      </c>
      <c r="J1054" s="2">
        <f ca="1">IFERROR((Tabla3[[#This Row],[Close]]-OFFSET(Tabla3[[#This Row],[Close]],-1,0))/OFFSET(Tabla3[[#This Row],[Close]],-1,0),"")</f>
        <v>-3.9369655801555501E-3</v>
      </c>
      <c r="K1054" s="2">
        <f ca="1">IFERROR(AVERAGE(OFFSET(Tabla3[[#This Row],[Close]],-6,0,7)),"")</f>
        <v>1716.4999999999957</v>
      </c>
      <c r="L1054" s="2">
        <f ca="1">IFERROR(_xlfn.STDEV.S(OFFSET(Tabla3[[#This Row],[Close]],-29,0,30)),"")</f>
        <v>81.416136179833885</v>
      </c>
    </row>
    <row r="1055" spans="1:12" x14ac:dyDescent="0.3">
      <c r="A1055" s="1">
        <v>43938</v>
      </c>
      <c r="B1055" s="3">
        <f>YEAR(Tabla3[[#This Row],[Date]])</f>
        <v>2020</v>
      </c>
      <c r="C1055" s="1" t="str">
        <f>+TEXT(Tabla3[[#This Row],[Date]],"mmm")</f>
        <v>abr</v>
      </c>
      <c r="D1055" s="2">
        <v>1689.19995117187</v>
      </c>
      <c r="E1055" s="2">
        <v>1689.19995117187</v>
      </c>
      <c r="F1055" s="2">
        <v>1725</v>
      </c>
      <c r="G1055" s="2">
        <v>1684.90002441406</v>
      </c>
      <c r="H1055" s="2">
        <v>1715.69995117187</v>
      </c>
      <c r="I1055">
        <v>223</v>
      </c>
      <c r="J1055" s="2">
        <f ca="1">IFERROR((Tabla3[[#This Row],[Close]]-OFFSET(Tabla3[[#This Row],[Close]],-1,0))/OFFSET(Tabla3[[#This Row],[Close]],-1,0),"")</f>
        <v>-1.8135359683464452E-2</v>
      </c>
      <c r="K1055" s="2">
        <f ca="1">IFERROR(AVERAGE(OFFSET(Tabla3[[#This Row],[Close]],-6,0,7)),"")</f>
        <v>1719.985700334817</v>
      </c>
      <c r="L1055" s="2">
        <f ca="1">IFERROR(_xlfn.STDEV.S(OFFSET(Tabla3[[#This Row],[Close]],-29,0,30)),"")</f>
        <v>81.924962597696293</v>
      </c>
    </row>
    <row r="1056" spans="1:12" x14ac:dyDescent="0.3">
      <c r="A1056" s="1">
        <v>43941</v>
      </c>
      <c r="B1056" s="3">
        <f>YEAR(Tabla3[[#This Row],[Date]])</f>
        <v>2020</v>
      </c>
      <c r="C1056" s="1" t="str">
        <f>+TEXT(Tabla3[[#This Row],[Date]],"mmm")</f>
        <v>abr</v>
      </c>
      <c r="D1056" s="2">
        <v>1701.59997558593</v>
      </c>
      <c r="E1056" s="2">
        <v>1701.59997558593</v>
      </c>
      <c r="F1056" s="2">
        <v>1701.59997558593</v>
      </c>
      <c r="G1056" s="2">
        <v>1680</v>
      </c>
      <c r="H1056" s="2">
        <v>1686</v>
      </c>
      <c r="I1056">
        <v>106</v>
      </c>
      <c r="J1056" s="2">
        <f ca="1">IFERROR((Tabla3[[#This Row],[Close]]-OFFSET(Tabla3[[#This Row],[Close]],-1,0))/OFFSET(Tabla3[[#This Row],[Close]],-1,0),"")</f>
        <v>7.340767684404427E-3</v>
      </c>
      <c r="K1056" s="2">
        <f ca="1">IFERROR(AVERAGE(OFFSET(Tabla3[[#This Row],[Close]],-6,0,7)),"")</f>
        <v>1725.1571219307987</v>
      </c>
      <c r="L1056" s="2">
        <f ca="1">IFERROR(_xlfn.STDEV.S(OFFSET(Tabla3[[#This Row],[Close]],-29,0,30)),"")</f>
        <v>82.703804445044042</v>
      </c>
    </row>
    <row r="1057" spans="1:12" x14ac:dyDescent="0.3">
      <c r="A1057" s="1">
        <v>43942</v>
      </c>
      <c r="B1057" s="3">
        <f>YEAR(Tabla3[[#This Row],[Date]])</f>
        <v>2020</v>
      </c>
      <c r="C1057" s="1" t="str">
        <f>+TEXT(Tabla3[[#This Row],[Date]],"mmm")</f>
        <v>abr</v>
      </c>
      <c r="D1057" s="2">
        <v>1678.19995117187</v>
      </c>
      <c r="E1057" s="2">
        <v>1678.19995117187</v>
      </c>
      <c r="F1057" s="2">
        <v>1707.09997558593</v>
      </c>
      <c r="G1057" s="2">
        <v>1659.90002441406</v>
      </c>
      <c r="H1057" s="2">
        <v>1697</v>
      </c>
      <c r="I1057">
        <v>666</v>
      </c>
      <c r="J1057" s="2">
        <f ca="1">IFERROR((Tabla3[[#This Row],[Close]]-OFFSET(Tabla3[[#This Row],[Close]],-1,0))/OFFSET(Tabla3[[#This Row],[Close]],-1,0),"")</f>
        <v>-1.3751777591559038E-2</v>
      </c>
      <c r="K1057" s="2">
        <f ca="1">IFERROR(AVERAGE(OFFSET(Tabla3[[#This Row],[Close]],-6,0,7)),"")</f>
        <v>1716.8714076450844</v>
      </c>
      <c r="L1057" s="2">
        <f ca="1">IFERROR(_xlfn.STDEV.S(OFFSET(Tabla3[[#This Row],[Close]],-29,0,30)),"")</f>
        <v>82.780806843087646</v>
      </c>
    </row>
    <row r="1058" spans="1:12" x14ac:dyDescent="0.3">
      <c r="A1058" s="1">
        <v>43943</v>
      </c>
      <c r="B1058" s="3">
        <f>YEAR(Tabla3[[#This Row],[Date]])</f>
        <v>2020</v>
      </c>
      <c r="C1058" s="1" t="str">
        <f>+TEXT(Tabla3[[#This Row],[Date]],"mmm")</f>
        <v>abr</v>
      </c>
      <c r="D1058" s="2">
        <v>1728.69995117187</v>
      </c>
      <c r="E1058" s="2">
        <v>1728.69995117187</v>
      </c>
      <c r="F1058" s="2">
        <v>1728.69995117187</v>
      </c>
      <c r="G1058" s="2">
        <v>1684.80004882812</v>
      </c>
      <c r="H1058" s="2">
        <v>1696</v>
      </c>
      <c r="I1058">
        <v>453</v>
      </c>
      <c r="J1058" s="2">
        <f ca="1">IFERROR((Tabla3[[#This Row],[Close]]-OFFSET(Tabla3[[#This Row],[Close]],-1,0))/OFFSET(Tabla3[[#This Row],[Close]],-1,0),"")</f>
        <v>3.0091765861830922E-2</v>
      </c>
      <c r="K1058" s="2">
        <f ca="1">IFERROR(AVERAGE(OFFSET(Tabla3[[#This Row],[Close]],-6,0,7)),"")</f>
        <v>1714.5713936941913</v>
      </c>
      <c r="L1058" s="2">
        <f ca="1">IFERROR(_xlfn.STDEV.S(OFFSET(Tabla3[[#This Row],[Close]],-29,0,30)),"")</f>
        <v>84.680232188706185</v>
      </c>
    </row>
    <row r="1059" spans="1:12" x14ac:dyDescent="0.3">
      <c r="A1059" s="1">
        <v>43944</v>
      </c>
      <c r="B1059" s="3">
        <f>YEAR(Tabla3[[#This Row],[Date]])</f>
        <v>2020</v>
      </c>
      <c r="C1059" s="1" t="str">
        <f>+TEXT(Tabla3[[#This Row],[Date]],"mmm")</f>
        <v>abr</v>
      </c>
      <c r="D1059" s="2">
        <v>1733.30004882812</v>
      </c>
      <c r="E1059" s="2">
        <v>1733.30004882812</v>
      </c>
      <c r="F1059" s="2">
        <v>1745.09997558593</v>
      </c>
      <c r="G1059" s="2">
        <v>1733.30004882812</v>
      </c>
      <c r="H1059" s="2">
        <v>1734</v>
      </c>
      <c r="I1059">
        <v>482</v>
      </c>
      <c r="J1059" s="2">
        <f ca="1">IFERROR((Tabla3[[#This Row],[Close]]-OFFSET(Tabla3[[#This Row],[Close]],-1,0))/OFFSET(Tabla3[[#This Row],[Close]],-1,0),"")</f>
        <v>2.6610156685268811E-3</v>
      </c>
      <c r="K1059" s="2">
        <f ca="1">IFERROR(AVERAGE(OFFSET(Tabla3[[#This Row],[Close]],-6,0,7)),"")</f>
        <v>1711.2285505022269</v>
      </c>
      <c r="L1059" s="2">
        <f ca="1">IFERROR(_xlfn.STDEV.S(OFFSET(Tabla3[[#This Row],[Close]],-29,0,30)),"")</f>
        <v>86.788032628784009</v>
      </c>
    </row>
    <row r="1060" spans="1:12" x14ac:dyDescent="0.3">
      <c r="A1060" s="1">
        <v>43945</v>
      </c>
      <c r="B1060" s="3">
        <f>YEAR(Tabla3[[#This Row],[Date]])</f>
        <v>2020</v>
      </c>
      <c r="C1060" s="1" t="str">
        <f>+TEXT(Tabla3[[#This Row],[Date]],"mmm")</f>
        <v>abr</v>
      </c>
      <c r="D1060" s="2">
        <v>1723.5</v>
      </c>
      <c r="E1060" s="2">
        <v>1723.5</v>
      </c>
      <c r="F1060" s="2">
        <v>1744</v>
      </c>
      <c r="G1060" s="2">
        <v>1714.5</v>
      </c>
      <c r="H1060" s="2">
        <v>1744</v>
      </c>
      <c r="I1060">
        <v>221</v>
      </c>
      <c r="J1060" s="2">
        <f ca="1">IFERROR((Tabla3[[#This Row],[Close]]-OFFSET(Tabla3[[#This Row],[Close]],-1,0))/OFFSET(Tabla3[[#This Row],[Close]],-1,0),"")</f>
        <v>-5.6539828950825837E-3</v>
      </c>
      <c r="K1060" s="2">
        <f ca="1">IFERROR(AVERAGE(OFFSET(Tabla3[[#This Row],[Close]],-6,0,7)),"")</f>
        <v>1710.6999860491028</v>
      </c>
      <c r="L1060" s="2">
        <f ca="1">IFERROR(_xlfn.STDEV.S(OFFSET(Tabla3[[#This Row],[Close]],-29,0,30)),"")</f>
        <v>87.969397318877057</v>
      </c>
    </row>
    <row r="1061" spans="1:12" x14ac:dyDescent="0.3">
      <c r="A1061" s="1">
        <v>43948</v>
      </c>
      <c r="B1061" s="3">
        <f>YEAR(Tabla3[[#This Row],[Date]])</f>
        <v>2020</v>
      </c>
      <c r="C1061" s="1" t="str">
        <f>+TEXT(Tabla3[[#This Row],[Date]],"mmm")</f>
        <v>abr</v>
      </c>
      <c r="D1061" s="2">
        <v>1711.90002441406</v>
      </c>
      <c r="E1061" s="2">
        <v>1711.90002441406</v>
      </c>
      <c r="F1061" s="2">
        <v>1731.90002441406</v>
      </c>
      <c r="G1061" s="2">
        <v>1711.90002441406</v>
      </c>
      <c r="H1061" s="2">
        <v>1731.90002441406</v>
      </c>
      <c r="I1061">
        <v>169</v>
      </c>
      <c r="J1061" s="2">
        <f ca="1">IFERROR((Tabla3[[#This Row],[Close]]-OFFSET(Tabla3[[#This Row],[Close]],-1,0))/OFFSET(Tabla3[[#This Row],[Close]],-1,0),"")</f>
        <v>-6.7304761160081232E-3</v>
      </c>
      <c r="K1061" s="2">
        <f ca="1">IFERROR(AVERAGE(OFFSET(Tabla3[[#This Row],[Close]],-6,0,7)),"")</f>
        <v>1709.485700334817</v>
      </c>
      <c r="L1061" s="2">
        <f ca="1">IFERROR(_xlfn.STDEV.S(OFFSET(Tabla3[[#This Row],[Close]],-29,0,30)),"")</f>
        <v>85.962282206115162</v>
      </c>
    </row>
    <row r="1062" spans="1:12" x14ac:dyDescent="0.3">
      <c r="A1062" s="1">
        <v>43949</v>
      </c>
      <c r="B1062" s="3">
        <f>YEAR(Tabla3[[#This Row],[Date]])</f>
        <v>2020</v>
      </c>
      <c r="C1062" s="1" t="str">
        <f>+TEXT(Tabla3[[#This Row],[Date]],"mmm")</f>
        <v>abr</v>
      </c>
      <c r="D1062" s="2">
        <v>1710.5</v>
      </c>
      <c r="E1062" s="2">
        <v>1710.5</v>
      </c>
      <c r="F1062" s="2">
        <v>1716.59997558593</v>
      </c>
      <c r="G1062" s="2">
        <v>1707.09997558593</v>
      </c>
      <c r="H1062" s="2">
        <v>1716.59997558593</v>
      </c>
      <c r="I1062">
        <v>1255</v>
      </c>
      <c r="J1062" s="2">
        <f ca="1">IFERROR((Tabla3[[#This Row],[Close]]-OFFSET(Tabla3[[#This Row],[Close]],-1,0))/OFFSET(Tabla3[[#This Row],[Close]],-1,0),"")</f>
        <v>-8.178190280353502E-4</v>
      </c>
      <c r="K1062" s="2">
        <f ca="1">IFERROR(AVERAGE(OFFSET(Tabla3[[#This Row],[Close]],-6,0,7)),"")</f>
        <v>1712.5285644531214</v>
      </c>
      <c r="L1062" s="2">
        <f ca="1">IFERROR(_xlfn.STDEV.S(OFFSET(Tabla3[[#This Row],[Close]],-29,0,30)),"")</f>
        <v>81.483792716937131</v>
      </c>
    </row>
    <row r="1063" spans="1:12" x14ac:dyDescent="0.3">
      <c r="A1063" s="1">
        <v>43950</v>
      </c>
      <c r="B1063" s="3">
        <f>YEAR(Tabla3[[#This Row],[Date]])</f>
        <v>2020</v>
      </c>
      <c r="C1063" s="1" t="str">
        <f>+TEXT(Tabla3[[#This Row],[Date]],"mmm")</f>
        <v>abr</v>
      </c>
      <c r="D1063" s="2">
        <v>1703.40002441406</v>
      </c>
      <c r="E1063" s="2">
        <v>1703.40002441406</v>
      </c>
      <c r="F1063" s="2">
        <v>1713.5</v>
      </c>
      <c r="G1063" s="2">
        <v>1702</v>
      </c>
      <c r="H1063" s="2">
        <v>1710</v>
      </c>
      <c r="I1063">
        <v>373</v>
      </c>
      <c r="J1063" s="2">
        <f ca="1">IFERROR((Tabla3[[#This Row],[Close]]-OFFSET(Tabla3[[#This Row],[Close]],-1,0))/OFFSET(Tabla3[[#This Row],[Close]],-1,0),"")</f>
        <v>-4.1508188166851801E-3</v>
      </c>
      <c r="K1063" s="2">
        <f ca="1">IFERROR(AVERAGE(OFFSET(Tabla3[[#This Row],[Close]],-6,0,7)),"")</f>
        <v>1712.7857142857117</v>
      </c>
      <c r="L1063" s="2">
        <f ca="1">IFERROR(_xlfn.STDEV.S(OFFSET(Tabla3[[#This Row],[Close]],-29,0,30)),"")</f>
        <v>78.468267590303057</v>
      </c>
    </row>
    <row r="1064" spans="1:12" x14ac:dyDescent="0.3">
      <c r="A1064" s="1">
        <v>43951</v>
      </c>
      <c r="B1064" s="3">
        <f>YEAR(Tabla3[[#This Row],[Date]])</f>
        <v>2020</v>
      </c>
      <c r="C1064" s="1" t="str">
        <f>+TEXT(Tabla3[[#This Row],[Date]],"mmm")</f>
        <v>abr</v>
      </c>
      <c r="D1064" s="2">
        <v>1684.19995117187</v>
      </c>
      <c r="E1064" s="2">
        <v>1684.19995117187</v>
      </c>
      <c r="F1064" s="2">
        <v>1719.30004882812</v>
      </c>
      <c r="G1064" s="2">
        <v>1680.80004882812</v>
      </c>
      <c r="H1064" s="2">
        <v>1719.30004882812</v>
      </c>
      <c r="I1064">
        <v>327</v>
      </c>
      <c r="J1064" s="2">
        <f ca="1">IFERROR((Tabla3[[#This Row],[Close]]-OFFSET(Tabla3[[#This Row],[Close]],-1,0))/OFFSET(Tabla3[[#This Row],[Close]],-1,0),"")</f>
        <v>-1.1271617334157602E-2</v>
      </c>
      <c r="K1064" s="2">
        <f ca="1">IFERROR(AVERAGE(OFFSET(Tabla3[[#This Row],[Close]],-6,0,7)),"")</f>
        <v>1713.6428571428544</v>
      </c>
      <c r="L1064" s="2">
        <f ca="1">IFERROR(_xlfn.STDEV.S(OFFSET(Tabla3[[#This Row],[Close]],-29,0,30)),"")</f>
        <v>70.922140651101117</v>
      </c>
    </row>
    <row r="1065" spans="1:12" x14ac:dyDescent="0.3">
      <c r="A1065" s="1">
        <v>43952</v>
      </c>
      <c r="B1065" s="3">
        <f>YEAR(Tabla3[[#This Row],[Date]])</f>
        <v>2020</v>
      </c>
      <c r="C1065" s="1" t="str">
        <f>+TEXT(Tabla3[[#This Row],[Date]],"mmm")</f>
        <v>may</v>
      </c>
      <c r="D1065" s="2">
        <v>1694.5</v>
      </c>
      <c r="E1065" s="2">
        <v>1694.5</v>
      </c>
      <c r="F1065" s="2">
        <v>1701.5</v>
      </c>
      <c r="G1065" s="2">
        <v>1670.5</v>
      </c>
      <c r="H1065" s="2">
        <v>1686.59997558593</v>
      </c>
      <c r="I1065">
        <v>337</v>
      </c>
      <c r="J1065" s="2">
        <f ca="1">IFERROR((Tabla3[[#This Row],[Close]]-OFFSET(Tabla3[[#This Row],[Close]],-1,0))/OFFSET(Tabla3[[#This Row],[Close]],-1,0),"")</f>
        <v>6.1156923920839719E-3</v>
      </c>
      <c r="K1065" s="2">
        <f ca="1">IFERROR(AVERAGE(OFFSET(Tabla3[[#This Row],[Close]],-6,0,7)),"")</f>
        <v>1708.7571498325872</v>
      </c>
      <c r="L1065" s="2">
        <f ca="1">IFERROR(_xlfn.STDEV.S(OFFSET(Tabla3[[#This Row],[Close]],-29,0,30)),"")</f>
        <v>61.927620664827742</v>
      </c>
    </row>
    <row r="1066" spans="1:12" x14ac:dyDescent="0.3">
      <c r="A1066" s="1">
        <v>43955</v>
      </c>
      <c r="B1066" s="3">
        <f>YEAR(Tabla3[[#This Row],[Date]])</f>
        <v>2020</v>
      </c>
      <c r="C1066" s="1" t="str">
        <f>+TEXT(Tabla3[[#This Row],[Date]],"mmm")</f>
        <v>may</v>
      </c>
      <c r="D1066" s="2">
        <v>1706.90002441406</v>
      </c>
      <c r="E1066" s="2">
        <v>1706.90002441406</v>
      </c>
      <c r="F1066" s="2">
        <v>1709</v>
      </c>
      <c r="G1066" s="2">
        <v>1699.59997558593</v>
      </c>
      <c r="H1066" s="2">
        <v>1702.59997558593</v>
      </c>
      <c r="I1066">
        <v>320</v>
      </c>
      <c r="J1066" s="2">
        <f ca="1">IFERROR((Tabla3[[#This Row],[Close]]-OFFSET(Tabla3[[#This Row],[Close]],-1,0))/OFFSET(Tabla3[[#This Row],[Close]],-1,0),"")</f>
        <v>7.3178072670758328E-3</v>
      </c>
      <c r="K1066" s="2">
        <f ca="1">IFERROR(AVERAGE(OFFSET(Tabla3[[#This Row],[Close]],-6,0,7)),"")</f>
        <v>1704.9857177734357</v>
      </c>
      <c r="L1066" s="2">
        <f ca="1">IFERROR(_xlfn.STDEV.S(OFFSET(Tabla3[[#This Row],[Close]],-29,0,30)),"")</f>
        <v>51.242164710513642</v>
      </c>
    </row>
    <row r="1067" spans="1:12" x14ac:dyDescent="0.3">
      <c r="A1067" s="1">
        <v>43956</v>
      </c>
      <c r="B1067" s="3">
        <f>YEAR(Tabla3[[#This Row],[Date]])</f>
        <v>2020</v>
      </c>
      <c r="C1067" s="1" t="str">
        <f>+TEXT(Tabla3[[#This Row],[Date]],"mmm")</f>
        <v>may</v>
      </c>
      <c r="D1067" s="2">
        <v>1704.40002441406</v>
      </c>
      <c r="E1067" s="2">
        <v>1704.40002441406</v>
      </c>
      <c r="F1067" s="2">
        <v>1704.40002441406</v>
      </c>
      <c r="G1067" s="2">
        <v>1697.19995117187</v>
      </c>
      <c r="H1067" s="2">
        <v>1701.5</v>
      </c>
      <c r="I1067">
        <v>82</v>
      </c>
      <c r="J1067" s="2">
        <f ca="1">IFERROR((Tabla3[[#This Row],[Close]]-OFFSET(Tabla3[[#This Row],[Close]],-1,0))/OFFSET(Tabla3[[#This Row],[Close]],-1,0),"")</f>
        <v>-1.4646434848216686E-3</v>
      </c>
      <c r="K1067" s="2">
        <f ca="1">IFERROR(AVERAGE(OFFSET(Tabla3[[#This Row],[Close]],-6,0,7)),"")</f>
        <v>1702.2571498325872</v>
      </c>
      <c r="L1067" s="2">
        <f ca="1">IFERROR(_xlfn.STDEV.S(OFFSET(Tabla3[[#This Row],[Close]],-29,0,30)),"")</f>
        <v>46.955742540657361</v>
      </c>
    </row>
    <row r="1068" spans="1:12" x14ac:dyDescent="0.3">
      <c r="A1068" s="1">
        <v>43957</v>
      </c>
      <c r="B1068" s="3">
        <f>YEAR(Tabla3[[#This Row],[Date]])</f>
        <v>2020</v>
      </c>
      <c r="C1068" s="1" t="str">
        <f>+TEXT(Tabla3[[#This Row],[Date]],"mmm")</f>
        <v>may</v>
      </c>
      <c r="D1068" s="2">
        <v>1684.19995117187</v>
      </c>
      <c r="E1068" s="2">
        <v>1684.19995117187</v>
      </c>
      <c r="F1068" s="2">
        <v>1704</v>
      </c>
      <c r="G1068" s="2">
        <v>1684.19995117187</v>
      </c>
      <c r="H1068" s="2">
        <v>1704</v>
      </c>
      <c r="I1068">
        <v>469</v>
      </c>
      <c r="J1068" s="2">
        <f ca="1">IFERROR((Tabla3[[#This Row],[Close]]-OFFSET(Tabla3[[#This Row],[Close]],-1,0))/OFFSET(Tabla3[[#This Row],[Close]],-1,0),"")</f>
        <v>-1.185172081250961E-2</v>
      </c>
      <c r="K1068" s="2">
        <f ca="1">IFERROR(AVERAGE(OFFSET(Tabla3[[#This Row],[Close]],-6,0,7)),"")</f>
        <v>1698.2999965122744</v>
      </c>
      <c r="L1068" s="2">
        <f ca="1">IFERROR(_xlfn.STDEV.S(OFFSET(Tabla3[[#This Row],[Close]],-29,0,30)),"")</f>
        <v>46.768368671475478</v>
      </c>
    </row>
    <row r="1069" spans="1:12" x14ac:dyDescent="0.3">
      <c r="A1069" s="1">
        <v>43958</v>
      </c>
      <c r="B1069" s="3">
        <f>YEAR(Tabla3[[#This Row],[Date]])</f>
        <v>2020</v>
      </c>
      <c r="C1069" s="1" t="str">
        <f>+TEXT(Tabla3[[#This Row],[Date]],"mmm")</f>
        <v>may</v>
      </c>
      <c r="D1069" s="2">
        <v>1721.80004882812</v>
      </c>
      <c r="E1069" s="2">
        <v>1721.80004882812</v>
      </c>
      <c r="F1069" s="2">
        <v>1721.80004882812</v>
      </c>
      <c r="G1069" s="2">
        <v>1685.59997558593</v>
      </c>
      <c r="H1069" s="2">
        <v>1686.19995117187</v>
      </c>
      <c r="I1069">
        <v>853</v>
      </c>
      <c r="J1069" s="2">
        <f ca="1">IFERROR((Tabla3[[#This Row],[Close]]-OFFSET(Tabla3[[#This Row],[Close]],-1,0))/OFFSET(Tabla3[[#This Row],[Close]],-1,0),"")</f>
        <v>2.2325198163132453E-2</v>
      </c>
      <c r="K1069" s="2">
        <f ca="1">IFERROR(AVERAGE(OFFSET(Tabla3[[#This Row],[Close]],-6,0,7)),"")</f>
        <v>1699.9142892020056</v>
      </c>
      <c r="L1069" s="2">
        <f ca="1">IFERROR(_xlfn.STDEV.S(OFFSET(Tabla3[[#This Row],[Close]],-29,0,30)),"")</f>
        <v>46.260689541876218</v>
      </c>
    </row>
    <row r="1070" spans="1:12" x14ac:dyDescent="0.3">
      <c r="A1070" s="1">
        <v>43959</v>
      </c>
      <c r="B1070" s="3">
        <f>YEAR(Tabla3[[#This Row],[Date]])</f>
        <v>2020</v>
      </c>
      <c r="C1070" s="1" t="str">
        <f>+TEXT(Tabla3[[#This Row],[Date]],"mmm")</f>
        <v>may</v>
      </c>
      <c r="D1070" s="2">
        <v>1709.90002441406</v>
      </c>
      <c r="E1070" s="2">
        <v>1709.90002441406</v>
      </c>
      <c r="F1070" s="2">
        <v>1728.90002441406</v>
      </c>
      <c r="G1070" s="2">
        <v>1703.80004882812</v>
      </c>
      <c r="H1070" s="2">
        <v>1726.19995117187</v>
      </c>
      <c r="I1070">
        <v>330</v>
      </c>
      <c r="J1070" s="2">
        <f ca="1">IFERROR((Tabla3[[#This Row],[Close]]-OFFSET(Tabla3[[#This Row],[Close]],-1,0))/OFFSET(Tabla3[[#This Row],[Close]],-1,0),"")</f>
        <v>-6.9113858035718574E-3</v>
      </c>
      <c r="K1070" s="2">
        <f ca="1">IFERROR(AVERAGE(OFFSET(Tabla3[[#This Row],[Close]],-6,0,7)),"")</f>
        <v>1700.8428606305772</v>
      </c>
      <c r="L1070" s="2">
        <f ca="1">IFERROR(_xlfn.STDEV.S(OFFSET(Tabla3[[#This Row],[Close]],-29,0,30)),"")</f>
        <v>45.939077531523601</v>
      </c>
    </row>
    <row r="1071" spans="1:12" x14ac:dyDescent="0.3">
      <c r="A1071" s="1">
        <v>43962</v>
      </c>
      <c r="B1071" s="3">
        <f>YEAR(Tabla3[[#This Row],[Date]])</f>
        <v>2020</v>
      </c>
      <c r="C1071" s="1" t="str">
        <f>+TEXT(Tabla3[[#This Row],[Date]],"mmm")</f>
        <v>may</v>
      </c>
      <c r="D1071" s="2">
        <v>1695.30004882812</v>
      </c>
      <c r="E1071" s="2">
        <v>1695.30004882812</v>
      </c>
      <c r="F1071" s="2">
        <v>1704.5</v>
      </c>
      <c r="G1071" s="2">
        <v>1690.19995117187</v>
      </c>
      <c r="H1071" s="2">
        <v>1702.30004882812</v>
      </c>
      <c r="I1071">
        <v>749</v>
      </c>
      <c r="J1071" s="2">
        <f ca="1">IFERROR((Tabla3[[#This Row],[Close]]-OFFSET(Tabla3[[#This Row],[Close]],-1,0))/OFFSET(Tabla3[[#This Row],[Close]],-1,0),"")</f>
        <v>-8.5384966240602562E-3</v>
      </c>
      <c r="K1071" s="2">
        <f ca="1">IFERROR(AVERAGE(OFFSET(Tabla3[[#This Row],[Close]],-6,0,7)),"")</f>
        <v>1702.4285888671841</v>
      </c>
      <c r="L1071" s="2">
        <f ca="1">IFERROR(_xlfn.STDEV.S(OFFSET(Tabla3[[#This Row],[Close]],-29,0,30)),"")</f>
        <v>44.314496306353391</v>
      </c>
    </row>
    <row r="1072" spans="1:12" x14ac:dyDescent="0.3">
      <c r="A1072" s="1">
        <v>43963</v>
      </c>
      <c r="B1072" s="3">
        <f>YEAR(Tabla3[[#This Row],[Date]])</f>
        <v>2020</v>
      </c>
      <c r="C1072" s="1" t="str">
        <f>+TEXT(Tabla3[[#This Row],[Date]],"mmm")</f>
        <v>may</v>
      </c>
      <c r="D1072" s="2">
        <v>1704.40002441406</v>
      </c>
      <c r="E1072" s="2">
        <v>1704.40002441406</v>
      </c>
      <c r="F1072" s="2">
        <v>1713.09997558593</v>
      </c>
      <c r="G1072" s="2">
        <v>1699.30004882812</v>
      </c>
      <c r="H1072" s="2">
        <v>1699.30004882812</v>
      </c>
      <c r="I1072">
        <v>324</v>
      </c>
      <c r="J1072" s="2">
        <f ca="1">IFERROR((Tabla3[[#This Row],[Close]]-OFFSET(Tabla3[[#This Row],[Close]],-1,0))/OFFSET(Tabla3[[#This Row],[Close]],-1,0),"")</f>
        <v>5.3677669579673404E-3</v>
      </c>
      <c r="K1072" s="2">
        <f ca="1">IFERROR(AVERAGE(OFFSET(Tabla3[[#This Row],[Close]],-6,0,7)),"")</f>
        <v>1703.8428780691931</v>
      </c>
      <c r="L1072" s="2">
        <f ca="1">IFERROR(_xlfn.STDEV.S(OFFSET(Tabla3[[#This Row],[Close]],-29,0,30)),"")</f>
        <v>42.431735080212924</v>
      </c>
    </row>
    <row r="1073" spans="1:12" x14ac:dyDescent="0.3">
      <c r="A1073" s="1">
        <v>43964</v>
      </c>
      <c r="B1073" s="3">
        <f>YEAR(Tabla3[[#This Row],[Date]])</f>
        <v>2020</v>
      </c>
      <c r="C1073" s="1" t="str">
        <f>+TEXT(Tabla3[[#This Row],[Date]],"mmm")</f>
        <v>may</v>
      </c>
      <c r="D1073" s="2">
        <v>1713.90002441406</v>
      </c>
      <c r="E1073" s="2">
        <v>1713.90002441406</v>
      </c>
      <c r="F1073" s="2">
        <v>1721.30004882812</v>
      </c>
      <c r="G1073" s="2">
        <v>1701.90002441406</v>
      </c>
      <c r="H1073" s="2">
        <v>1702</v>
      </c>
      <c r="I1073">
        <v>431</v>
      </c>
      <c r="J1073" s="2">
        <f ca="1">IFERROR((Tabla3[[#This Row],[Close]]-OFFSET(Tabla3[[#This Row],[Close]],-1,0))/OFFSET(Tabla3[[#This Row],[Close]],-1,0),"")</f>
        <v>5.5738088851916773E-3</v>
      </c>
      <c r="K1073" s="2">
        <f ca="1">IFERROR(AVERAGE(OFFSET(Tabla3[[#This Row],[Close]],-6,0,7)),"")</f>
        <v>1704.8428780691931</v>
      </c>
      <c r="L1073" s="2">
        <f ca="1">IFERROR(_xlfn.STDEV.S(OFFSET(Tabla3[[#This Row],[Close]],-29,0,30)),"")</f>
        <v>37.133642306415638</v>
      </c>
    </row>
    <row r="1074" spans="1:12" x14ac:dyDescent="0.3">
      <c r="A1074" s="1">
        <v>43965</v>
      </c>
      <c r="B1074" s="3">
        <f>YEAR(Tabla3[[#This Row],[Date]])</f>
        <v>2020</v>
      </c>
      <c r="C1074" s="1" t="str">
        <f>+TEXT(Tabla3[[#This Row],[Date]],"mmm")</f>
        <v>may</v>
      </c>
      <c r="D1074" s="2">
        <v>1738.09997558593</v>
      </c>
      <c r="E1074" s="2">
        <v>1738.09997558593</v>
      </c>
      <c r="F1074" s="2">
        <v>1743.09997558593</v>
      </c>
      <c r="G1074" s="2">
        <v>1720.5</v>
      </c>
      <c r="H1074" s="2">
        <v>1724.30004882812</v>
      </c>
      <c r="I1074">
        <v>672</v>
      </c>
      <c r="J1074" s="2">
        <f ca="1">IFERROR((Tabla3[[#This Row],[Close]]-OFFSET(Tabla3[[#This Row],[Close]],-1,0))/OFFSET(Tabla3[[#This Row],[Close]],-1,0),"")</f>
        <v>1.4119814940864688E-2</v>
      </c>
      <c r="K1074" s="2">
        <f ca="1">IFERROR(AVERAGE(OFFSET(Tabla3[[#This Row],[Close]],-6,0,7)),"")</f>
        <v>1709.6571568080315</v>
      </c>
      <c r="L1074" s="2">
        <f ca="1">IFERROR(_xlfn.STDEV.S(OFFSET(Tabla3[[#This Row],[Close]],-29,0,30)),"")</f>
        <v>30.228823010415368</v>
      </c>
    </row>
    <row r="1075" spans="1:12" x14ac:dyDescent="0.3">
      <c r="A1075" s="1">
        <v>43966</v>
      </c>
      <c r="B1075" s="3">
        <f>YEAR(Tabla3[[#This Row],[Date]])</f>
        <v>2020</v>
      </c>
      <c r="C1075" s="1" t="str">
        <f>+TEXT(Tabla3[[#This Row],[Date]],"mmm")</f>
        <v>may</v>
      </c>
      <c r="D1075" s="2">
        <v>1753.40002441406</v>
      </c>
      <c r="E1075" s="2">
        <v>1753.40002441406</v>
      </c>
      <c r="F1075" s="2">
        <v>1753.40002441406</v>
      </c>
      <c r="G1075" s="2">
        <v>1739.69995117187</v>
      </c>
      <c r="H1075" s="2">
        <v>1739.69995117187</v>
      </c>
      <c r="I1075">
        <v>719</v>
      </c>
      <c r="J1075" s="2">
        <f ca="1">IFERROR((Tabla3[[#This Row],[Close]]-OFFSET(Tabla3[[#This Row],[Close]],-1,0))/OFFSET(Tabla3[[#This Row],[Close]],-1,0),"")</f>
        <v>8.8027438254650522E-3</v>
      </c>
      <c r="K1075" s="2">
        <f ca="1">IFERROR(AVERAGE(OFFSET(Tabla3[[#This Row],[Close]],-6,0,7)),"")</f>
        <v>1719.5428815569157</v>
      </c>
      <c r="L1075" s="2">
        <f ca="1">IFERROR(_xlfn.STDEV.S(OFFSET(Tabla3[[#This Row],[Close]],-29,0,30)),"")</f>
        <v>27.868324451119499</v>
      </c>
    </row>
    <row r="1076" spans="1:12" x14ac:dyDescent="0.3">
      <c r="A1076" s="1">
        <v>43969</v>
      </c>
      <c r="B1076" s="3">
        <f>YEAR(Tabla3[[#This Row],[Date]])</f>
        <v>2020</v>
      </c>
      <c r="C1076" s="1" t="str">
        <f>+TEXT(Tabla3[[#This Row],[Date]],"mmm")</f>
        <v>may</v>
      </c>
      <c r="D1076" s="2">
        <v>1731.80004882812</v>
      </c>
      <c r="E1076" s="2">
        <v>1731.80004882812</v>
      </c>
      <c r="F1076" s="2">
        <v>1770.5</v>
      </c>
      <c r="G1076" s="2">
        <v>1731.80004882812</v>
      </c>
      <c r="H1076" s="2">
        <v>1755.69995117187</v>
      </c>
      <c r="I1076">
        <v>229</v>
      </c>
      <c r="J1076" s="2">
        <f ca="1">IFERROR((Tabla3[[#This Row],[Close]]-OFFSET(Tabla3[[#This Row],[Close]],-1,0))/OFFSET(Tabla3[[#This Row],[Close]],-1,0),"")</f>
        <v>-1.231890913949208E-2</v>
      </c>
      <c r="K1076" s="2">
        <f ca="1">IFERROR(AVERAGE(OFFSET(Tabla3[[#This Row],[Close]],-6,0,7)),"")</f>
        <v>1720.9714529854871</v>
      </c>
      <c r="L1076" s="2">
        <f ca="1">IFERROR(_xlfn.STDEV.S(OFFSET(Tabla3[[#This Row],[Close]],-29,0,30)),"")</f>
        <v>24.491356180923109</v>
      </c>
    </row>
    <row r="1077" spans="1:12" x14ac:dyDescent="0.3">
      <c r="A1077" s="1">
        <v>43970</v>
      </c>
      <c r="B1077" s="3">
        <f>YEAR(Tabla3[[#This Row],[Date]])</f>
        <v>2020</v>
      </c>
      <c r="C1077" s="1" t="str">
        <f>+TEXT(Tabla3[[#This Row],[Date]],"mmm")</f>
        <v>may</v>
      </c>
      <c r="D1077" s="2">
        <v>1744.19995117187</v>
      </c>
      <c r="E1077" s="2">
        <v>1744.19995117187</v>
      </c>
      <c r="F1077" s="2">
        <v>1749.5</v>
      </c>
      <c r="G1077" s="2">
        <v>1744.19995117187</v>
      </c>
      <c r="H1077" s="2">
        <v>1744.19995117187</v>
      </c>
      <c r="I1077">
        <v>167</v>
      </c>
      <c r="J1077" s="2">
        <f ca="1">IFERROR((Tabla3[[#This Row],[Close]]-OFFSET(Tabla3[[#This Row],[Close]],-1,0))/OFFSET(Tabla3[[#This Row],[Close]],-1,0),"")</f>
        <v>7.1601235674642726E-3</v>
      </c>
      <c r="K1077" s="2">
        <f ca="1">IFERROR(AVERAGE(OFFSET(Tabla3[[#This Row],[Close]],-6,0,7)),"")</f>
        <v>1725.871442522317</v>
      </c>
      <c r="L1077" s="2">
        <f ca="1">IFERROR(_xlfn.STDEV.S(OFFSET(Tabla3[[#This Row],[Close]],-29,0,30)),"")</f>
        <v>24.3927559851879</v>
      </c>
    </row>
    <row r="1078" spans="1:12" x14ac:dyDescent="0.3">
      <c r="A1078" s="1">
        <v>43971</v>
      </c>
      <c r="B1078" s="3">
        <f>YEAR(Tabla3[[#This Row],[Date]])</f>
        <v>2020</v>
      </c>
      <c r="C1078" s="1" t="str">
        <f>+TEXT(Tabla3[[#This Row],[Date]],"mmm")</f>
        <v>may</v>
      </c>
      <c r="D1078" s="2">
        <v>1750.59997558593</v>
      </c>
      <c r="E1078" s="2">
        <v>1750.59997558593</v>
      </c>
      <c r="F1078" s="2">
        <v>1752.09997558593</v>
      </c>
      <c r="G1078" s="2">
        <v>1745.59997558593</v>
      </c>
      <c r="H1078" s="2">
        <v>1751.59997558593</v>
      </c>
      <c r="I1078">
        <v>16</v>
      </c>
      <c r="J1078" s="2">
        <f ca="1">IFERROR((Tabla3[[#This Row],[Close]]-OFFSET(Tabla3[[#This Row],[Close]],-1,0))/OFFSET(Tabla3[[#This Row],[Close]],-1,0),"")</f>
        <v>3.6693180789049073E-3</v>
      </c>
      <c r="K1078" s="2">
        <f ca="1">IFERROR(AVERAGE(OFFSET(Tabla3[[#This Row],[Close]],-6,0,7)),"")</f>
        <v>1733.7714320591472</v>
      </c>
      <c r="L1078" s="2">
        <f ca="1">IFERROR(_xlfn.STDEV.S(OFFSET(Tabla3[[#This Row],[Close]],-29,0,30)),"")</f>
        <v>23.592451136063314</v>
      </c>
    </row>
    <row r="1079" spans="1:12" x14ac:dyDescent="0.3">
      <c r="A1079" s="1">
        <v>43972</v>
      </c>
      <c r="B1079" s="3">
        <f>YEAR(Tabla3[[#This Row],[Date]])</f>
        <v>2020</v>
      </c>
      <c r="C1079" s="1" t="str">
        <f>+TEXT(Tabla3[[#This Row],[Date]],"mmm")</f>
        <v>may</v>
      </c>
      <c r="D1079" s="2">
        <v>1720.5</v>
      </c>
      <c r="E1079" s="2">
        <v>1720.5</v>
      </c>
      <c r="F1079" s="2">
        <v>1746.80004882812</v>
      </c>
      <c r="G1079" s="2">
        <v>1720.5</v>
      </c>
      <c r="H1079" s="2">
        <v>1746.80004882812</v>
      </c>
      <c r="I1079">
        <v>528</v>
      </c>
      <c r="J1079" s="2">
        <f ca="1">IFERROR((Tabla3[[#This Row],[Close]]-OFFSET(Tabla3[[#This Row],[Close]],-1,0))/OFFSET(Tabla3[[#This Row],[Close]],-1,0),"")</f>
        <v>-1.7194091172002594E-2</v>
      </c>
      <c r="K1079" s="2">
        <f ca="1">IFERROR(AVERAGE(OFFSET(Tabla3[[#This Row],[Close]],-6,0,7)),"")</f>
        <v>1736.0714285714241</v>
      </c>
      <c r="L1079" s="2">
        <f ca="1">IFERROR(_xlfn.STDEV.S(OFFSET(Tabla3[[#This Row],[Close]],-29,0,30)),"")</f>
        <v>21.609446422400328</v>
      </c>
    </row>
    <row r="1080" spans="1:12" x14ac:dyDescent="0.3">
      <c r="A1080" s="1">
        <v>43973</v>
      </c>
      <c r="B1080" s="3">
        <f>YEAR(Tabla3[[#This Row],[Date]])</f>
        <v>2020</v>
      </c>
      <c r="C1080" s="1" t="str">
        <f>+TEXT(Tabla3[[#This Row],[Date]],"mmm")</f>
        <v>may</v>
      </c>
      <c r="D1080" s="2">
        <v>1734.59997558593</v>
      </c>
      <c r="E1080" s="2">
        <v>1734.59997558593</v>
      </c>
      <c r="F1080" s="2">
        <v>1734.59997558593</v>
      </c>
      <c r="G1080" s="2">
        <v>1726.59997558593</v>
      </c>
      <c r="H1080" s="2">
        <v>1726.59997558593</v>
      </c>
      <c r="I1080">
        <v>6</v>
      </c>
      <c r="J1080" s="2">
        <f ca="1">IFERROR((Tabla3[[#This Row],[Close]]-OFFSET(Tabla3[[#This Row],[Close]],-1,0))/OFFSET(Tabla3[[#This Row],[Close]],-1,0),"")</f>
        <v>8.1952778761580913E-3</v>
      </c>
      <c r="K1080" s="2">
        <f ca="1">IFERROR(AVERAGE(OFFSET(Tabla3[[#This Row],[Close]],-6,0,7)),"")</f>
        <v>1739.02856445312</v>
      </c>
      <c r="L1080" s="2">
        <f ca="1">IFERROR(_xlfn.STDEV.S(OFFSET(Tabla3[[#This Row],[Close]],-29,0,30)),"")</f>
        <v>21.563518087122379</v>
      </c>
    </row>
    <row r="1081" spans="1:12" x14ac:dyDescent="0.3">
      <c r="A1081" s="1">
        <v>43977</v>
      </c>
      <c r="B1081" s="3">
        <f>YEAR(Tabla3[[#This Row],[Date]])</f>
        <v>2020</v>
      </c>
      <c r="C1081" s="1" t="str">
        <f>+TEXT(Tabla3[[#This Row],[Date]],"mmm")</f>
        <v>may</v>
      </c>
      <c r="D1081" s="2">
        <v>1704.80004882812</v>
      </c>
      <c r="E1081" s="2">
        <v>1704.80004882812</v>
      </c>
      <c r="F1081" s="2">
        <v>1726.40002441406</v>
      </c>
      <c r="G1081" s="2">
        <v>1704.80004882812</v>
      </c>
      <c r="H1081" s="2">
        <v>1726.40002441406</v>
      </c>
      <c r="I1081">
        <v>39</v>
      </c>
      <c r="J1081" s="2">
        <f ca="1">IFERROR((Tabla3[[#This Row],[Close]]-OFFSET(Tabla3[[#This Row],[Close]],-1,0))/OFFSET(Tabla3[[#This Row],[Close]],-1,0),"")</f>
        <v>-1.7179711274781892E-2</v>
      </c>
      <c r="K1081" s="2">
        <f ca="1">IFERROR(AVERAGE(OFFSET(Tabla3[[#This Row],[Close]],-6,0,7)),"")</f>
        <v>1734.2714320591472</v>
      </c>
      <c r="L1081" s="2">
        <f ca="1">IFERROR(_xlfn.STDEV.S(OFFSET(Tabla3[[#This Row],[Close]],-29,0,30)),"")</f>
        <v>21.041423364152205</v>
      </c>
    </row>
    <row r="1082" spans="1:12" x14ac:dyDescent="0.3">
      <c r="A1082" s="1">
        <v>43978</v>
      </c>
      <c r="B1082" s="3">
        <f>YEAR(Tabla3[[#This Row],[Date]])</f>
        <v>2020</v>
      </c>
      <c r="C1082" s="1" t="str">
        <f>+TEXT(Tabla3[[#This Row],[Date]],"mmm")</f>
        <v>may</v>
      </c>
      <c r="D1082" s="2">
        <v>1710.30004882812</v>
      </c>
      <c r="E1082" s="2">
        <v>1710.30004882812</v>
      </c>
      <c r="F1082" s="2">
        <v>1710.30004882812</v>
      </c>
      <c r="G1082" s="2">
        <v>1685.59997558593</v>
      </c>
      <c r="H1082" s="2">
        <v>1685.59997558593</v>
      </c>
      <c r="I1082">
        <v>137416</v>
      </c>
      <c r="J1082" s="2">
        <f ca="1">IFERROR((Tabla3[[#This Row],[Close]]-OFFSET(Tabla3[[#This Row],[Close]],-1,0))/OFFSET(Tabla3[[#This Row],[Close]],-1,0),"")</f>
        <v>3.2261847973201908E-3</v>
      </c>
      <c r="K1082" s="2">
        <f ca="1">IFERROR(AVERAGE(OFFSET(Tabla3[[#This Row],[Close]],-6,0,7)),"")</f>
        <v>1728.1142926897269</v>
      </c>
      <c r="L1082" s="2">
        <f ca="1">IFERROR(_xlfn.STDEV.S(OFFSET(Tabla3[[#This Row],[Close]],-29,0,30)),"")</f>
        <v>19.608440930499015</v>
      </c>
    </row>
    <row r="1083" spans="1:12" x14ac:dyDescent="0.3">
      <c r="A1083" s="1">
        <v>43979</v>
      </c>
      <c r="B1083" s="3">
        <f>YEAR(Tabla3[[#This Row],[Date]])</f>
        <v>2020</v>
      </c>
      <c r="C1083" s="1" t="str">
        <f>+TEXT(Tabla3[[#This Row],[Date]],"mmm")</f>
        <v>may</v>
      </c>
      <c r="D1083" s="2">
        <v>1713.30004882812</v>
      </c>
      <c r="E1083" s="2">
        <v>1713.30004882812</v>
      </c>
      <c r="F1083" s="2">
        <v>1727.80004882812</v>
      </c>
      <c r="G1083" s="2">
        <v>1705</v>
      </c>
      <c r="H1083" s="2">
        <v>1709.30004882812</v>
      </c>
      <c r="I1083">
        <v>23355</v>
      </c>
      <c r="J1083" s="2">
        <f ca="1">IFERROR((Tabla3[[#This Row],[Close]]-OFFSET(Tabla3[[#This Row],[Close]],-1,0))/OFFSET(Tabla3[[#This Row],[Close]],-1,0),"")</f>
        <v>1.7540781818111795E-3</v>
      </c>
      <c r="K1083" s="2">
        <f ca="1">IFERROR(AVERAGE(OFFSET(Tabla3[[#This Row],[Close]],-6,0,7)),"")</f>
        <v>1725.4714355468698</v>
      </c>
      <c r="L1083" s="2">
        <f ca="1">IFERROR(_xlfn.STDEV.S(OFFSET(Tabla3[[#This Row],[Close]],-29,0,30)),"")</f>
        <v>19.462251106825907</v>
      </c>
    </row>
    <row r="1084" spans="1:12" x14ac:dyDescent="0.3">
      <c r="A1084" s="1">
        <v>43980</v>
      </c>
      <c r="B1084" s="3">
        <f>YEAR(Tabla3[[#This Row],[Date]])</f>
        <v>2020</v>
      </c>
      <c r="C1084" s="1" t="str">
        <f>+TEXT(Tabla3[[#This Row],[Date]],"mmm")</f>
        <v>may</v>
      </c>
      <c r="D1084" s="2">
        <v>1736.90002441406</v>
      </c>
      <c r="E1084" s="2">
        <v>1736.90002441406</v>
      </c>
      <c r="F1084" s="2">
        <v>1738.30004882812</v>
      </c>
      <c r="G1084" s="2">
        <v>1715.09997558593</v>
      </c>
      <c r="H1084" s="2">
        <v>1718.80004882812</v>
      </c>
      <c r="I1084">
        <v>1526</v>
      </c>
      <c r="J1084" s="2">
        <f ca="1">IFERROR((Tabla3[[#This Row],[Close]]-OFFSET(Tabla3[[#This Row],[Close]],-1,0))/OFFSET(Tabla3[[#This Row],[Close]],-1,0),"")</f>
        <v>1.3774572411926415E-2</v>
      </c>
      <c r="K1084" s="2">
        <f ca="1">IFERROR(AVERAGE(OFFSET(Tabla3[[#This Row],[Close]],-6,0,7)),"")</f>
        <v>1724.4285888671827</v>
      </c>
      <c r="L1084" s="2">
        <f ca="1">IFERROR(_xlfn.STDEV.S(OFFSET(Tabla3[[#This Row],[Close]],-29,0,30)),"")</f>
        <v>19.876335733804993</v>
      </c>
    </row>
    <row r="1085" spans="1:12" x14ac:dyDescent="0.3">
      <c r="A1085" s="1">
        <v>43983</v>
      </c>
      <c r="B1085" s="3">
        <f>YEAR(Tabla3[[#This Row],[Date]])</f>
        <v>2020</v>
      </c>
      <c r="C1085" s="1" t="str">
        <f>+TEXT(Tabla3[[#This Row],[Date]],"mmm")</f>
        <v>jun</v>
      </c>
      <c r="D1085" s="2">
        <v>1737.80004882812</v>
      </c>
      <c r="E1085" s="2">
        <v>1737.80004882812</v>
      </c>
      <c r="F1085" s="2">
        <v>1747</v>
      </c>
      <c r="G1085" s="2">
        <v>1727.09997558593</v>
      </c>
      <c r="H1085" s="2">
        <v>1740.40002441406</v>
      </c>
      <c r="I1085">
        <v>871</v>
      </c>
      <c r="J1085" s="2">
        <f ca="1">IFERROR((Tabla3[[#This Row],[Close]]-OFFSET(Tabla3[[#This Row],[Close]],-1,0))/OFFSET(Tabla3[[#This Row],[Close]],-1,0),"")</f>
        <v>5.181785948581701E-4</v>
      </c>
      <c r="K1085" s="2">
        <f ca="1">IFERROR(AVERAGE(OFFSET(Tabla3[[#This Row],[Close]],-6,0,7)),"")</f>
        <v>1722.6000279017812</v>
      </c>
      <c r="L1085" s="2">
        <f ca="1">IFERROR(_xlfn.STDEV.S(OFFSET(Tabla3[[#This Row],[Close]],-29,0,30)),"")</f>
        <v>19.7137864038915</v>
      </c>
    </row>
    <row r="1086" spans="1:12" x14ac:dyDescent="0.3">
      <c r="A1086" s="1">
        <v>43984</v>
      </c>
      <c r="B1086" s="3">
        <f>YEAR(Tabla3[[#This Row],[Date]])</f>
        <v>2020</v>
      </c>
      <c r="C1086" s="1" t="str">
        <f>+TEXT(Tabla3[[#This Row],[Date]],"mmm")</f>
        <v>jun</v>
      </c>
      <c r="D1086" s="2">
        <v>1725.19995117187</v>
      </c>
      <c r="E1086" s="2">
        <v>1725.19995117187</v>
      </c>
      <c r="F1086" s="2">
        <v>1745.5</v>
      </c>
      <c r="G1086" s="2">
        <v>1721.80004882812</v>
      </c>
      <c r="H1086" s="2">
        <v>1743</v>
      </c>
      <c r="I1086">
        <v>741</v>
      </c>
      <c r="J1086" s="2">
        <f ca="1">IFERROR((Tabla3[[#This Row],[Close]]-OFFSET(Tabla3[[#This Row],[Close]],-1,0))/OFFSET(Tabla3[[#This Row],[Close]],-1,0),"")</f>
        <v>-7.2506026598093583E-3</v>
      </c>
      <c r="K1086" s="2">
        <f ca="1">IFERROR(AVERAGE(OFFSET(Tabla3[[#This Row],[Close]],-6,0,7)),"")</f>
        <v>1723.2714494977627</v>
      </c>
      <c r="L1086" s="2">
        <f ca="1">IFERROR(_xlfn.STDEV.S(OFFSET(Tabla3[[#This Row],[Close]],-29,0,30)),"")</f>
        <v>19.580272046639188</v>
      </c>
    </row>
    <row r="1087" spans="1:12" x14ac:dyDescent="0.3">
      <c r="A1087" s="1">
        <v>43985</v>
      </c>
      <c r="B1087" s="3">
        <f>YEAR(Tabla3[[#This Row],[Date]])</f>
        <v>2020</v>
      </c>
      <c r="C1087" s="1" t="str">
        <f>+TEXT(Tabla3[[#This Row],[Date]],"mmm")</f>
        <v>jun</v>
      </c>
      <c r="D1087" s="2">
        <v>1697.80004882812</v>
      </c>
      <c r="E1087" s="2">
        <v>1697.80004882812</v>
      </c>
      <c r="F1087" s="2">
        <v>1726.30004882812</v>
      </c>
      <c r="G1087" s="2">
        <v>1684.5</v>
      </c>
      <c r="H1087" s="2">
        <v>1726.30004882812</v>
      </c>
      <c r="I1087">
        <v>2755</v>
      </c>
      <c r="J1087" s="2">
        <f ca="1">IFERROR((Tabla3[[#This Row],[Close]]-OFFSET(Tabla3[[#This Row],[Close]],-1,0))/OFFSET(Tabla3[[#This Row],[Close]],-1,0),"")</f>
        <v>-1.5882160398357402E-2</v>
      </c>
      <c r="K1087" s="2">
        <f ca="1">IFERROR(AVERAGE(OFFSET(Tabla3[[#This Row],[Close]],-6,0,7)),"")</f>
        <v>1718.0143171037901</v>
      </c>
      <c r="L1087" s="2">
        <f ca="1">IFERROR(_xlfn.STDEV.S(OFFSET(Tabla3[[#This Row],[Close]],-29,0,30)),"")</f>
        <v>18.539761342613289</v>
      </c>
    </row>
    <row r="1088" spans="1:12" x14ac:dyDescent="0.3">
      <c r="A1088" s="1">
        <v>43986</v>
      </c>
      <c r="B1088" s="3">
        <f>YEAR(Tabla3[[#This Row],[Date]])</f>
        <v>2020</v>
      </c>
      <c r="C1088" s="1" t="str">
        <f>+TEXT(Tabla3[[#This Row],[Date]],"mmm")</f>
        <v>jun</v>
      </c>
      <c r="D1088" s="2">
        <v>1718.90002441406</v>
      </c>
      <c r="E1088" s="2">
        <v>1718.90002441406</v>
      </c>
      <c r="F1088" s="2">
        <v>1718.90002441406</v>
      </c>
      <c r="G1088" s="2">
        <v>1694.5</v>
      </c>
      <c r="H1088" s="2">
        <v>1694.5</v>
      </c>
      <c r="I1088">
        <v>807</v>
      </c>
      <c r="J1088" s="2">
        <f ca="1">IFERROR((Tabla3[[#This Row],[Close]]-OFFSET(Tabla3[[#This Row],[Close]],-1,0))/OFFSET(Tabla3[[#This Row],[Close]],-1,0),"")</f>
        <v>1.2427833065798255E-2</v>
      </c>
      <c r="K1088" s="2">
        <f ca="1">IFERROR(AVERAGE(OFFSET(Tabla3[[#This Row],[Close]],-6,0,7)),"")</f>
        <v>1720.0285993303528</v>
      </c>
      <c r="L1088" s="2">
        <f ca="1">IFERROR(_xlfn.STDEV.S(OFFSET(Tabla3[[#This Row],[Close]],-29,0,30)),"")</f>
        <v>18.424694676382519</v>
      </c>
    </row>
    <row r="1089" spans="1:12" x14ac:dyDescent="0.3">
      <c r="A1089" s="1">
        <v>43987</v>
      </c>
      <c r="B1089" s="3">
        <f>YEAR(Tabla3[[#This Row],[Date]])</f>
        <v>2020</v>
      </c>
      <c r="C1089" s="1" t="str">
        <f>+TEXT(Tabla3[[#This Row],[Date]],"mmm")</f>
        <v>jun</v>
      </c>
      <c r="D1089" s="2">
        <v>1676.19995117187</v>
      </c>
      <c r="E1089" s="2">
        <v>1676.19995117187</v>
      </c>
      <c r="F1089" s="2">
        <v>1711.80004882812</v>
      </c>
      <c r="G1089" s="2">
        <v>1668.59997558593</v>
      </c>
      <c r="H1089" s="2">
        <v>1711.80004882812</v>
      </c>
      <c r="I1089">
        <v>1502</v>
      </c>
      <c r="J1089" s="2">
        <f ca="1">IFERROR((Tabla3[[#This Row],[Close]]-OFFSET(Tabla3[[#This Row],[Close]],-1,0))/OFFSET(Tabla3[[#This Row],[Close]],-1,0),"")</f>
        <v>-2.4841510638028898E-2</v>
      </c>
      <c r="K1089" s="2">
        <f ca="1">IFERROR(AVERAGE(OFFSET(Tabla3[[#This Row],[Close]],-6,0,7)),"")</f>
        <v>1715.1571568080312</v>
      </c>
      <c r="L1089" s="2">
        <f ca="1">IFERROR(_xlfn.STDEV.S(OFFSET(Tabla3[[#This Row],[Close]],-29,0,30)),"")</f>
        <v>19.629406023969356</v>
      </c>
    </row>
    <row r="1090" spans="1:12" x14ac:dyDescent="0.3">
      <c r="A1090" s="1">
        <v>43990</v>
      </c>
      <c r="B1090" s="3">
        <f>YEAR(Tabla3[[#This Row],[Date]])</f>
        <v>2020</v>
      </c>
      <c r="C1090" s="1" t="str">
        <f>+TEXT(Tabla3[[#This Row],[Date]],"mmm")</f>
        <v>jun</v>
      </c>
      <c r="D1090" s="2">
        <v>1698.30004882812</v>
      </c>
      <c r="E1090" s="2">
        <v>1698.30004882812</v>
      </c>
      <c r="F1090" s="2">
        <v>1699.40002441406</v>
      </c>
      <c r="G1090" s="2">
        <v>1675.90002441406</v>
      </c>
      <c r="H1090" s="2">
        <v>1679.09997558593</v>
      </c>
      <c r="I1090">
        <v>587</v>
      </c>
      <c r="J1090" s="2">
        <f ca="1">IFERROR((Tabla3[[#This Row],[Close]]-OFFSET(Tabla3[[#This Row],[Close]],-1,0))/OFFSET(Tabla3[[#This Row],[Close]],-1,0),"")</f>
        <v>1.3184642823070906E-2</v>
      </c>
      <c r="K1090" s="2">
        <f ca="1">IFERROR(AVERAGE(OFFSET(Tabla3[[#This Row],[Close]],-6,0,7)),"")</f>
        <v>1713.0142996651741</v>
      </c>
      <c r="L1090" s="2">
        <f ca="1">IFERROR(_xlfn.STDEV.S(OFFSET(Tabla3[[#This Row],[Close]],-29,0,30)),"")</f>
        <v>19.810952026914897</v>
      </c>
    </row>
    <row r="1091" spans="1:12" x14ac:dyDescent="0.3">
      <c r="A1091" s="1">
        <v>43991</v>
      </c>
      <c r="B1091" s="3">
        <f>YEAR(Tabla3[[#This Row],[Date]])</f>
        <v>2020</v>
      </c>
      <c r="C1091" s="1" t="str">
        <f>+TEXT(Tabla3[[#This Row],[Date]],"mmm")</f>
        <v>jun</v>
      </c>
      <c r="D1091" s="2">
        <v>1714.69995117187</v>
      </c>
      <c r="E1091" s="2">
        <v>1714.69995117187</v>
      </c>
      <c r="F1091" s="2">
        <v>1720.90002441406</v>
      </c>
      <c r="G1091" s="2">
        <v>1692</v>
      </c>
      <c r="H1091" s="2">
        <v>1694.59997558593</v>
      </c>
      <c r="I1091">
        <v>690</v>
      </c>
      <c r="J1091" s="2">
        <f ca="1">IFERROR((Tabla3[[#This Row],[Close]]-OFFSET(Tabla3[[#This Row],[Close]],-1,0))/OFFSET(Tabla3[[#This Row],[Close]],-1,0),"")</f>
        <v>9.6566577590729303E-3</v>
      </c>
      <c r="K1091" s="2">
        <f ca="1">IFERROR(AVERAGE(OFFSET(Tabla3[[#This Row],[Close]],-6,0,7)),"")</f>
        <v>1709.8428606305756</v>
      </c>
      <c r="L1091" s="2">
        <f ca="1">IFERROR(_xlfn.STDEV.S(OFFSET(Tabla3[[#This Row],[Close]],-29,0,30)),"")</f>
        <v>19.804387810769981</v>
      </c>
    </row>
    <row r="1092" spans="1:12" x14ac:dyDescent="0.3">
      <c r="A1092" s="1">
        <v>43992</v>
      </c>
      <c r="B1092" s="3">
        <f>YEAR(Tabla3[[#This Row],[Date]])</f>
        <v>2020</v>
      </c>
      <c r="C1092" s="1" t="str">
        <f>+TEXT(Tabla3[[#This Row],[Date]],"mmm")</f>
        <v>jun</v>
      </c>
      <c r="D1092" s="2">
        <v>1713.30004882812</v>
      </c>
      <c r="E1092" s="2">
        <v>1713.30004882812</v>
      </c>
      <c r="F1092" s="2">
        <v>1740.80004882812</v>
      </c>
      <c r="G1092" s="2">
        <v>1711.90002441406</v>
      </c>
      <c r="H1092" s="2">
        <v>1716.09997558593</v>
      </c>
      <c r="I1092">
        <v>718</v>
      </c>
      <c r="J1092" s="2">
        <f ca="1">IFERROR((Tabla3[[#This Row],[Close]]-OFFSET(Tabla3[[#This Row],[Close]],-1,0))/OFFSET(Tabla3[[#This Row],[Close]],-1,0),"")</f>
        <v>-8.164124241056115E-4</v>
      </c>
      <c r="K1092" s="2">
        <f ca="1">IFERROR(AVERAGE(OFFSET(Tabla3[[#This Row],[Close]],-6,0,7)),"")</f>
        <v>1706.3428606305754</v>
      </c>
      <c r="L1092" s="2">
        <f ca="1">IFERROR(_xlfn.STDEV.S(OFFSET(Tabla3[[#This Row],[Close]],-29,0,30)),"")</f>
        <v>19.790537028445115</v>
      </c>
    </row>
    <row r="1093" spans="1:12" x14ac:dyDescent="0.3">
      <c r="A1093" s="1">
        <v>43993</v>
      </c>
      <c r="B1093" s="3">
        <f>YEAR(Tabla3[[#This Row],[Date]])</f>
        <v>2020</v>
      </c>
      <c r="C1093" s="1" t="str">
        <f>+TEXT(Tabla3[[#This Row],[Date]],"mmm")</f>
        <v>jun</v>
      </c>
      <c r="D1093" s="2">
        <v>1732</v>
      </c>
      <c r="E1093" s="2">
        <v>1732</v>
      </c>
      <c r="F1093" s="2">
        <v>1744.09997558593</v>
      </c>
      <c r="G1093" s="2">
        <v>1720</v>
      </c>
      <c r="H1093" s="2">
        <v>1737.19995117187</v>
      </c>
      <c r="I1093">
        <v>347</v>
      </c>
      <c r="J1093" s="2">
        <f ca="1">IFERROR((Tabla3[[#This Row],[Close]]-OFFSET(Tabla3[[#This Row],[Close]],-1,0))/OFFSET(Tabla3[[#This Row],[Close]],-1,0),"")</f>
        <v>1.0914580423125873E-2</v>
      </c>
      <c r="K1093" s="2">
        <f ca="1">IFERROR(AVERAGE(OFFSET(Tabla3[[#This Row],[Close]],-6,0,7)),"")</f>
        <v>1707.3142961774513</v>
      </c>
      <c r="L1093" s="2">
        <f ca="1">IFERROR(_xlfn.STDEV.S(OFFSET(Tabla3[[#This Row],[Close]],-29,0,30)),"")</f>
        <v>19.911591325703647</v>
      </c>
    </row>
    <row r="1094" spans="1:12" x14ac:dyDescent="0.3">
      <c r="A1094" s="1">
        <v>43994</v>
      </c>
      <c r="B1094" s="3">
        <f>YEAR(Tabla3[[#This Row],[Date]])</f>
        <v>2020</v>
      </c>
      <c r="C1094" s="1" t="str">
        <f>+TEXT(Tabla3[[#This Row],[Date]],"mmm")</f>
        <v>jun</v>
      </c>
      <c r="D1094" s="2">
        <v>1729.30004882812</v>
      </c>
      <c r="E1094" s="2">
        <v>1729.30004882812</v>
      </c>
      <c r="F1094" s="2">
        <v>1743</v>
      </c>
      <c r="G1094" s="2">
        <v>1724.90002441406</v>
      </c>
      <c r="H1094" s="2">
        <v>1724.90002441406</v>
      </c>
      <c r="I1094">
        <v>318</v>
      </c>
      <c r="J1094" s="2">
        <f ca="1">IFERROR((Tabla3[[#This Row],[Close]]-OFFSET(Tabla3[[#This Row],[Close]],-1,0))/OFFSET(Tabla3[[#This Row],[Close]],-1,0),"")</f>
        <v>-1.558863263210163E-3</v>
      </c>
      <c r="K1094" s="2">
        <f ca="1">IFERROR(AVERAGE(OFFSET(Tabla3[[#This Row],[Close]],-6,0,7)),"")</f>
        <v>1711.8142961774513</v>
      </c>
      <c r="L1094" s="2">
        <f ca="1">IFERROR(_xlfn.STDEV.S(OFFSET(Tabla3[[#This Row],[Close]],-29,0,30)),"")</f>
        <v>19.135606157518353</v>
      </c>
    </row>
    <row r="1095" spans="1:12" x14ac:dyDescent="0.3">
      <c r="A1095" s="1">
        <v>43997</v>
      </c>
      <c r="B1095" s="3">
        <f>YEAR(Tabla3[[#This Row],[Date]])</f>
        <v>2020</v>
      </c>
      <c r="C1095" s="1" t="str">
        <f>+TEXT(Tabla3[[#This Row],[Date]],"mmm")</f>
        <v>jun</v>
      </c>
      <c r="D1095" s="2">
        <v>1720.30004882812</v>
      </c>
      <c r="E1095" s="2">
        <v>1720.30004882812</v>
      </c>
      <c r="F1095" s="2">
        <v>1730</v>
      </c>
      <c r="G1095" s="2">
        <v>1703.30004882812</v>
      </c>
      <c r="H1095" s="2">
        <v>1730</v>
      </c>
      <c r="I1095">
        <v>188</v>
      </c>
      <c r="J1095" s="2">
        <f ca="1">IFERROR((Tabla3[[#This Row],[Close]]-OFFSET(Tabla3[[#This Row],[Close]],-1,0))/OFFSET(Tabla3[[#This Row],[Close]],-1,0),"")</f>
        <v>-5.2044178256393115E-3</v>
      </c>
      <c r="K1095" s="2">
        <f ca="1">IFERROR(AVERAGE(OFFSET(Tabla3[[#This Row],[Close]],-6,0,7)),"")</f>
        <v>1712.0142996651741</v>
      </c>
      <c r="L1095" s="2">
        <f ca="1">IFERROR(_xlfn.STDEV.S(OFFSET(Tabla3[[#This Row],[Close]],-29,0,30)),"")</f>
        <v>18.651862038973537</v>
      </c>
    </row>
    <row r="1096" spans="1:12" x14ac:dyDescent="0.3">
      <c r="A1096" s="1">
        <v>43998</v>
      </c>
      <c r="B1096" s="3">
        <f>YEAR(Tabla3[[#This Row],[Date]])</f>
        <v>2020</v>
      </c>
      <c r="C1096" s="1" t="str">
        <f>+TEXT(Tabla3[[#This Row],[Date]],"mmm")</f>
        <v>jun</v>
      </c>
      <c r="D1096" s="2">
        <v>1729.59997558593</v>
      </c>
      <c r="E1096" s="2">
        <v>1729.59997558593</v>
      </c>
      <c r="F1096" s="2">
        <v>1729.59997558593</v>
      </c>
      <c r="G1096" s="2">
        <v>1722.40002441406</v>
      </c>
      <c r="H1096" s="2">
        <v>1726.30004882812</v>
      </c>
      <c r="I1096">
        <v>22</v>
      </c>
      <c r="J1096" s="2">
        <f ca="1">IFERROR((Tabla3[[#This Row],[Close]]-OFFSET(Tabla3[[#This Row],[Close]],-1,0))/OFFSET(Tabla3[[#This Row],[Close]],-1,0),"")</f>
        <v>5.4059911026249005E-3</v>
      </c>
      <c r="K1096" s="2">
        <f ca="1">IFERROR(AVERAGE(OFFSET(Tabla3[[#This Row],[Close]],-6,0,7)),"")</f>
        <v>1719.6428745814685</v>
      </c>
      <c r="L1096" s="2">
        <f ca="1">IFERROR(_xlfn.STDEV.S(OFFSET(Tabla3[[#This Row],[Close]],-29,0,30)),"")</f>
        <v>18.642136605222507</v>
      </c>
    </row>
    <row r="1097" spans="1:12" x14ac:dyDescent="0.3">
      <c r="A1097" s="1">
        <v>43999</v>
      </c>
      <c r="B1097" s="3">
        <f>YEAR(Tabla3[[#This Row],[Date]])</f>
        <v>2020</v>
      </c>
      <c r="C1097" s="1" t="str">
        <f>+TEXT(Tabla3[[#This Row],[Date]],"mmm")</f>
        <v>jun</v>
      </c>
      <c r="D1097" s="2">
        <v>1729.19995117187</v>
      </c>
      <c r="E1097" s="2">
        <v>1729.19995117187</v>
      </c>
      <c r="F1097" s="2">
        <v>1729.19995117187</v>
      </c>
      <c r="G1097" s="2">
        <v>1714.69995117187</v>
      </c>
      <c r="H1097" s="2">
        <v>1714.69995117187</v>
      </c>
      <c r="I1097">
        <v>51</v>
      </c>
      <c r="J1097" s="2">
        <f ca="1">IFERROR((Tabla3[[#This Row],[Close]]-OFFSET(Tabla3[[#This Row],[Close]],-1,0))/OFFSET(Tabla3[[#This Row],[Close]],-1,0),"")</f>
        <v>-2.3128146375261374E-4</v>
      </c>
      <c r="K1097" s="2">
        <f ca="1">IFERROR(AVERAGE(OFFSET(Tabla3[[#This Row],[Close]],-6,0,7)),"")</f>
        <v>1724.0571463448614</v>
      </c>
      <c r="L1097" s="2">
        <f ca="1">IFERROR(_xlfn.STDEV.S(OFFSET(Tabla3[[#This Row],[Close]],-29,0,30)),"")</f>
        <v>18.528328968776414</v>
      </c>
    </row>
    <row r="1098" spans="1:12" x14ac:dyDescent="0.3">
      <c r="A1098" s="1">
        <v>44000</v>
      </c>
      <c r="B1098" s="3">
        <f>YEAR(Tabla3[[#This Row],[Date]])</f>
        <v>2020</v>
      </c>
      <c r="C1098" s="1" t="str">
        <f>+TEXT(Tabla3[[#This Row],[Date]],"mmm")</f>
        <v>jun</v>
      </c>
      <c r="D1098" s="2">
        <v>1724.80004882812</v>
      </c>
      <c r="E1098" s="2">
        <v>1724.80004882812</v>
      </c>
      <c r="F1098" s="2">
        <v>1734.09997558593</v>
      </c>
      <c r="G1098" s="2">
        <v>1717.30004882812</v>
      </c>
      <c r="H1098" s="2">
        <v>1730.5</v>
      </c>
      <c r="I1098">
        <v>110</v>
      </c>
      <c r="J1098" s="2">
        <f ca="1">IFERROR((Tabla3[[#This Row],[Close]]-OFFSET(Tabla3[[#This Row],[Close]],-1,0))/OFFSET(Tabla3[[#This Row],[Close]],-1,0),"")</f>
        <v>-2.544472859120895E-3</v>
      </c>
      <c r="K1098" s="2">
        <f ca="1">IFERROR(AVERAGE(OFFSET(Tabla3[[#This Row],[Close]],-6,0,7)),"")</f>
        <v>1725.5000174386114</v>
      </c>
      <c r="L1098" s="2">
        <f ca="1">IFERROR(_xlfn.STDEV.S(OFFSET(Tabla3[[#This Row],[Close]],-29,0,30)),"")</f>
        <v>17.288189545040886</v>
      </c>
    </row>
    <row r="1099" spans="1:12" x14ac:dyDescent="0.3">
      <c r="A1099" s="1">
        <v>44001</v>
      </c>
      <c r="B1099" s="3">
        <f>YEAR(Tabla3[[#This Row],[Date]])</f>
        <v>2020</v>
      </c>
      <c r="C1099" s="1" t="str">
        <f>+TEXT(Tabla3[[#This Row],[Date]],"mmm")</f>
        <v>jun</v>
      </c>
      <c r="D1099" s="2">
        <v>1745.90002441406</v>
      </c>
      <c r="E1099" s="2">
        <v>1745.90002441406</v>
      </c>
      <c r="F1099" s="2">
        <v>1750.69995117187</v>
      </c>
      <c r="G1099" s="2">
        <v>1723.5</v>
      </c>
      <c r="H1099" s="2">
        <v>1723.69995117187</v>
      </c>
      <c r="I1099">
        <v>1329</v>
      </c>
      <c r="J1099" s="2">
        <f ca="1">IFERROR((Tabla3[[#This Row],[Close]]-OFFSET(Tabla3[[#This Row],[Close]],-1,0))/OFFSET(Tabla3[[#This Row],[Close]],-1,0),"")</f>
        <v>1.2233287910836938E-2</v>
      </c>
      <c r="K1099" s="2">
        <f ca="1">IFERROR(AVERAGE(OFFSET(Tabla3[[#This Row],[Close]],-6,0,7)),"")</f>
        <v>1730.1571568080315</v>
      </c>
      <c r="L1099" s="2">
        <f ca="1">IFERROR(_xlfn.STDEV.S(OFFSET(Tabla3[[#This Row],[Close]],-29,0,30)),"")</f>
        <v>17.874703348488239</v>
      </c>
    </row>
    <row r="1100" spans="1:12" x14ac:dyDescent="0.3">
      <c r="A1100" s="1">
        <v>44004</v>
      </c>
      <c r="B1100" s="3">
        <f>YEAR(Tabla3[[#This Row],[Date]])</f>
        <v>2020</v>
      </c>
      <c r="C1100" s="1" t="str">
        <f>+TEXT(Tabla3[[#This Row],[Date]],"mmm")</f>
        <v>jun</v>
      </c>
      <c r="D1100" s="2">
        <v>1756.69995117187</v>
      </c>
      <c r="E1100" s="2">
        <v>1756.69995117187</v>
      </c>
      <c r="F1100" s="2">
        <v>1767.59997558593</v>
      </c>
      <c r="G1100" s="2">
        <v>1750.5</v>
      </c>
      <c r="H1100" s="2">
        <v>1755.19995117187</v>
      </c>
      <c r="I1100">
        <v>1356</v>
      </c>
      <c r="J1100" s="2">
        <f ca="1">IFERROR((Tabla3[[#This Row],[Close]]-OFFSET(Tabla3[[#This Row],[Close]],-1,0))/OFFSET(Tabla3[[#This Row],[Close]],-1,0),"")</f>
        <v>6.1858792638682467E-3</v>
      </c>
      <c r="K1100" s="2">
        <f ca="1">IFERROR(AVERAGE(OFFSET(Tabla3[[#This Row],[Close]],-6,0,7)),"")</f>
        <v>1733.6857212611558</v>
      </c>
      <c r="L1100" s="2">
        <f ca="1">IFERROR(_xlfn.STDEV.S(OFFSET(Tabla3[[#This Row],[Close]],-29,0,30)),"")</f>
        <v>18.813950882893426</v>
      </c>
    </row>
    <row r="1101" spans="1:12" x14ac:dyDescent="0.3">
      <c r="A1101" s="1">
        <v>44005</v>
      </c>
      <c r="B1101" s="3">
        <f>YEAR(Tabla3[[#This Row],[Date]])</f>
        <v>2020</v>
      </c>
      <c r="C1101" s="1" t="str">
        <f>+TEXT(Tabla3[[#This Row],[Date]],"mmm")</f>
        <v>jun</v>
      </c>
      <c r="D1101" s="2">
        <v>1772.09997558593</v>
      </c>
      <c r="E1101" s="2">
        <v>1772.09997558593</v>
      </c>
      <c r="F1101" s="2">
        <v>1776.30004882812</v>
      </c>
      <c r="G1101" s="2">
        <v>1754.19995117187</v>
      </c>
      <c r="H1101" s="2">
        <v>1755.40002441406</v>
      </c>
      <c r="I1101">
        <v>666</v>
      </c>
      <c r="J1101" s="2">
        <f ca="1">IFERROR((Tabla3[[#This Row],[Close]]-OFFSET(Tabla3[[#This Row],[Close]],-1,0))/OFFSET(Tabla3[[#This Row],[Close]],-1,0),"")</f>
        <v>8.7664512108552497E-3</v>
      </c>
      <c r="K1101" s="2">
        <f ca="1">IFERROR(AVERAGE(OFFSET(Tabla3[[#This Row],[Close]],-6,0,7)),"")</f>
        <v>1739.7999965122713</v>
      </c>
      <c r="L1101" s="2">
        <f ca="1">IFERROR(_xlfn.STDEV.S(OFFSET(Tabla3[[#This Row],[Close]],-29,0,30)),"")</f>
        <v>20.04300263020048</v>
      </c>
    </row>
    <row r="1102" spans="1:12" x14ac:dyDescent="0.3">
      <c r="A1102" s="1">
        <v>44006</v>
      </c>
      <c r="B1102" s="3">
        <f>YEAR(Tabla3[[#This Row],[Date]])</f>
        <v>2020</v>
      </c>
      <c r="C1102" s="1" t="str">
        <f>+TEXT(Tabla3[[#This Row],[Date]],"mmm")</f>
        <v>jun</v>
      </c>
      <c r="D1102" s="2">
        <v>1765.80004882812</v>
      </c>
      <c r="E1102" s="2">
        <v>1765.80004882812</v>
      </c>
      <c r="F1102" s="2">
        <v>1783.09997558593</v>
      </c>
      <c r="G1102" s="2">
        <v>1764.5</v>
      </c>
      <c r="H1102" s="2">
        <v>1778.30004882812</v>
      </c>
      <c r="I1102">
        <v>961</v>
      </c>
      <c r="J1102" s="2">
        <f ca="1">IFERROR((Tabla3[[#This Row],[Close]]-OFFSET(Tabla3[[#This Row],[Close]],-1,0))/OFFSET(Tabla3[[#This Row],[Close]],-1,0),"")</f>
        <v>-3.5550628320092275E-3</v>
      </c>
      <c r="K1102" s="2">
        <f ca="1">IFERROR(AVERAGE(OFFSET(Tabla3[[#This Row],[Close]],-6,0,7)),"")</f>
        <v>1746.2999965122713</v>
      </c>
      <c r="L1102" s="2">
        <f ca="1">IFERROR(_xlfn.STDEV.S(OFFSET(Tabla3[[#This Row],[Close]],-29,0,30)),"")</f>
        <v>20.882477191461248</v>
      </c>
    </row>
    <row r="1103" spans="1:12" x14ac:dyDescent="0.3">
      <c r="A1103" s="1">
        <v>44007</v>
      </c>
      <c r="B1103" s="3">
        <f>YEAR(Tabla3[[#This Row],[Date]])</f>
        <v>2020</v>
      </c>
      <c r="C1103" s="1" t="str">
        <f>+TEXT(Tabla3[[#This Row],[Date]],"mmm")</f>
        <v>jun</v>
      </c>
      <c r="D1103" s="2">
        <v>1762.09997558593</v>
      </c>
      <c r="E1103" s="2">
        <v>1762.09997558593</v>
      </c>
      <c r="F1103" s="2">
        <v>1764.80004882812</v>
      </c>
      <c r="G1103" s="2">
        <v>1759.80004882812</v>
      </c>
      <c r="H1103" s="2">
        <v>1761.69995117187</v>
      </c>
      <c r="I1103">
        <v>207</v>
      </c>
      <c r="J1103" s="2">
        <f ca="1">IFERROR((Tabla3[[#This Row],[Close]]-OFFSET(Tabla3[[#This Row],[Close]],-1,0))/OFFSET(Tabla3[[#This Row],[Close]],-1,0),"")</f>
        <v>-2.0954089590412965E-3</v>
      </c>
      <c r="K1103" s="2">
        <f ca="1">IFERROR(AVERAGE(OFFSET(Tabla3[[#This Row],[Close]],-6,0,7)),"")</f>
        <v>1750.9428536551284</v>
      </c>
      <c r="L1103" s="2">
        <f ca="1">IFERROR(_xlfn.STDEV.S(OFFSET(Tabla3[[#This Row],[Close]],-29,0,30)),"")</f>
        <v>21.601285611869585</v>
      </c>
    </row>
    <row r="1104" spans="1:12" x14ac:dyDescent="0.3">
      <c r="A1104" s="1">
        <v>44008</v>
      </c>
      <c r="B1104" s="3">
        <f>YEAR(Tabla3[[#This Row],[Date]])</f>
        <v>2020</v>
      </c>
      <c r="C1104" s="1" t="str">
        <f>+TEXT(Tabla3[[#This Row],[Date]],"mmm")</f>
        <v>jun</v>
      </c>
      <c r="D1104" s="2">
        <v>1772.5</v>
      </c>
      <c r="E1104" s="2">
        <v>1772.5</v>
      </c>
      <c r="F1104" s="2">
        <v>1772.5</v>
      </c>
      <c r="G1104" s="2">
        <v>1764.69995117187</v>
      </c>
      <c r="H1104" s="2">
        <v>1766</v>
      </c>
      <c r="I1104">
        <v>640</v>
      </c>
      <c r="J1104" s="2">
        <f ca="1">IFERROR((Tabla3[[#This Row],[Close]]-OFFSET(Tabla3[[#This Row],[Close]],-1,0))/OFFSET(Tabla3[[#This Row],[Close]],-1,0),"")</f>
        <v>5.9020626287744019E-3</v>
      </c>
      <c r="K1104" s="2">
        <f ca="1">IFERROR(AVERAGE(OFFSET(Tabla3[[#This Row],[Close]],-6,0,7)),"")</f>
        <v>1757.1285749162901</v>
      </c>
      <c r="L1104" s="2">
        <f ca="1">IFERROR(_xlfn.STDEV.S(OFFSET(Tabla3[[#This Row],[Close]],-29,0,30)),"")</f>
        <v>22.938762902052353</v>
      </c>
    </row>
    <row r="1105" spans="1:12" x14ac:dyDescent="0.3">
      <c r="A1105" s="1">
        <v>44011</v>
      </c>
      <c r="B1105" s="3">
        <f>YEAR(Tabla3[[#This Row],[Date]])</f>
        <v>2020</v>
      </c>
      <c r="C1105" s="1" t="str">
        <f>+TEXT(Tabla3[[#This Row],[Date]],"mmm")</f>
        <v>jun</v>
      </c>
      <c r="D1105" s="2">
        <v>1774.80004882812</v>
      </c>
      <c r="E1105" s="2">
        <v>1774.80004882812</v>
      </c>
      <c r="F1105" s="2">
        <v>1780.19995117187</v>
      </c>
      <c r="G1105" s="2">
        <v>1774.30004882812</v>
      </c>
      <c r="H1105" s="2">
        <v>1779.80004882812</v>
      </c>
      <c r="I1105">
        <v>584</v>
      </c>
      <c r="J1105" s="2">
        <f ca="1">IFERROR((Tabla3[[#This Row],[Close]]-OFFSET(Tabla3[[#This Row],[Close]],-1,0))/OFFSET(Tabla3[[#This Row],[Close]],-1,0),"")</f>
        <v>1.2976298042990115E-3</v>
      </c>
      <c r="K1105" s="2">
        <f ca="1">IFERROR(AVERAGE(OFFSET(Tabla3[[#This Row],[Close]],-6,0,7)),"")</f>
        <v>1764.2714320591472</v>
      </c>
      <c r="L1105" s="2">
        <f ca="1">IFERROR(_xlfn.STDEV.S(OFFSET(Tabla3[[#This Row],[Close]],-29,0,30)),"")</f>
        <v>23.97625638576547</v>
      </c>
    </row>
    <row r="1106" spans="1:12" x14ac:dyDescent="0.3">
      <c r="A1106" s="1">
        <v>44012</v>
      </c>
      <c r="B1106" s="3">
        <f>YEAR(Tabla3[[#This Row],[Date]])</f>
        <v>2020</v>
      </c>
      <c r="C1106" s="1" t="str">
        <f>+TEXT(Tabla3[[#This Row],[Date]],"mmm")</f>
        <v>jun</v>
      </c>
      <c r="D1106" s="2">
        <v>1793</v>
      </c>
      <c r="E1106" s="2">
        <v>1793</v>
      </c>
      <c r="F1106" s="2">
        <v>1793.19995117187</v>
      </c>
      <c r="G1106" s="2">
        <v>1774.40002441406</v>
      </c>
      <c r="H1106" s="2">
        <v>1777.30004882812</v>
      </c>
      <c r="I1106">
        <v>986</v>
      </c>
      <c r="J1106" s="2">
        <f ca="1">IFERROR((Tabla3[[#This Row],[Close]]-OFFSET(Tabla3[[#This Row],[Close]],-1,0))/OFFSET(Tabla3[[#This Row],[Close]],-1,0),"")</f>
        <v>1.0254648789252186E-2</v>
      </c>
      <c r="K1106" s="2">
        <f ca="1">IFERROR(AVERAGE(OFFSET(Tabla3[[#This Row],[Close]],-6,0,7)),"")</f>
        <v>1770.9999999999957</v>
      </c>
      <c r="L1106" s="2">
        <f ca="1">IFERROR(_xlfn.STDEV.S(OFFSET(Tabla3[[#This Row],[Close]],-29,0,30)),"")</f>
        <v>26.477793044251769</v>
      </c>
    </row>
    <row r="1107" spans="1:12" x14ac:dyDescent="0.3">
      <c r="A1107" s="1">
        <v>44013</v>
      </c>
      <c r="B1107" s="3">
        <f>YEAR(Tabla3[[#This Row],[Date]])</f>
        <v>2020</v>
      </c>
      <c r="C1107" s="1" t="str">
        <f>+TEXT(Tabla3[[#This Row],[Date]],"mmm")</f>
        <v>jul</v>
      </c>
      <c r="D1107" s="2">
        <v>1773.19995117187</v>
      </c>
      <c r="E1107" s="2">
        <v>1773.19995117187</v>
      </c>
      <c r="F1107" s="2">
        <v>1798</v>
      </c>
      <c r="G1107" s="2">
        <v>1765.80004882812</v>
      </c>
      <c r="H1107" s="2">
        <v>1793.59997558593</v>
      </c>
      <c r="I1107">
        <v>331</v>
      </c>
      <c r="J1107" s="2">
        <f ca="1">IFERROR((Tabla3[[#This Row],[Close]]-OFFSET(Tabla3[[#This Row],[Close]],-1,0))/OFFSET(Tabla3[[#This Row],[Close]],-1,0),"")</f>
        <v>-1.1042972017919688E-2</v>
      </c>
      <c r="K1107" s="2">
        <f ca="1">IFERROR(AVERAGE(OFFSET(Tabla3[[#This Row],[Close]],-6,0,7)),"")</f>
        <v>1773.3571428571383</v>
      </c>
      <c r="L1107" s="2">
        <f ca="1">IFERROR(_xlfn.STDEV.S(OFFSET(Tabla3[[#This Row],[Close]],-29,0,30)),"")</f>
        <v>27.394769766543661</v>
      </c>
    </row>
    <row r="1108" spans="1:12" x14ac:dyDescent="0.3">
      <c r="A1108" s="1">
        <v>44014</v>
      </c>
      <c r="B1108" s="3">
        <f>YEAR(Tabla3[[#This Row],[Date]])</f>
        <v>2020</v>
      </c>
      <c r="C1108" s="1" t="str">
        <f>+TEXT(Tabla3[[#This Row],[Date]],"mmm")</f>
        <v>jul</v>
      </c>
      <c r="D1108" s="2">
        <v>1784</v>
      </c>
      <c r="E1108" s="2">
        <v>1784</v>
      </c>
      <c r="F1108" s="2">
        <v>1784</v>
      </c>
      <c r="G1108" s="2">
        <v>1768.69995117187</v>
      </c>
      <c r="H1108" s="2">
        <v>1773.40002441406</v>
      </c>
      <c r="I1108">
        <v>215</v>
      </c>
      <c r="J1108" s="2">
        <f ca="1">IFERROR((Tabla3[[#This Row],[Close]]-OFFSET(Tabla3[[#This Row],[Close]],-1,0))/OFFSET(Tabla3[[#This Row],[Close]],-1,0),"")</f>
        <v>6.0907112144868271E-3</v>
      </c>
      <c r="K1108" s="2">
        <f ca="1">IFERROR(AVERAGE(OFFSET(Tabla3[[#This Row],[Close]],-6,0,7)),"")</f>
        <v>1775.0571463448628</v>
      </c>
      <c r="L1108" s="2">
        <f ca="1">IFERROR(_xlfn.STDEV.S(OFFSET(Tabla3[[#This Row],[Close]],-29,0,30)),"")</f>
        <v>28.719029552846269</v>
      </c>
    </row>
    <row r="1109" spans="1:12" x14ac:dyDescent="0.3">
      <c r="A1109" s="1">
        <v>44018</v>
      </c>
      <c r="B1109" s="3">
        <f>YEAR(Tabla3[[#This Row],[Date]])</f>
        <v>2020</v>
      </c>
      <c r="C1109" s="1" t="str">
        <f>+TEXT(Tabla3[[#This Row],[Date]],"mmm")</f>
        <v>jul</v>
      </c>
      <c r="D1109" s="2">
        <v>1788.5</v>
      </c>
      <c r="E1109" s="2">
        <v>1788.5</v>
      </c>
      <c r="F1109" s="2">
        <v>1790.09997558593</v>
      </c>
      <c r="G1109" s="2">
        <v>1788.19995117187</v>
      </c>
      <c r="H1109" s="2">
        <v>1788.19995117187</v>
      </c>
      <c r="I1109">
        <v>172</v>
      </c>
      <c r="J1109" s="2">
        <f ca="1">IFERROR((Tabla3[[#This Row],[Close]]-OFFSET(Tabla3[[#This Row],[Close]],-1,0))/OFFSET(Tabla3[[#This Row],[Close]],-1,0),"")</f>
        <v>2.522421524663677E-3</v>
      </c>
      <c r="K1109" s="2">
        <f ca="1">IFERROR(AVERAGE(OFFSET(Tabla3[[#This Row],[Close]],-6,0,7)),"")</f>
        <v>1778.2999965122742</v>
      </c>
      <c r="L1109" s="2">
        <f ca="1">IFERROR(_xlfn.STDEV.S(OFFSET(Tabla3[[#This Row],[Close]],-29,0,30)),"")</f>
        <v>30.134992764062641</v>
      </c>
    </row>
    <row r="1110" spans="1:12" x14ac:dyDescent="0.3">
      <c r="A1110" s="1">
        <v>44019</v>
      </c>
      <c r="B1110" s="3">
        <f>YEAR(Tabla3[[#This Row],[Date]])</f>
        <v>2020</v>
      </c>
      <c r="C1110" s="1" t="str">
        <f>+TEXT(Tabla3[[#This Row],[Date]],"mmm")</f>
        <v>jul</v>
      </c>
      <c r="D1110" s="2">
        <v>1804.19995117187</v>
      </c>
      <c r="E1110" s="2">
        <v>1804.19995117187</v>
      </c>
      <c r="F1110" s="2">
        <v>1804.19995117187</v>
      </c>
      <c r="G1110" s="2">
        <v>1783.30004882812</v>
      </c>
      <c r="H1110" s="2">
        <v>1789.30004882812</v>
      </c>
      <c r="I1110">
        <v>751</v>
      </c>
      <c r="J1110" s="2">
        <f ca="1">IFERROR((Tabla3[[#This Row],[Close]]-OFFSET(Tabla3[[#This Row],[Close]],-1,0))/OFFSET(Tabla3[[#This Row],[Close]],-1,0),"")</f>
        <v>8.7782785417221121E-3</v>
      </c>
      <c r="K1110" s="2">
        <f ca="1">IFERROR(AVERAGE(OFFSET(Tabla3[[#This Row],[Close]],-6,0,7)),"")</f>
        <v>1784.3142787388369</v>
      </c>
      <c r="L1110" s="2">
        <f ca="1">IFERROR(_xlfn.STDEV.S(OFFSET(Tabla3[[#This Row],[Close]],-29,0,30)),"")</f>
        <v>32.464219087285102</v>
      </c>
    </row>
    <row r="1111" spans="1:12" x14ac:dyDescent="0.3">
      <c r="A1111" s="1">
        <v>44020</v>
      </c>
      <c r="B1111" s="3">
        <f>YEAR(Tabla3[[#This Row],[Date]])</f>
        <v>2020</v>
      </c>
      <c r="C1111" s="1" t="str">
        <f>+TEXT(Tabla3[[#This Row],[Date]],"mmm")</f>
        <v>jul</v>
      </c>
      <c r="D1111" s="2">
        <v>1815.5</v>
      </c>
      <c r="E1111" s="2">
        <v>1815.5</v>
      </c>
      <c r="F1111" s="2">
        <v>1817.90002441406</v>
      </c>
      <c r="G1111" s="2">
        <v>1801.5</v>
      </c>
      <c r="H1111" s="2">
        <v>1801.5</v>
      </c>
      <c r="I1111">
        <v>209</v>
      </c>
      <c r="J1111" s="2">
        <f ca="1">IFERROR((Tabla3[[#This Row],[Close]]-OFFSET(Tabla3[[#This Row],[Close]],-1,0))/OFFSET(Tabla3[[#This Row],[Close]],-1,0),"")</f>
        <v>6.2631909621715465E-3</v>
      </c>
      <c r="K1111" s="2">
        <f ca="1">IFERROR(AVERAGE(OFFSET(Tabla3[[#This Row],[Close]],-6,0,7)),"")</f>
        <v>1790.4571358816941</v>
      </c>
      <c r="L1111" s="2">
        <f ca="1">IFERROR(_xlfn.STDEV.S(OFFSET(Tabla3[[#This Row],[Close]],-29,0,30)),"")</f>
        <v>34.529337412112774</v>
      </c>
    </row>
    <row r="1112" spans="1:12" x14ac:dyDescent="0.3">
      <c r="A1112" s="1">
        <v>44021</v>
      </c>
      <c r="B1112" s="3">
        <f>YEAR(Tabla3[[#This Row],[Date]])</f>
        <v>2020</v>
      </c>
      <c r="C1112" s="1" t="str">
        <f>+TEXT(Tabla3[[#This Row],[Date]],"mmm")</f>
        <v>jul</v>
      </c>
      <c r="D1112" s="2">
        <v>1799.19995117187</v>
      </c>
      <c r="E1112" s="2">
        <v>1799.19995117187</v>
      </c>
      <c r="F1112" s="2">
        <v>1819.80004882812</v>
      </c>
      <c r="G1112" s="2">
        <v>1799.19995117187</v>
      </c>
      <c r="H1112" s="2">
        <v>1816.09997558593</v>
      </c>
      <c r="I1112">
        <v>396</v>
      </c>
      <c r="J1112" s="2">
        <f ca="1">IFERROR((Tabla3[[#This Row],[Close]]-OFFSET(Tabla3[[#This Row],[Close]],-1,0))/OFFSET(Tabla3[[#This Row],[Close]],-1,0),"")</f>
        <v>-8.9782698034315631E-3</v>
      </c>
      <c r="K1112" s="2">
        <f ca="1">IFERROR(AVERAGE(OFFSET(Tabla3[[#This Row],[Close]],-6,0,7)),"")</f>
        <v>1793.9428362165156</v>
      </c>
      <c r="L1112" s="2">
        <f ca="1">IFERROR(_xlfn.STDEV.S(OFFSET(Tabla3[[#This Row],[Close]],-29,0,30)),"")</f>
        <v>35.353587058088863</v>
      </c>
    </row>
    <row r="1113" spans="1:12" x14ac:dyDescent="0.3">
      <c r="A1113" s="1">
        <v>44022</v>
      </c>
      <c r="B1113" s="3">
        <f>YEAR(Tabla3[[#This Row],[Date]])</f>
        <v>2020</v>
      </c>
      <c r="C1113" s="1" t="str">
        <f>+TEXT(Tabla3[[#This Row],[Date]],"mmm")</f>
        <v>jul</v>
      </c>
      <c r="D1113" s="2">
        <v>1798.19995117187</v>
      </c>
      <c r="E1113" s="2">
        <v>1798.19995117187</v>
      </c>
      <c r="F1113" s="2">
        <v>1805.5</v>
      </c>
      <c r="G1113" s="2">
        <v>1797.69995117187</v>
      </c>
      <c r="H1113" s="2">
        <v>1805.5</v>
      </c>
      <c r="I1113">
        <v>236</v>
      </c>
      <c r="J1113" s="2">
        <f ca="1">IFERROR((Tabla3[[#This Row],[Close]]-OFFSET(Tabla3[[#This Row],[Close]],-1,0))/OFFSET(Tabla3[[#This Row],[Close]],-1,0),"")</f>
        <v>-5.5580259400778197E-4</v>
      </c>
      <c r="K1113" s="2">
        <f ca="1">IFERROR(AVERAGE(OFFSET(Tabla3[[#This Row],[Close]],-6,0,7)),"")</f>
        <v>1794.6856863839255</v>
      </c>
      <c r="L1113" s="2">
        <f ca="1">IFERROR(_xlfn.STDEV.S(OFFSET(Tabla3[[#This Row],[Close]],-29,0,30)),"")</f>
        <v>35.969154734662595</v>
      </c>
    </row>
    <row r="1114" spans="1:12" x14ac:dyDescent="0.3">
      <c r="A1114" s="1">
        <v>44025</v>
      </c>
      <c r="B1114" s="3">
        <f>YEAR(Tabla3[[#This Row],[Date]])</f>
        <v>2020</v>
      </c>
      <c r="C1114" s="1" t="str">
        <f>+TEXT(Tabla3[[#This Row],[Date]],"mmm")</f>
        <v>jul</v>
      </c>
      <c r="D1114" s="2">
        <v>1811</v>
      </c>
      <c r="E1114" s="2">
        <v>1811</v>
      </c>
      <c r="F1114" s="2">
        <v>1811</v>
      </c>
      <c r="G1114" s="2">
        <v>1805</v>
      </c>
      <c r="H1114" s="2">
        <v>1805</v>
      </c>
      <c r="I1114">
        <v>164</v>
      </c>
      <c r="J1114" s="2">
        <f ca="1">IFERROR((Tabla3[[#This Row],[Close]]-OFFSET(Tabla3[[#This Row],[Close]],-1,0))/OFFSET(Tabla3[[#This Row],[Close]],-1,0),"")</f>
        <v>7.1182566876327241E-3</v>
      </c>
      <c r="K1114" s="2">
        <f ca="1">IFERROR(AVERAGE(OFFSET(Tabla3[[#This Row],[Close]],-6,0,7)),"")</f>
        <v>1800.0856933593727</v>
      </c>
      <c r="L1114" s="2">
        <f ca="1">IFERROR(_xlfn.STDEV.S(OFFSET(Tabla3[[#This Row],[Close]],-29,0,30)),"")</f>
        <v>37.570800484085893</v>
      </c>
    </row>
    <row r="1115" spans="1:12" x14ac:dyDescent="0.3">
      <c r="A1115" s="1">
        <v>44026</v>
      </c>
      <c r="B1115" s="3">
        <f>YEAR(Tabla3[[#This Row],[Date]])</f>
        <v>2020</v>
      </c>
      <c r="C1115" s="1" t="str">
        <f>+TEXT(Tabla3[[#This Row],[Date]],"mmm")</f>
        <v>jul</v>
      </c>
      <c r="D1115" s="2">
        <v>1810.59997558593</v>
      </c>
      <c r="E1115" s="2">
        <v>1810.59997558593</v>
      </c>
      <c r="F1115" s="2">
        <v>1811.5</v>
      </c>
      <c r="G1115" s="2">
        <v>1791</v>
      </c>
      <c r="H1115" s="2">
        <v>1791</v>
      </c>
      <c r="I1115">
        <v>339</v>
      </c>
      <c r="J1115" s="2">
        <f ca="1">IFERROR((Tabla3[[#This Row],[Close]]-OFFSET(Tabla3[[#This Row],[Close]],-1,0))/OFFSET(Tabla3[[#This Row],[Close]],-1,0),"")</f>
        <v>-2.2088592715074727E-4</v>
      </c>
      <c r="K1115" s="2">
        <f ca="1">IFERROR(AVERAGE(OFFSET(Tabla3[[#This Row],[Close]],-6,0,7)),"")</f>
        <v>1803.8856898716483</v>
      </c>
      <c r="L1115" s="2">
        <f ca="1">IFERROR(_xlfn.STDEV.S(OFFSET(Tabla3[[#This Row],[Close]],-29,0,30)),"")</f>
        <v>38.939008648274125</v>
      </c>
    </row>
    <row r="1116" spans="1:12" x14ac:dyDescent="0.3">
      <c r="A1116" s="1">
        <v>44027</v>
      </c>
      <c r="B1116" s="3">
        <f>YEAR(Tabla3[[#This Row],[Date]])</f>
        <v>2020</v>
      </c>
      <c r="C1116" s="1" t="str">
        <f>+TEXT(Tabla3[[#This Row],[Date]],"mmm")</f>
        <v>jul</v>
      </c>
      <c r="D1116" s="2">
        <v>1811.40002441406</v>
      </c>
      <c r="E1116" s="2">
        <v>1811.40002441406</v>
      </c>
      <c r="F1116" s="2">
        <v>1813.5</v>
      </c>
      <c r="G1116" s="2">
        <v>1806.09997558593</v>
      </c>
      <c r="H1116" s="2">
        <v>1806.09997558593</v>
      </c>
      <c r="I1116">
        <v>167</v>
      </c>
      <c r="J1116" s="2">
        <f ca="1">IFERROR((Tabla3[[#This Row],[Close]]-OFFSET(Tabla3[[#This Row],[Close]],-1,0))/OFFSET(Tabla3[[#This Row],[Close]],-1,0),"")</f>
        <v>4.4186945704066834E-4</v>
      </c>
      <c r="K1116" s="2">
        <f ca="1">IFERROR(AVERAGE(OFFSET(Tabla3[[#This Row],[Close]],-6,0,7)),"")</f>
        <v>1807.1571219308003</v>
      </c>
      <c r="L1116" s="2">
        <f ca="1">IFERROR(_xlfn.STDEV.S(OFFSET(Tabla3[[#This Row],[Close]],-29,0,30)),"")</f>
        <v>39.866875667354847</v>
      </c>
    </row>
    <row r="1117" spans="1:12" x14ac:dyDescent="0.3">
      <c r="A1117" s="1">
        <v>44028</v>
      </c>
      <c r="B1117" s="3">
        <f>YEAR(Tabla3[[#This Row],[Date]])</f>
        <v>2020</v>
      </c>
      <c r="C1117" s="1" t="str">
        <f>+TEXT(Tabla3[[#This Row],[Date]],"mmm")</f>
        <v>jul</v>
      </c>
      <c r="D1117" s="2">
        <v>1798.69995117187</v>
      </c>
      <c r="E1117" s="2">
        <v>1798.69995117187</v>
      </c>
      <c r="F1117" s="2">
        <v>1810.90002441406</v>
      </c>
      <c r="G1117" s="2">
        <v>1794.30004882812</v>
      </c>
      <c r="H1117" s="2">
        <v>1810.90002441406</v>
      </c>
      <c r="I1117">
        <v>146</v>
      </c>
      <c r="J1117" s="2">
        <f ca="1">IFERROR((Tabla3[[#This Row],[Close]]-OFFSET(Tabla3[[#This Row],[Close]],-1,0))/OFFSET(Tabla3[[#This Row],[Close]],-1,0),"")</f>
        <v>-7.0111919349775537E-3</v>
      </c>
      <c r="K1117" s="2">
        <f ca="1">IFERROR(AVERAGE(OFFSET(Tabla3[[#This Row],[Close]],-6,0,7)),"")</f>
        <v>1806.3714076450856</v>
      </c>
      <c r="L1117" s="2">
        <f ca="1">IFERROR(_xlfn.STDEV.S(OFFSET(Tabla3[[#This Row],[Close]],-29,0,30)),"")</f>
        <v>38.906802187625395</v>
      </c>
    </row>
    <row r="1118" spans="1:12" x14ac:dyDescent="0.3">
      <c r="A1118" s="1">
        <v>44029</v>
      </c>
      <c r="B1118" s="3">
        <f>YEAR(Tabla3[[#This Row],[Date]])</f>
        <v>2020</v>
      </c>
      <c r="C1118" s="1" t="str">
        <f>+TEXT(Tabla3[[#This Row],[Date]],"mmm")</f>
        <v>jul</v>
      </c>
      <c r="D1118" s="2">
        <v>1808.30004882812</v>
      </c>
      <c r="E1118" s="2">
        <v>1808.30004882812</v>
      </c>
      <c r="F1118" s="2">
        <v>1810.09997558593</v>
      </c>
      <c r="G1118" s="2">
        <v>1798.5</v>
      </c>
      <c r="H1118" s="2">
        <v>1798.5</v>
      </c>
      <c r="I1118">
        <v>24</v>
      </c>
      <c r="J1118" s="2">
        <f ca="1">IFERROR((Tabla3[[#This Row],[Close]]-OFFSET(Tabla3[[#This Row],[Close]],-1,0))/OFFSET(Tabla3[[#This Row],[Close]],-1,0),"")</f>
        <v>5.3372424066590127E-3</v>
      </c>
      <c r="K1118" s="2">
        <f ca="1">IFERROR(AVERAGE(OFFSET(Tabla3[[#This Row],[Close]],-6,0,7)),"")</f>
        <v>1805.3428431919599</v>
      </c>
      <c r="L1118" s="2">
        <f ca="1">IFERROR(_xlfn.STDEV.S(OFFSET(Tabla3[[#This Row],[Close]],-29,0,30)),"")</f>
        <v>39.010464424635543</v>
      </c>
    </row>
    <row r="1119" spans="1:12" x14ac:dyDescent="0.3">
      <c r="A1119" s="1">
        <v>44032</v>
      </c>
      <c r="B1119" s="3">
        <f>YEAR(Tabla3[[#This Row],[Date]])</f>
        <v>2020</v>
      </c>
      <c r="C1119" s="1" t="str">
        <f>+TEXT(Tabla3[[#This Row],[Date]],"mmm")</f>
        <v>jul</v>
      </c>
      <c r="D1119" s="2">
        <v>1815.90002441406</v>
      </c>
      <c r="E1119" s="2">
        <v>1815.90002441406</v>
      </c>
      <c r="F1119" s="2">
        <v>1817.30004882812</v>
      </c>
      <c r="G1119" s="2">
        <v>1807</v>
      </c>
      <c r="H1119" s="2">
        <v>1807</v>
      </c>
      <c r="I1119">
        <v>89</v>
      </c>
      <c r="J1119" s="2">
        <f ca="1">IFERROR((Tabla3[[#This Row],[Close]]-OFFSET(Tabla3[[#This Row],[Close]],-1,0))/OFFSET(Tabla3[[#This Row],[Close]],-1,0),"")</f>
        <v>4.2028288341114696E-3</v>
      </c>
      <c r="K1119" s="2">
        <f ca="1">IFERROR(AVERAGE(OFFSET(Tabla3[[#This Row],[Close]],-6,0,7)),"")</f>
        <v>1807.7285679408444</v>
      </c>
      <c r="L1119" s="2">
        <f ca="1">IFERROR(_xlfn.STDEV.S(OFFSET(Tabla3[[#This Row],[Close]],-29,0,30)),"")</f>
        <v>36.449478303998397</v>
      </c>
    </row>
    <row r="1120" spans="1:12" x14ac:dyDescent="0.3">
      <c r="A1120" s="1">
        <v>44033</v>
      </c>
      <c r="B1120" s="3">
        <f>YEAR(Tabla3[[#This Row],[Date]])</f>
        <v>2020</v>
      </c>
      <c r="C1120" s="1" t="str">
        <f>+TEXT(Tabla3[[#This Row],[Date]],"mmm")</f>
        <v>jul</v>
      </c>
      <c r="D1120" s="2">
        <v>1842.40002441406</v>
      </c>
      <c r="E1120" s="2">
        <v>1842.40002441406</v>
      </c>
      <c r="F1120" s="2">
        <v>1842.40002441406</v>
      </c>
      <c r="G1120" s="2">
        <v>1822</v>
      </c>
      <c r="H1120" s="2">
        <v>1822</v>
      </c>
      <c r="I1120">
        <v>117</v>
      </c>
      <c r="J1120" s="2">
        <f ca="1">IFERROR((Tabla3[[#This Row],[Close]]-OFFSET(Tabla3[[#This Row],[Close]],-1,0))/OFFSET(Tabla3[[#This Row],[Close]],-1,0),"")</f>
        <v>1.4593314413633981E-2</v>
      </c>
      <c r="K1120" s="2">
        <f ca="1">IFERROR(AVERAGE(OFFSET(Tabla3[[#This Row],[Close]],-6,0,7)),"")</f>
        <v>1814.0428641183003</v>
      </c>
      <c r="L1120" s="2">
        <f ca="1">IFERROR(_xlfn.STDEV.S(OFFSET(Tabla3[[#This Row],[Close]],-29,0,30)),"")</f>
        <v>36.382850665340527</v>
      </c>
    </row>
    <row r="1121" spans="1:12" x14ac:dyDescent="0.3">
      <c r="A1121" s="1">
        <v>44034</v>
      </c>
      <c r="B1121" s="3">
        <f>YEAR(Tabla3[[#This Row],[Date]])</f>
        <v>2020</v>
      </c>
      <c r="C1121" s="1" t="str">
        <f>+TEXT(Tabla3[[#This Row],[Date]],"mmm")</f>
        <v>jul</v>
      </c>
      <c r="D1121" s="2">
        <v>1864.09997558593</v>
      </c>
      <c r="E1121" s="2">
        <v>1864.09997558593</v>
      </c>
      <c r="F1121" s="2">
        <v>1867</v>
      </c>
      <c r="G1121" s="2">
        <v>1854.69995117187</v>
      </c>
      <c r="H1121" s="2">
        <v>1858.09997558593</v>
      </c>
      <c r="I1121">
        <v>213</v>
      </c>
      <c r="J1121" s="2">
        <f ca="1">IFERROR((Tabla3[[#This Row],[Close]]-OFFSET(Tabla3[[#This Row],[Close]],-1,0))/OFFSET(Tabla3[[#This Row],[Close]],-1,0),"")</f>
        <v>1.1778088842986881E-2</v>
      </c>
      <c r="K1121" s="2">
        <f ca="1">IFERROR(AVERAGE(OFFSET(Tabla3[[#This Row],[Close]],-6,0,7)),"")</f>
        <v>1821.6285749162903</v>
      </c>
      <c r="L1121" s="2">
        <f ca="1">IFERROR(_xlfn.STDEV.S(OFFSET(Tabla3[[#This Row],[Close]],-29,0,30)),"")</f>
        <v>38.269565175709694</v>
      </c>
    </row>
    <row r="1122" spans="1:12" x14ac:dyDescent="0.3">
      <c r="A1122" s="1">
        <v>44035</v>
      </c>
      <c r="B1122" s="3">
        <f>YEAR(Tabla3[[#This Row],[Date]])</f>
        <v>2020</v>
      </c>
      <c r="C1122" s="1" t="str">
        <f>+TEXT(Tabla3[[#This Row],[Date]],"mmm")</f>
        <v>jul</v>
      </c>
      <c r="D1122" s="2">
        <v>1889.09997558593</v>
      </c>
      <c r="E1122" s="2">
        <v>1889.09997558593</v>
      </c>
      <c r="F1122" s="2">
        <v>1890.30004882812</v>
      </c>
      <c r="G1122" s="2">
        <v>1868.5</v>
      </c>
      <c r="H1122" s="2">
        <v>1868.69995117187</v>
      </c>
      <c r="I1122">
        <v>133</v>
      </c>
      <c r="J1122" s="2">
        <f ca="1">IFERROR((Tabla3[[#This Row],[Close]]-OFFSET(Tabla3[[#This Row],[Close]],-1,0))/OFFSET(Tabla3[[#This Row],[Close]],-1,0),"")</f>
        <v>1.3411297852810667E-2</v>
      </c>
      <c r="K1122" s="2">
        <f ca="1">IFERROR(AVERAGE(OFFSET(Tabla3[[#This Row],[Close]],-6,0,7)),"")</f>
        <v>1832.8428606305756</v>
      </c>
      <c r="L1122" s="2">
        <f ca="1">IFERROR(_xlfn.STDEV.S(OFFSET(Tabla3[[#This Row],[Close]],-29,0,30)),"")</f>
        <v>41.323705734664173</v>
      </c>
    </row>
    <row r="1123" spans="1:12" x14ac:dyDescent="0.3">
      <c r="A1123" s="1">
        <v>44036</v>
      </c>
      <c r="B1123" s="3">
        <f>YEAR(Tabla3[[#This Row],[Date]])</f>
        <v>2020</v>
      </c>
      <c r="C1123" s="1" t="str">
        <f>+TEXT(Tabla3[[#This Row],[Date]],"mmm")</f>
        <v>jul</v>
      </c>
      <c r="D1123" s="2">
        <v>1897.30004882812</v>
      </c>
      <c r="E1123" s="2">
        <v>1897.30004882812</v>
      </c>
      <c r="F1123" s="2">
        <v>1897.30004882812</v>
      </c>
      <c r="G1123" s="2">
        <v>1884.30004882812</v>
      </c>
      <c r="H1123" s="2">
        <v>1884.30004882812</v>
      </c>
      <c r="I1123">
        <v>474</v>
      </c>
      <c r="J1123" s="2">
        <f ca="1">IFERROR((Tabla3[[#This Row],[Close]]-OFFSET(Tabla3[[#This Row],[Close]],-1,0))/OFFSET(Tabla3[[#This Row],[Close]],-1,0),"")</f>
        <v>4.3407301615398294E-3</v>
      </c>
      <c r="K1123" s="2">
        <f ca="1">IFERROR(AVERAGE(OFFSET(Tabla3[[#This Row],[Close]],-6,0,7)),"")</f>
        <v>1845.1142926897269</v>
      </c>
      <c r="L1123" s="2">
        <f ca="1">IFERROR(_xlfn.STDEV.S(OFFSET(Tabla3[[#This Row],[Close]],-29,0,30)),"")</f>
        <v>44.997111634674653</v>
      </c>
    </row>
    <row r="1124" spans="1:12" x14ac:dyDescent="0.3">
      <c r="A1124" s="1">
        <v>44039</v>
      </c>
      <c r="B1124" s="3">
        <f>YEAR(Tabla3[[#This Row],[Date]])</f>
        <v>2020</v>
      </c>
      <c r="C1124" s="1" t="str">
        <f>+TEXT(Tabla3[[#This Row],[Date]],"mmm")</f>
        <v>jul</v>
      </c>
      <c r="D1124" s="2">
        <v>1931</v>
      </c>
      <c r="E1124" s="2">
        <v>1931</v>
      </c>
      <c r="F1124" s="2">
        <v>1938</v>
      </c>
      <c r="G1124" s="2">
        <v>1901.5</v>
      </c>
      <c r="H1124" s="2">
        <v>1901.69995117187</v>
      </c>
      <c r="I1124">
        <v>364</v>
      </c>
      <c r="J1124" s="2">
        <f ca="1">IFERROR((Tabla3[[#This Row],[Close]]-OFFSET(Tabla3[[#This Row],[Close]],-1,0))/OFFSET(Tabla3[[#This Row],[Close]],-1,0),"")</f>
        <v>1.776205676729677E-2</v>
      </c>
      <c r="K1124" s="2">
        <f ca="1">IFERROR(AVERAGE(OFFSET(Tabla3[[#This Row],[Close]],-6,0,7)),"")</f>
        <v>1864.0142996651741</v>
      </c>
      <c r="L1124" s="2">
        <f ca="1">IFERROR(_xlfn.STDEV.S(OFFSET(Tabla3[[#This Row],[Close]],-29,0,30)),"")</f>
        <v>50.420055012331403</v>
      </c>
    </row>
    <row r="1125" spans="1:12" x14ac:dyDescent="0.3">
      <c r="A1125" s="1">
        <v>44040</v>
      </c>
      <c r="B1125" s="3">
        <f>YEAR(Tabla3[[#This Row],[Date]])</f>
        <v>2020</v>
      </c>
      <c r="C1125" s="1" t="str">
        <f>+TEXT(Tabla3[[#This Row],[Date]],"mmm")</f>
        <v>jul</v>
      </c>
      <c r="D1125" s="2">
        <v>1944.69995117187</v>
      </c>
      <c r="E1125" s="2">
        <v>1944.69995117187</v>
      </c>
      <c r="F1125" s="2">
        <v>1944.69995117187</v>
      </c>
      <c r="G1125" s="2">
        <v>1928.59997558593</v>
      </c>
      <c r="H1125" s="2">
        <v>1931.5</v>
      </c>
      <c r="I1125">
        <v>825</v>
      </c>
      <c r="J1125" s="2">
        <f ca="1">IFERROR((Tabla3[[#This Row],[Close]]-OFFSET(Tabla3[[#This Row],[Close]],-1,0))/OFFSET(Tabla3[[#This Row],[Close]],-1,0),"")</f>
        <v>7.0947442630088023E-3</v>
      </c>
      <c r="K1125" s="2">
        <f ca="1">IFERROR(AVERAGE(OFFSET(Tabla3[[#This Row],[Close]],-6,0,7)),"")</f>
        <v>1883.4999999999957</v>
      </c>
      <c r="L1125" s="2">
        <f ca="1">IFERROR(_xlfn.STDEV.S(OFFSET(Tabla3[[#This Row],[Close]],-29,0,30)),"")</f>
        <v>55.175374420276846</v>
      </c>
    </row>
    <row r="1126" spans="1:12" x14ac:dyDescent="0.3">
      <c r="A1126" s="1">
        <v>44041</v>
      </c>
      <c r="B1126" s="3">
        <f>YEAR(Tabla3[[#This Row],[Date]])</f>
        <v>2020</v>
      </c>
      <c r="C1126" s="1" t="str">
        <f>+TEXT(Tabla3[[#This Row],[Date]],"mmm")</f>
        <v>jul</v>
      </c>
      <c r="D1126" s="2">
        <v>1953.5</v>
      </c>
      <c r="E1126" s="2">
        <v>1953.5</v>
      </c>
      <c r="F1126" s="2">
        <v>1953.5</v>
      </c>
      <c r="G1126" s="2">
        <v>1952.59997558593</v>
      </c>
      <c r="H1126" s="2">
        <v>1953.19995117187</v>
      </c>
      <c r="I1126">
        <v>209835</v>
      </c>
      <c r="J1126" s="2">
        <f ca="1">IFERROR((Tabla3[[#This Row],[Close]]-OFFSET(Tabla3[[#This Row],[Close]],-1,0))/OFFSET(Tabla3[[#This Row],[Close]],-1,0),"")</f>
        <v>4.5251447776440377E-3</v>
      </c>
      <c r="K1126" s="2">
        <f ca="1">IFERROR(AVERAGE(OFFSET(Tabla3[[#This Row],[Close]],-6,0,7)),"")</f>
        <v>1903.1571393694157</v>
      </c>
      <c r="L1126" s="2">
        <f ca="1">IFERROR(_xlfn.STDEV.S(OFFSET(Tabla3[[#This Row],[Close]],-29,0,30)),"")</f>
        <v>59.747090611128442</v>
      </c>
    </row>
    <row r="1127" spans="1:12" x14ac:dyDescent="0.3">
      <c r="A1127" s="1">
        <v>44042</v>
      </c>
      <c r="B1127" s="3">
        <f>YEAR(Tabla3[[#This Row],[Date]])</f>
        <v>2020</v>
      </c>
      <c r="C1127" s="1" t="str">
        <f>+TEXT(Tabla3[[#This Row],[Date]],"mmm")</f>
        <v>jul</v>
      </c>
      <c r="D1127" s="2">
        <v>1942.30004882812</v>
      </c>
      <c r="E1127" s="2">
        <v>1942.30004882812</v>
      </c>
      <c r="F1127" s="2">
        <v>1965.09997558593</v>
      </c>
      <c r="G1127" s="2">
        <v>1930</v>
      </c>
      <c r="H1127" s="2">
        <v>1963.40002441406</v>
      </c>
      <c r="I1127">
        <v>28853</v>
      </c>
      <c r="J1127" s="2">
        <f ca="1">IFERROR((Tabla3[[#This Row],[Close]]-OFFSET(Tabla3[[#This Row],[Close]],-1,0))/OFFSET(Tabla3[[#This Row],[Close]],-1,0),"")</f>
        <v>-5.7332742113539812E-3</v>
      </c>
      <c r="K1127" s="2">
        <f ca="1">IFERROR(AVERAGE(OFFSET(Tabla3[[#This Row],[Close]],-6,0,7)),"")</f>
        <v>1917.428571428567</v>
      </c>
      <c r="L1127" s="2">
        <f ca="1">IFERROR(_xlfn.STDEV.S(OFFSET(Tabla3[[#This Row],[Close]],-29,0,30)),"")</f>
        <v>62.269457398402515</v>
      </c>
    </row>
    <row r="1128" spans="1:12" x14ac:dyDescent="0.3">
      <c r="A1128" s="1">
        <v>44043</v>
      </c>
      <c r="B1128" s="3">
        <f>YEAR(Tabla3[[#This Row],[Date]])</f>
        <v>2020</v>
      </c>
      <c r="C1128" s="1" t="str">
        <f>+TEXT(Tabla3[[#This Row],[Date]],"mmm")</f>
        <v>jul</v>
      </c>
      <c r="D1128" s="2">
        <v>1962.80004882812</v>
      </c>
      <c r="E1128" s="2">
        <v>1962.80004882812</v>
      </c>
      <c r="F1128" s="2">
        <v>1981.09997558593</v>
      </c>
      <c r="G1128" s="2">
        <v>1948</v>
      </c>
      <c r="H1128" s="2">
        <v>1948.59997558593</v>
      </c>
      <c r="I1128">
        <v>2914</v>
      </c>
      <c r="J1128" s="2">
        <f ca="1">IFERROR((Tabla3[[#This Row],[Close]]-OFFSET(Tabla3[[#This Row],[Close]],-1,0))/OFFSET(Tabla3[[#This Row],[Close]],-1,0),"")</f>
        <v>1.0554496980200667E-2</v>
      </c>
      <c r="K1128" s="2">
        <f ca="1">IFERROR(AVERAGE(OFFSET(Tabla3[[#This Row],[Close]],-6,0,7)),"")</f>
        <v>1931.5285818917368</v>
      </c>
      <c r="L1128" s="2">
        <f ca="1">IFERROR(_xlfn.STDEV.S(OFFSET(Tabla3[[#This Row],[Close]],-29,0,30)),"")</f>
        <v>65.038027466964564</v>
      </c>
    </row>
    <row r="1129" spans="1:12" x14ac:dyDescent="0.3">
      <c r="A1129" s="1">
        <v>44046</v>
      </c>
      <c r="B1129" s="3">
        <f>YEAR(Tabla3[[#This Row],[Date]])</f>
        <v>2020</v>
      </c>
      <c r="C1129" s="1" t="str">
        <f>+TEXT(Tabla3[[#This Row],[Date]],"mmm")</f>
        <v>ago</v>
      </c>
      <c r="D1129" s="2">
        <v>1966</v>
      </c>
      <c r="E1129" s="2">
        <v>1966</v>
      </c>
      <c r="F1129" s="2">
        <v>1984.30004882812</v>
      </c>
      <c r="G1129" s="2">
        <v>1955.5</v>
      </c>
      <c r="H1129" s="2">
        <v>1984.30004882812</v>
      </c>
      <c r="I1129">
        <v>683</v>
      </c>
      <c r="J1129" s="2">
        <f ca="1">IFERROR((Tabla3[[#This Row],[Close]]-OFFSET(Tabla3[[#This Row],[Close]],-1,0))/OFFSET(Tabla3[[#This Row],[Close]],-1,0),"")</f>
        <v>1.6302991095758924E-3</v>
      </c>
      <c r="K1129" s="2">
        <f ca="1">IFERROR(AVERAGE(OFFSET(Tabla3[[#This Row],[Close]],-6,0,7)),"")</f>
        <v>1942.5142996651757</v>
      </c>
      <c r="L1129" s="2">
        <f ca="1">IFERROR(_xlfn.STDEV.S(OFFSET(Tabla3[[#This Row],[Close]],-29,0,30)),"")</f>
        <v>68.003163004212581</v>
      </c>
    </row>
    <row r="1130" spans="1:12" x14ac:dyDescent="0.3">
      <c r="A1130" s="1">
        <v>44047</v>
      </c>
      <c r="B1130" s="3">
        <f>YEAR(Tabla3[[#This Row],[Date]])</f>
        <v>2020</v>
      </c>
      <c r="C1130" s="1" t="str">
        <f>+TEXT(Tabla3[[#This Row],[Date]],"mmm")</f>
        <v>ago</v>
      </c>
      <c r="D1130" s="2">
        <v>2001.19995117187</v>
      </c>
      <c r="E1130" s="2">
        <v>2001.19995117187</v>
      </c>
      <c r="F1130" s="2">
        <v>2016.19995117187</v>
      </c>
      <c r="G1130" s="2">
        <v>1968.80004882812</v>
      </c>
      <c r="H1130" s="2">
        <v>1971</v>
      </c>
      <c r="I1130">
        <v>2010</v>
      </c>
      <c r="J1130" s="2">
        <f ca="1">IFERROR((Tabla3[[#This Row],[Close]]-OFFSET(Tabla3[[#This Row],[Close]],-1,0))/OFFSET(Tabla3[[#This Row],[Close]],-1,0),"")</f>
        <v>1.7904349527909459E-2</v>
      </c>
      <c r="K1130" s="2">
        <f ca="1">IFERROR(AVERAGE(OFFSET(Tabla3[[#This Row],[Close]],-6,0,7)),"")</f>
        <v>1957.3571428571397</v>
      </c>
      <c r="L1130" s="2">
        <f ca="1">IFERROR(_xlfn.STDEV.S(OFFSET(Tabla3[[#This Row],[Close]],-29,0,30)),"")</f>
        <v>72.937681925096697</v>
      </c>
    </row>
    <row r="1131" spans="1:12" x14ac:dyDescent="0.3">
      <c r="A1131" s="1">
        <v>44048</v>
      </c>
      <c r="B1131" s="3">
        <f>YEAR(Tabla3[[#This Row],[Date]])</f>
        <v>2020</v>
      </c>
      <c r="C1131" s="1" t="str">
        <f>+TEXT(Tabla3[[#This Row],[Date]],"mmm")</f>
        <v>ago</v>
      </c>
      <c r="D1131" s="2">
        <v>2031.09997558593</v>
      </c>
      <c r="E1131" s="2">
        <v>2031.09997558593</v>
      </c>
      <c r="F1131" s="2">
        <v>2050.19995117187</v>
      </c>
      <c r="G1131" s="2">
        <v>2011</v>
      </c>
      <c r="H1131" s="2">
        <v>2024</v>
      </c>
      <c r="I1131">
        <v>1422</v>
      </c>
      <c r="J1131" s="2">
        <f ca="1">IFERROR((Tabla3[[#This Row],[Close]]-OFFSET(Tabla3[[#This Row],[Close]],-1,0))/OFFSET(Tabla3[[#This Row],[Close]],-1,0),"")</f>
        <v>1.4941047943035893E-2</v>
      </c>
      <c r="K1131" s="2">
        <f ca="1">IFERROR(AVERAGE(OFFSET(Tabla3[[#This Row],[Close]],-6,0,7)),"")</f>
        <v>1971.6571393694157</v>
      </c>
      <c r="L1131" s="2">
        <f ca="1">IFERROR(_xlfn.STDEV.S(OFFSET(Tabla3[[#This Row],[Close]],-29,0,30)),"")</f>
        <v>79.443750128513514</v>
      </c>
    </row>
    <row r="1132" spans="1:12" x14ac:dyDescent="0.3">
      <c r="A1132" s="1">
        <v>44049</v>
      </c>
      <c r="B1132" s="3">
        <f>YEAR(Tabla3[[#This Row],[Date]])</f>
        <v>2020</v>
      </c>
      <c r="C1132" s="1" t="str">
        <f>+TEXT(Tabla3[[#This Row],[Date]],"mmm")</f>
        <v>ago</v>
      </c>
      <c r="D1132" s="2">
        <v>2051.5</v>
      </c>
      <c r="E1132" s="2">
        <v>2051.5</v>
      </c>
      <c r="F1132" s="2">
        <v>2063</v>
      </c>
      <c r="G1132" s="2">
        <v>2040</v>
      </c>
      <c r="H1132" s="2">
        <v>2045.5</v>
      </c>
      <c r="I1132">
        <v>294</v>
      </c>
      <c r="J1132" s="2">
        <f ca="1">IFERROR((Tabla3[[#This Row],[Close]]-OFFSET(Tabla3[[#This Row],[Close]],-1,0))/OFFSET(Tabla3[[#This Row],[Close]],-1,0),"")</f>
        <v>1.0043830761302146E-2</v>
      </c>
      <c r="K1132" s="2">
        <f ca="1">IFERROR(AVERAGE(OFFSET(Tabla3[[#This Row],[Close]],-6,0,7)),"")</f>
        <v>1986.9142892020059</v>
      </c>
      <c r="L1132" s="2">
        <f ca="1">IFERROR(_xlfn.STDEV.S(OFFSET(Tabla3[[#This Row],[Close]],-29,0,30)),"")</f>
        <v>85.819296852009657</v>
      </c>
    </row>
    <row r="1133" spans="1:12" x14ac:dyDescent="0.3">
      <c r="A1133" s="1">
        <v>44050</v>
      </c>
      <c r="B1133" s="3">
        <f>YEAR(Tabla3[[#This Row],[Date]])</f>
        <v>2020</v>
      </c>
      <c r="C1133" s="1" t="str">
        <f>+TEXT(Tabla3[[#This Row],[Date]],"mmm")</f>
        <v>ago</v>
      </c>
      <c r="D1133" s="2">
        <v>2010.09997558593</v>
      </c>
      <c r="E1133" s="2">
        <v>2010.09997558593</v>
      </c>
      <c r="F1133" s="2">
        <v>2055</v>
      </c>
      <c r="G1133" s="2">
        <v>2009.59997558593</v>
      </c>
      <c r="H1133" s="2">
        <v>2040.09997558593</v>
      </c>
      <c r="I1133">
        <v>808</v>
      </c>
      <c r="J1133" s="2">
        <f ca="1">IFERROR((Tabla3[[#This Row],[Close]]-OFFSET(Tabla3[[#This Row],[Close]],-1,0))/OFFSET(Tabla3[[#This Row],[Close]],-1,0),"")</f>
        <v>-2.0180367737786985E-2</v>
      </c>
      <c r="K1133" s="2">
        <f ca="1">IFERROR(AVERAGE(OFFSET(Tabla3[[#This Row],[Close]],-6,0,7)),"")</f>
        <v>1994.9999999999959</v>
      </c>
      <c r="L1133" s="2">
        <f ca="1">IFERROR(_xlfn.STDEV.S(OFFSET(Tabla3[[#This Row],[Close]],-29,0,30)),"")</f>
        <v>87.9871601066815</v>
      </c>
    </row>
    <row r="1134" spans="1:12" x14ac:dyDescent="0.3">
      <c r="A1134" s="1">
        <v>44053</v>
      </c>
      <c r="B1134" s="3">
        <f>YEAR(Tabla3[[#This Row],[Date]])</f>
        <v>2020</v>
      </c>
      <c r="C1134" s="1" t="str">
        <f>+TEXT(Tabla3[[#This Row],[Date]],"mmm")</f>
        <v>ago</v>
      </c>
      <c r="D1134" s="2">
        <v>2024.40002441406</v>
      </c>
      <c r="E1134" s="2">
        <v>2024.40002441406</v>
      </c>
      <c r="F1134" s="2">
        <v>2043.80004882812</v>
      </c>
      <c r="G1134" s="2">
        <v>2017.5</v>
      </c>
      <c r="H1134" s="2">
        <v>2026.40002441406</v>
      </c>
      <c r="I1134">
        <v>233</v>
      </c>
      <c r="J1134" s="2">
        <f ca="1">IFERROR((Tabla3[[#This Row],[Close]]-OFFSET(Tabla3[[#This Row],[Close]],-1,0))/OFFSET(Tabla3[[#This Row],[Close]],-1,0),"")</f>
        <v>7.1140983044694775E-3</v>
      </c>
      <c r="K1134" s="2">
        <f ca="1">IFERROR(AVERAGE(OFFSET(Tabla3[[#This Row],[Close]],-6,0,7)),"")</f>
        <v>2006.7285679408444</v>
      </c>
      <c r="L1134" s="2">
        <f ca="1">IFERROR(_xlfn.STDEV.S(OFFSET(Tabla3[[#This Row],[Close]],-29,0,30)),"")</f>
        <v>90.522169122306863</v>
      </c>
    </row>
    <row r="1135" spans="1:12" x14ac:dyDescent="0.3">
      <c r="A1135" s="1">
        <v>44054</v>
      </c>
      <c r="B1135" s="3">
        <f>YEAR(Tabla3[[#This Row],[Date]])</f>
        <v>2020</v>
      </c>
      <c r="C1135" s="1" t="str">
        <f>+TEXT(Tabla3[[#This Row],[Date]],"mmm")</f>
        <v>ago</v>
      </c>
      <c r="D1135" s="2">
        <v>1932.59997558593</v>
      </c>
      <c r="E1135" s="2">
        <v>1932.59997558593</v>
      </c>
      <c r="F1135" s="2">
        <v>2016</v>
      </c>
      <c r="G1135" s="2">
        <v>1904</v>
      </c>
      <c r="H1135" s="2">
        <v>2012.40002441406</v>
      </c>
      <c r="I1135">
        <v>971</v>
      </c>
      <c r="J1135" s="2">
        <f ca="1">IFERROR((Tabla3[[#This Row],[Close]]-OFFSET(Tabla3[[#This Row],[Close]],-1,0))/OFFSET(Tabla3[[#This Row],[Close]],-1,0),"")</f>
        <v>-4.5346792986085099E-2</v>
      </c>
      <c r="K1135" s="2">
        <f ca="1">IFERROR(AVERAGE(OFFSET(Tabla3[[#This Row],[Close]],-6,0,7)),"")</f>
        <v>2002.4142717633888</v>
      </c>
      <c r="L1135" s="2">
        <f ca="1">IFERROR(_xlfn.STDEV.S(OFFSET(Tabla3[[#This Row],[Close]],-29,0,30)),"")</f>
        <v>88.974303000309149</v>
      </c>
    </row>
    <row r="1136" spans="1:12" x14ac:dyDescent="0.3">
      <c r="A1136" s="1">
        <v>44055</v>
      </c>
      <c r="B1136" s="3">
        <f>YEAR(Tabla3[[#This Row],[Date]])</f>
        <v>2020</v>
      </c>
      <c r="C1136" s="1" t="str">
        <f>+TEXT(Tabla3[[#This Row],[Date]],"mmm")</f>
        <v>ago</v>
      </c>
      <c r="D1136" s="2">
        <v>1934.90002441406</v>
      </c>
      <c r="E1136" s="2">
        <v>1934.90002441406</v>
      </c>
      <c r="F1136" s="2">
        <v>1946.59997558593</v>
      </c>
      <c r="G1136" s="2">
        <v>1871.59997558593</v>
      </c>
      <c r="H1136" s="2">
        <v>1923</v>
      </c>
      <c r="I1136">
        <v>404</v>
      </c>
      <c r="J1136" s="2">
        <f ca="1">IFERROR((Tabla3[[#This Row],[Close]]-OFFSET(Tabla3[[#This Row],[Close]],-1,0))/OFFSET(Tabla3[[#This Row],[Close]],-1,0),"")</f>
        <v>1.1901318727030761E-3</v>
      </c>
      <c r="K1136" s="2">
        <f ca="1">IFERROR(AVERAGE(OFFSET(Tabla3[[#This Row],[Close]],-6,0,7)),"")</f>
        <v>1997.9714181082545</v>
      </c>
      <c r="L1136" s="2">
        <f ca="1">IFERROR(_xlfn.STDEV.S(OFFSET(Tabla3[[#This Row],[Close]],-29,0,30)),"")</f>
        <v>87.852213373463144</v>
      </c>
    </row>
    <row r="1137" spans="1:12" x14ac:dyDescent="0.3">
      <c r="A1137" s="1">
        <v>44056</v>
      </c>
      <c r="B1137" s="3">
        <f>YEAR(Tabla3[[#This Row],[Date]])</f>
        <v>2020</v>
      </c>
      <c r="C1137" s="1" t="str">
        <f>+TEXT(Tabla3[[#This Row],[Date]],"mmm")</f>
        <v>ago</v>
      </c>
      <c r="D1137" s="2">
        <v>1956.69995117187</v>
      </c>
      <c r="E1137" s="2">
        <v>1956.69995117187</v>
      </c>
      <c r="F1137" s="2">
        <v>1957.40002441406</v>
      </c>
      <c r="G1137" s="2">
        <v>1916.90002441406</v>
      </c>
      <c r="H1137" s="2">
        <v>1921.5</v>
      </c>
      <c r="I1137">
        <v>71</v>
      </c>
      <c r="J1137" s="2">
        <f ca="1">IFERROR((Tabla3[[#This Row],[Close]]-OFFSET(Tabla3[[#This Row],[Close]],-1,0))/OFFSET(Tabla3[[#This Row],[Close]],-1,0),"")</f>
        <v>1.1266694135482067E-2</v>
      </c>
      <c r="K1137" s="2">
        <f ca="1">IFERROR(AVERAGE(OFFSET(Tabla3[[#This Row],[Close]],-6,0,7)),"")</f>
        <v>1991.6142752511114</v>
      </c>
      <c r="L1137" s="2">
        <f ca="1">IFERROR(_xlfn.STDEV.S(OFFSET(Tabla3[[#This Row],[Close]],-29,0,30)),"")</f>
        <v>86.054919569500001</v>
      </c>
    </row>
    <row r="1138" spans="1:12" x14ac:dyDescent="0.3">
      <c r="A1138" s="1">
        <v>44057</v>
      </c>
      <c r="B1138" s="3">
        <f>YEAR(Tabla3[[#This Row],[Date]])</f>
        <v>2020</v>
      </c>
      <c r="C1138" s="1" t="str">
        <f>+TEXT(Tabla3[[#This Row],[Date]],"mmm")</f>
        <v>ago</v>
      </c>
      <c r="D1138" s="2">
        <v>1937</v>
      </c>
      <c r="E1138" s="2">
        <v>1937</v>
      </c>
      <c r="F1138" s="2">
        <v>1947.40002441406</v>
      </c>
      <c r="G1138" s="2">
        <v>1937</v>
      </c>
      <c r="H1138" s="2">
        <v>1938.69995117187</v>
      </c>
      <c r="I1138">
        <v>201</v>
      </c>
      <c r="J1138" s="2">
        <f ca="1">IFERROR((Tabla3[[#This Row],[Close]]-OFFSET(Tabla3[[#This Row],[Close]],-1,0))/OFFSET(Tabla3[[#This Row],[Close]],-1,0),"")</f>
        <v>-1.0067946881723829E-2</v>
      </c>
      <c r="K1138" s="2">
        <f ca="1">IFERROR(AVERAGE(OFFSET(Tabla3[[#This Row],[Close]],-6,0,7)),"")</f>
        <v>1978.1714215959785</v>
      </c>
      <c r="L1138" s="2">
        <f ca="1">IFERROR(_xlfn.STDEV.S(OFFSET(Tabla3[[#This Row],[Close]],-29,0,30)),"")</f>
        <v>83.896999252664401</v>
      </c>
    </row>
    <row r="1139" spans="1:12" x14ac:dyDescent="0.3">
      <c r="A1139" s="1">
        <v>44060</v>
      </c>
      <c r="B1139" s="3">
        <f>YEAR(Tabla3[[#This Row],[Date]])</f>
        <v>2020</v>
      </c>
      <c r="C1139" s="1" t="str">
        <f>+TEXT(Tabla3[[#This Row],[Date]],"mmm")</f>
        <v>ago</v>
      </c>
      <c r="D1139" s="2">
        <v>1985</v>
      </c>
      <c r="E1139" s="2">
        <v>1985</v>
      </c>
      <c r="F1139" s="2">
        <v>1985</v>
      </c>
      <c r="G1139" s="2">
        <v>1949.59997558593</v>
      </c>
      <c r="H1139" s="2">
        <v>1949.59997558593</v>
      </c>
      <c r="I1139">
        <v>97</v>
      </c>
      <c r="J1139" s="2">
        <f ca="1">IFERROR((Tabla3[[#This Row],[Close]]-OFFSET(Tabla3[[#This Row],[Close]],-1,0))/OFFSET(Tabla3[[#This Row],[Close]],-1,0),"")</f>
        <v>2.4780588538977799E-2</v>
      </c>
      <c r="K1139" s="2">
        <f ca="1">IFERROR(AVERAGE(OFFSET(Tabla3[[#This Row],[Close]],-6,0,7)),"")</f>
        <v>1968.6714215959785</v>
      </c>
      <c r="L1139" s="2">
        <f ca="1">IFERROR(_xlfn.STDEV.S(OFFSET(Tabla3[[#This Row],[Close]],-29,0,30)),"")</f>
        <v>82.731419471063845</v>
      </c>
    </row>
    <row r="1140" spans="1:12" x14ac:dyDescent="0.3">
      <c r="A1140" s="1">
        <v>44061</v>
      </c>
      <c r="B1140" s="3">
        <f>YEAR(Tabla3[[#This Row],[Date]])</f>
        <v>2020</v>
      </c>
      <c r="C1140" s="1" t="str">
        <f>+TEXT(Tabla3[[#This Row],[Date]],"mmm")</f>
        <v>ago</v>
      </c>
      <c r="D1140" s="2">
        <v>1999.40002441406</v>
      </c>
      <c r="E1140" s="2">
        <v>1999.40002441406</v>
      </c>
      <c r="F1140" s="2">
        <v>2002.80004882812</v>
      </c>
      <c r="G1140" s="2">
        <v>1972.09997558593</v>
      </c>
      <c r="H1140" s="2">
        <v>2001.09997558593</v>
      </c>
      <c r="I1140">
        <v>92</v>
      </c>
      <c r="J1140" s="2">
        <f ca="1">IFERROR((Tabla3[[#This Row],[Close]]-OFFSET(Tabla3[[#This Row],[Close]],-1,0))/OFFSET(Tabla3[[#This Row],[Close]],-1,0),"")</f>
        <v>7.2544203597279594E-3</v>
      </c>
      <c r="K1140" s="2">
        <f ca="1">IFERROR(AVERAGE(OFFSET(Tabla3[[#This Row],[Close]],-6,0,7)),"")</f>
        <v>1967.1428571428544</v>
      </c>
      <c r="L1140" s="2">
        <f ca="1">IFERROR(_xlfn.STDEV.S(OFFSET(Tabla3[[#This Row],[Close]],-29,0,30)),"")</f>
        <v>82.257358416029689</v>
      </c>
    </row>
    <row r="1141" spans="1:12" x14ac:dyDescent="0.3">
      <c r="A1141" s="1">
        <v>44062</v>
      </c>
      <c r="B1141" s="3">
        <f>YEAR(Tabla3[[#This Row],[Date]])</f>
        <v>2020</v>
      </c>
      <c r="C1141" s="1" t="str">
        <f>+TEXT(Tabla3[[#This Row],[Date]],"mmm")</f>
        <v>ago</v>
      </c>
      <c r="D1141" s="2">
        <v>1958.69995117187</v>
      </c>
      <c r="E1141" s="2">
        <v>1958.69995117187</v>
      </c>
      <c r="F1141" s="2">
        <v>1980</v>
      </c>
      <c r="G1141" s="2">
        <v>1938.69995117187</v>
      </c>
      <c r="H1141" s="2">
        <v>1980</v>
      </c>
      <c r="I1141">
        <v>347</v>
      </c>
      <c r="J1141" s="2">
        <f ca="1">IFERROR((Tabla3[[#This Row],[Close]]-OFFSET(Tabla3[[#This Row],[Close]],-1,0))/OFFSET(Tabla3[[#This Row],[Close]],-1,0),"")</f>
        <v>-2.035614321557162E-2</v>
      </c>
      <c r="K1141" s="2">
        <f ca="1">IFERROR(AVERAGE(OFFSET(Tabla3[[#This Row],[Close]],-6,0,7)),"")</f>
        <v>1957.7571323939701</v>
      </c>
      <c r="L1141" s="2">
        <f ca="1">IFERROR(_xlfn.STDEV.S(OFFSET(Tabla3[[#This Row],[Close]],-29,0,30)),"")</f>
        <v>80.67229454784264</v>
      </c>
    </row>
    <row r="1142" spans="1:12" x14ac:dyDescent="0.3">
      <c r="A1142" s="1">
        <v>44063</v>
      </c>
      <c r="B1142" s="3">
        <f>YEAR(Tabla3[[#This Row],[Date]])</f>
        <v>2020</v>
      </c>
      <c r="C1142" s="1" t="str">
        <f>+TEXT(Tabla3[[#This Row],[Date]],"mmm")</f>
        <v>ago</v>
      </c>
      <c r="D1142" s="2">
        <v>1933.80004882812</v>
      </c>
      <c r="E1142" s="2">
        <v>1933.80004882812</v>
      </c>
      <c r="F1142" s="2">
        <v>1948.30004882812</v>
      </c>
      <c r="G1142" s="2">
        <v>1922.30004882812</v>
      </c>
      <c r="H1142" s="2">
        <v>1941.19995117187</v>
      </c>
      <c r="I1142">
        <v>106</v>
      </c>
      <c r="J1142" s="2">
        <f ca="1">IFERROR((Tabla3[[#This Row],[Close]]-OFFSET(Tabla3[[#This Row],[Close]],-1,0))/OFFSET(Tabla3[[#This Row],[Close]],-1,0),"")</f>
        <v>-1.2712463860966885E-2</v>
      </c>
      <c r="K1142" s="2">
        <f ca="1">IFERROR(AVERAGE(OFFSET(Tabla3[[#This Row],[Close]],-6,0,7)),"")</f>
        <v>1957.9285714285686</v>
      </c>
      <c r="L1142" s="2">
        <f ca="1">IFERROR(_xlfn.STDEV.S(OFFSET(Tabla3[[#This Row],[Close]],-29,0,30)),"")</f>
        <v>77.65996815515895</v>
      </c>
    </row>
    <row r="1143" spans="1:12" x14ac:dyDescent="0.3">
      <c r="A1143" s="1">
        <v>44064</v>
      </c>
      <c r="B1143" s="3">
        <f>YEAR(Tabla3[[#This Row],[Date]])</f>
        <v>2020</v>
      </c>
      <c r="C1143" s="1" t="str">
        <f>+TEXT(Tabla3[[#This Row],[Date]],"mmm")</f>
        <v>ago</v>
      </c>
      <c r="D1143" s="2">
        <v>1934.59997558593</v>
      </c>
      <c r="E1143" s="2">
        <v>1934.59997558593</v>
      </c>
      <c r="F1143" s="2">
        <v>1945</v>
      </c>
      <c r="G1143" s="2">
        <v>1908.90002441406</v>
      </c>
      <c r="H1143" s="2">
        <v>1941</v>
      </c>
      <c r="I1143">
        <v>184</v>
      </c>
      <c r="J1143" s="2">
        <f ca="1">IFERROR((Tabla3[[#This Row],[Close]]-OFFSET(Tabla3[[#This Row],[Close]],-1,0))/OFFSET(Tabla3[[#This Row],[Close]],-1,0),"")</f>
        <v>4.1365536126382525E-4</v>
      </c>
      <c r="K1143" s="2">
        <f ca="1">IFERROR(AVERAGE(OFFSET(Tabla3[[#This Row],[Close]],-6,0,7)),"")</f>
        <v>1957.8857073102643</v>
      </c>
      <c r="L1143" s="2">
        <f ca="1">IFERROR(_xlfn.STDEV.S(OFFSET(Tabla3[[#This Row],[Close]],-29,0,30)),"")</f>
        <v>74.191073425274851</v>
      </c>
    </row>
    <row r="1144" spans="1:12" x14ac:dyDescent="0.3">
      <c r="A1144" s="1">
        <v>44067</v>
      </c>
      <c r="B1144" s="3">
        <f>YEAR(Tabla3[[#This Row],[Date]])</f>
        <v>2020</v>
      </c>
      <c r="C1144" s="1" t="str">
        <f>+TEXT(Tabla3[[#This Row],[Date]],"mmm")</f>
        <v>ago</v>
      </c>
      <c r="D1144" s="2">
        <v>1927.69995117187</v>
      </c>
      <c r="E1144" s="2">
        <v>1927.69995117187</v>
      </c>
      <c r="F1144" s="2">
        <v>1940</v>
      </c>
      <c r="G1144" s="2">
        <v>1922.19995117187</v>
      </c>
      <c r="H1144" s="2">
        <v>1930.19995117187</v>
      </c>
      <c r="I1144">
        <v>85</v>
      </c>
      <c r="J1144" s="2">
        <f ca="1">IFERROR((Tabla3[[#This Row],[Close]]-OFFSET(Tabla3[[#This Row],[Close]],-1,0))/OFFSET(Tabla3[[#This Row],[Close]],-1,0),"")</f>
        <v>-3.5666414251712148E-3</v>
      </c>
      <c r="K1144" s="2">
        <f ca="1">IFERROR(AVERAGE(OFFSET(Tabla3[[#This Row],[Close]],-6,0,7)),"")</f>
        <v>1953.7428501674071</v>
      </c>
      <c r="L1144" s="2">
        <f ca="1">IFERROR(_xlfn.STDEV.S(OFFSET(Tabla3[[#This Row],[Close]],-29,0,30)),"")</f>
        <v>71.017116726877688</v>
      </c>
    </row>
    <row r="1145" spans="1:12" x14ac:dyDescent="0.3">
      <c r="A1145" s="1">
        <v>44068</v>
      </c>
      <c r="B1145" s="3">
        <f>YEAR(Tabla3[[#This Row],[Date]])</f>
        <v>2020</v>
      </c>
      <c r="C1145" s="1" t="str">
        <f>+TEXT(Tabla3[[#This Row],[Date]],"mmm")</f>
        <v>ago</v>
      </c>
      <c r="D1145" s="2">
        <v>1911.80004882812</v>
      </c>
      <c r="E1145" s="2">
        <v>1911.80004882812</v>
      </c>
      <c r="F1145" s="2">
        <v>1928.5</v>
      </c>
      <c r="G1145" s="2">
        <v>1911.80004882812</v>
      </c>
      <c r="H1145" s="2">
        <v>1927.5</v>
      </c>
      <c r="I1145">
        <v>176</v>
      </c>
      <c r="J1145" s="2">
        <f ca="1">IFERROR((Tabla3[[#This Row],[Close]]-OFFSET(Tabla3[[#This Row],[Close]],-1,0))/OFFSET(Tabla3[[#This Row],[Close]],-1,0),"")</f>
        <v>-8.2481209454221723E-3</v>
      </c>
      <c r="K1145" s="2">
        <f ca="1">IFERROR(AVERAGE(OFFSET(Tabla3[[#This Row],[Close]],-6,0,7)),"")</f>
        <v>1950.1428571428528</v>
      </c>
      <c r="L1145" s="2">
        <f ca="1">IFERROR(_xlfn.STDEV.S(OFFSET(Tabla3[[#This Row],[Close]],-29,0,30)),"")</f>
        <v>67.539118281224958</v>
      </c>
    </row>
    <row r="1146" spans="1:12" x14ac:dyDescent="0.3">
      <c r="A1146" s="1">
        <v>44069</v>
      </c>
      <c r="B1146" s="3">
        <f>YEAR(Tabla3[[#This Row],[Date]])</f>
        <v>2020</v>
      </c>
      <c r="C1146" s="1" t="str">
        <f>+TEXT(Tabla3[[#This Row],[Date]],"mmm")</f>
        <v>ago</v>
      </c>
      <c r="D1146" s="2">
        <v>1940.69995117187</v>
      </c>
      <c r="E1146" s="2">
        <v>1940.69995117187</v>
      </c>
      <c r="F1146" s="2">
        <v>1950.80004882812</v>
      </c>
      <c r="G1146" s="2">
        <v>1909.69995117187</v>
      </c>
      <c r="H1146" s="2">
        <v>1909.69995117187</v>
      </c>
      <c r="I1146">
        <v>287</v>
      </c>
      <c r="J1146" s="2">
        <f ca="1">IFERROR((Tabla3[[#This Row],[Close]]-OFFSET(Tabla3[[#This Row],[Close]],-1,0))/OFFSET(Tabla3[[#This Row],[Close]],-1,0),"")</f>
        <v>1.5116592533547028E-2</v>
      </c>
      <c r="K1146" s="2">
        <f ca="1">IFERROR(AVERAGE(OFFSET(Tabla3[[#This Row],[Close]],-6,0,7)),"")</f>
        <v>1943.814278738834</v>
      </c>
      <c r="L1146" s="2">
        <f ca="1">IFERROR(_xlfn.STDEV.S(OFFSET(Tabla3[[#This Row],[Close]],-29,0,30)),"")</f>
        <v>63.592380564135176</v>
      </c>
    </row>
    <row r="1147" spans="1:12" x14ac:dyDescent="0.3">
      <c r="A1147" s="1">
        <v>44070</v>
      </c>
      <c r="B1147" s="3">
        <f>YEAR(Tabla3[[#This Row],[Date]])</f>
        <v>2020</v>
      </c>
      <c r="C1147" s="1" t="str">
        <f>+TEXT(Tabla3[[#This Row],[Date]],"mmm")</f>
        <v>ago</v>
      </c>
      <c r="D1147" s="2">
        <v>1921.59997558593</v>
      </c>
      <c r="E1147" s="2">
        <v>1921.59997558593</v>
      </c>
      <c r="F1147" s="2">
        <v>1972.5</v>
      </c>
      <c r="G1147" s="2">
        <v>1921.59997558593</v>
      </c>
      <c r="H1147" s="2">
        <v>1948.90002441406</v>
      </c>
      <c r="I1147">
        <v>2303</v>
      </c>
      <c r="J1147" s="2">
        <f ca="1">IFERROR((Tabla3[[#This Row],[Close]]-OFFSET(Tabla3[[#This Row],[Close]],-1,0))/OFFSET(Tabla3[[#This Row],[Close]],-1,0),"")</f>
        <v>-9.841797323901974E-3</v>
      </c>
      <c r="K1147" s="2">
        <f ca="1">IFERROR(AVERAGE(OFFSET(Tabla3[[#This Row],[Close]],-6,0,7)),"")</f>
        <v>1932.6999860491014</v>
      </c>
      <c r="L1147" s="2">
        <f ca="1">IFERROR(_xlfn.STDEV.S(OFFSET(Tabla3[[#This Row],[Close]],-29,0,30)),"")</f>
        <v>58.152149165679887</v>
      </c>
    </row>
    <row r="1148" spans="1:12" x14ac:dyDescent="0.3">
      <c r="A1148" s="1">
        <v>44071</v>
      </c>
      <c r="B1148" s="3">
        <f>YEAR(Tabla3[[#This Row],[Date]])</f>
        <v>2020</v>
      </c>
      <c r="C1148" s="1" t="str">
        <f>+TEXT(Tabla3[[#This Row],[Date]],"mmm")</f>
        <v>ago</v>
      </c>
      <c r="D1148" s="2">
        <v>1964.59997558593</v>
      </c>
      <c r="E1148" s="2">
        <v>1964.59997558593</v>
      </c>
      <c r="F1148" s="2">
        <v>1971.30004882812</v>
      </c>
      <c r="G1148" s="2">
        <v>1922.5</v>
      </c>
      <c r="H1148" s="2">
        <v>1927.09997558593</v>
      </c>
      <c r="I1148">
        <v>778</v>
      </c>
      <c r="J1148" s="2">
        <f ca="1">IFERROR((Tabla3[[#This Row],[Close]]-OFFSET(Tabla3[[#This Row],[Close]],-1,0))/OFFSET(Tabla3[[#This Row],[Close]],-1,0),"")</f>
        <v>2.2377185962904968E-2</v>
      </c>
      <c r="K1148" s="2">
        <f ca="1">IFERROR(AVERAGE(OFFSET(Tabla3[[#This Row],[Close]],-6,0,7)),"")</f>
        <v>1933.5428466796814</v>
      </c>
      <c r="L1148" s="2">
        <f ca="1">IFERROR(_xlfn.STDEV.S(OFFSET(Tabla3[[#This Row],[Close]],-29,0,30)),"")</f>
        <v>52.656393365946037</v>
      </c>
    </row>
    <row r="1149" spans="1:12" x14ac:dyDescent="0.3">
      <c r="A1149" s="1">
        <v>44074</v>
      </c>
      <c r="B1149" s="3">
        <f>YEAR(Tabla3[[#This Row],[Date]])</f>
        <v>2020</v>
      </c>
      <c r="C1149" s="1" t="str">
        <f>+TEXT(Tabla3[[#This Row],[Date]],"mmm")</f>
        <v>ago</v>
      </c>
      <c r="D1149" s="2">
        <v>1967.59997558593</v>
      </c>
      <c r="E1149" s="2">
        <v>1967.59997558593</v>
      </c>
      <c r="F1149" s="2">
        <v>1971.30004882812</v>
      </c>
      <c r="G1149" s="2">
        <v>1953.30004882812</v>
      </c>
      <c r="H1149" s="2">
        <v>1970</v>
      </c>
      <c r="I1149">
        <v>158</v>
      </c>
      <c r="J1149" s="2">
        <f ca="1">IFERROR((Tabla3[[#This Row],[Close]]-OFFSET(Tabla3[[#This Row],[Close]],-1,0))/OFFSET(Tabla3[[#This Row],[Close]],-1,0),"")</f>
        <v>1.527028421704662E-3</v>
      </c>
      <c r="K1149" s="2">
        <f ca="1">IFERROR(AVERAGE(OFFSET(Tabla3[[#This Row],[Close]],-6,0,7)),"")</f>
        <v>1938.3714076450829</v>
      </c>
      <c r="L1149" s="2">
        <f ca="1">IFERROR(_xlfn.STDEV.S(OFFSET(Tabla3[[#This Row],[Close]],-29,0,30)),"")</f>
        <v>46.726706443219598</v>
      </c>
    </row>
    <row r="1150" spans="1:12" x14ac:dyDescent="0.3">
      <c r="A1150" s="1">
        <v>44075</v>
      </c>
      <c r="B1150" s="3">
        <f>YEAR(Tabla3[[#This Row],[Date]])</f>
        <v>2020</v>
      </c>
      <c r="C1150" s="1" t="str">
        <f>+TEXT(Tabla3[[#This Row],[Date]],"mmm")</f>
        <v>sept</v>
      </c>
      <c r="D1150" s="2">
        <v>1968.19995117187</v>
      </c>
      <c r="E1150" s="2">
        <v>1968.19995117187</v>
      </c>
      <c r="F1150" s="2">
        <v>1986.30004882812</v>
      </c>
      <c r="G1150" s="2">
        <v>1961.69995117187</v>
      </c>
      <c r="H1150" s="2">
        <v>1961.69995117187</v>
      </c>
      <c r="I1150">
        <v>186</v>
      </c>
      <c r="J1150" s="2">
        <f ca="1">IFERROR((Tabla3[[#This Row],[Close]]-OFFSET(Tabla3[[#This Row],[Close]],-1,0))/OFFSET(Tabla3[[#This Row],[Close]],-1,0),"")</f>
        <v>3.049276242043736E-4</v>
      </c>
      <c r="K1150" s="2">
        <f ca="1">IFERROR(AVERAGE(OFFSET(Tabla3[[#This Row],[Close]],-6,0,7)),"")</f>
        <v>1943.17140415736</v>
      </c>
      <c r="L1150" s="2">
        <f ca="1">IFERROR(_xlfn.STDEV.S(OFFSET(Tabla3[[#This Row],[Close]],-29,0,30)),"")</f>
        <v>42.096561700118251</v>
      </c>
    </row>
    <row r="1151" spans="1:12" x14ac:dyDescent="0.3">
      <c r="A1151" s="1">
        <v>44076</v>
      </c>
      <c r="B1151" s="3">
        <f>YEAR(Tabla3[[#This Row],[Date]])</f>
        <v>2020</v>
      </c>
      <c r="C1151" s="1" t="str">
        <f>+TEXT(Tabla3[[#This Row],[Date]],"mmm")</f>
        <v>sept</v>
      </c>
      <c r="D1151" s="2">
        <v>1934.40002441406</v>
      </c>
      <c r="E1151" s="2">
        <v>1934.40002441406</v>
      </c>
      <c r="F1151" s="2">
        <v>1967.30004882812</v>
      </c>
      <c r="G1151" s="2">
        <v>1934.40002441406</v>
      </c>
      <c r="H1151" s="2">
        <v>1967.30004882812</v>
      </c>
      <c r="I1151">
        <v>71</v>
      </c>
      <c r="J1151" s="2">
        <f ca="1">IFERROR((Tabla3[[#This Row],[Close]]-OFFSET(Tabla3[[#This Row],[Close]],-1,0))/OFFSET(Tabla3[[#This Row],[Close]],-1,0),"")</f>
        <v>-1.717301473241347E-2</v>
      </c>
      <c r="K1151" s="2">
        <f ca="1">IFERROR(AVERAGE(OFFSET(Tabla3[[#This Row],[Close]],-6,0,7)),"")</f>
        <v>1944.1285574776728</v>
      </c>
      <c r="L1151" s="2">
        <f ca="1">IFERROR(_xlfn.STDEV.S(OFFSET(Tabla3[[#This Row],[Close]],-29,0,30)),"")</f>
        <v>38.692609941920551</v>
      </c>
    </row>
    <row r="1152" spans="1:12" x14ac:dyDescent="0.3">
      <c r="A1152" s="1">
        <v>44077</v>
      </c>
      <c r="B1152" s="3">
        <f>YEAR(Tabla3[[#This Row],[Date]])</f>
        <v>2020</v>
      </c>
      <c r="C1152" s="1" t="str">
        <f>+TEXT(Tabla3[[#This Row],[Date]],"mmm")</f>
        <v>sept</v>
      </c>
      <c r="D1152" s="2">
        <v>1927.59997558593</v>
      </c>
      <c r="E1152" s="2">
        <v>1927.59997558593</v>
      </c>
      <c r="F1152" s="2">
        <v>1938.80004882812</v>
      </c>
      <c r="G1152" s="2">
        <v>1923</v>
      </c>
      <c r="H1152" s="2">
        <v>1937.09997558593</v>
      </c>
      <c r="I1152">
        <v>179</v>
      </c>
      <c r="J1152" s="2">
        <f ca="1">IFERROR((Tabla3[[#This Row],[Close]]-OFFSET(Tabla3[[#This Row],[Close]],-1,0))/OFFSET(Tabla3[[#This Row],[Close]],-1,0),"")</f>
        <v>-3.5153271000344269E-3</v>
      </c>
      <c r="K1152" s="2">
        <f ca="1">IFERROR(AVERAGE(OFFSET(Tabla3[[#This Row],[Close]],-6,0,7)),"")</f>
        <v>1946.3856898716458</v>
      </c>
      <c r="L1152" s="2">
        <f ca="1">IFERROR(_xlfn.STDEV.S(OFFSET(Tabla3[[#This Row],[Close]],-29,0,30)),"")</f>
        <v>36.957537367964228</v>
      </c>
    </row>
    <row r="1153" spans="1:12" x14ac:dyDescent="0.3">
      <c r="A1153" s="1">
        <v>44078</v>
      </c>
      <c r="B1153" s="3">
        <f>YEAR(Tabla3[[#This Row],[Date]])</f>
        <v>2020</v>
      </c>
      <c r="C1153" s="1" t="str">
        <f>+TEXT(Tabla3[[#This Row],[Date]],"mmm")</f>
        <v>sept</v>
      </c>
      <c r="D1153" s="2">
        <v>1923.90002441406</v>
      </c>
      <c r="E1153" s="2">
        <v>1923.90002441406</v>
      </c>
      <c r="F1153" s="2">
        <v>1939.69995117187</v>
      </c>
      <c r="G1153" s="2">
        <v>1917.69995117187</v>
      </c>
      <c r="H1153" s="2">
        <v>1927.90002441406</v>
      </c>
      <c r="I1153">
        <v>607</v>
      </c>
      <c r="J1153" s="2">
        <f ca="1">IFERROR((Tabla3[[#This Row],[Close]]-OFFSET(Tabla3[[#This Row],[Close]],-1,0))/OFFSET(Tabla3[[#This Row],[Close]],-1,0),"")</f>
        <v>-1.919460063670798E-3</v>
      </c>
      <c r="K1153" s="2">
        <f ca="1">IFERROR(AVERAGE(OFFSET(Tabla3[[#This Row],[Close]],-6,0,7)),"")</f>
        <v>1943.9857003348159</v>
      </c>
      <c r="L1153" s="2">
        <f ca="1">IFERROR(_xlfn.STDEV.S(OFFSET(Tabla3[[#This Row],[Close]],-29,0,30)),"")</f>
        <v>35.739463435952814</v>
      </c>
    </row>
    <row r="1154" spans="1:12" x14ac:dyDescent="0.3">
      <c r="A1154" s="1">
        <v>44082</v>
      </c>
      <c r="B1154" s="3">
        <f>YEAR(Tabla3[[#This Row],[Date]])</f>
        <v>2020</v>
      </c>
      <c r="C1154" s="1" t="str">
        <f>+TEXT(Tabla3[[#This Row],[Date]],"mmm")</f>
        <v>sept</v>
      </c>
      <c r="D1154" s="2">
        <v>1933</v>
      </c>
      <c r="E1154" s="2">
        <v>1933</v>
      </c>
      <c r="F1154" s="2">
        <v>1937.90002441406</v>
      </c>
      <c r="G1154" s="2">
        <v>1903.09997558593</v>
      </c>
      <c r="H1154" s="2">
        <v>1930.90002441406</v>
      </c>
      <c r="I1154">
        <v>271</v>
      </c>
      <c r="J1154" s="2">
        <f ca="1">IFERROR((Tabla3[[#This Row],[Close]]-OFFSET(Tabla3[[#This Row],[Close]],-1,0))/OFFSET(Tabla3[[#This Row],[Close]],-1,0),"")</f>
        <v>4.7299628205532537E-3</v>
      </c>
      <c r="K1154" s="2">
        <f ca="1">IFERROR(AVERAGE(OFFSET(Tabla3[[#This Row],[Close]],-6,0,7)),"")</f>
        <v>1945.6142752511114</v>
      </c>
      <c r="L1154" s="2">
        <f ca="1">IFERROR(_xlfn.STDEV.S(OFFSET(Tabla3[[#This Row],[Close]],-29,0,30)),"")</f>
        <v>35.686654279675146</v>
      </c>
    </row>
    <row r="1155" spans="1:12" x14ac:dyDescent="0.3">
      <c r="A1155" s="1">
        <v>44083</v>
      </c>
      <c r="B1155" s="3">
        <f>YEAR(Tabla3[[#This Row],[Date]])</f>
        <v>2020</v>
      </c>
      <c r="C1155" s="1" t="str">
        <f>+TEXT(Tabla3[[#This Row],[Date]],"mmm")</f>
        <v>sept</v>
      </c>
      <c r="D1155" s="2">
        <v>1944.69995117187</v>
      </c>
      <c r="E1155" s="2">
        <v>1944.69995117187</v>
      </c>
      <c r="F1155" s="2">
        <v>1946.19995117187</v>
      </c>
      <c r="G1155" s="2">
        <v>1924.59997558593</v>
      </c>
      <c r="H1155" s="2">
        <v>1926.90002441406</v>
      </c>
      <c r="I1155">
        <v>219</v>
      </c>
      <c r="J1155" s="2">
        <f ca="1">IFERROR((Tabla3[[#This Row],[Close]]-OFFSET(Tabla3[[#This Row],[Close]],-1,0))/OFFSET(Tabla3[[#This Row],[Close]],-1,0),"")</f>
        <v>6.0527424582876342E-3</v>
      </c>
      <c r="K1155" s="2">
        <f ca="1">IFERROR(AVERAGE(OFFSET(Tabla3[[#This Row],[Close]],-6,0,7)),"")</f>
        <v>1942.7714146205312</v>
      </c>
      <c r="L1155" s="2">
        <f ca="1">IFERROR(_xlfn.STDEV.S(OFFSET(Tabla3[[#This Row],[Close]],-29,0,30)),"")</f>
        <v>35.686654279675153</v>
      </c>
    </row>
    <row r="1156" spans="1:12" x14ac:dyDescent="0.3">
      <c r="A1156" s="1">
        <v>44084</v>
      </c>
      <c r="B1156" s="3">
        <f>YEAR(Tabla3[[#This Row],[Date]])</f>
        <v>2020</v>
      </c>
      <c r="C1156" s="1" t="str">
        <f>+TEXT(Tabla3[[#This Row],[Date]],"mmm")</f>
        <v>sept</v>
      </c>
      <c r="D1156" s="2">
        <v>1954.19995117187</v>
      </c>
      <c r="E1156" s="2">
        <v>1954.19995117187</v>
      </c>
      <c r="F1156" s="2">
        <v>1962.69995117187</v>
      </c>
      <c r="G1156" s="2">
        <v>1944.09997558593</v>
      </c>
      <c r="H1156" s="2">
        <v>1944.09997558593</v>
      </c>
      <c r="I1156">
        <v>722</v>
      </c>
      <c r="J1156" s="2">
        <f ca="1">IFERROR((Tabla3[[#This Row],[Close]]-OFFSET(Tabla3[[#This Row],[Close]],-1,0))/OFFSET(Tabla3[[#This Row],[Close]],-1,0),"")</f>
        <v>4.8850723703033625E-3</v>
      </c>
      <c r="K1156" s="2">
        <f ca="1">IFERROR(AVERAGE(OFFSET(Tabla3[[#This Row],[Close]],-6,0,7)),"")</f>
        <v>1940.8571254185226</v>
      </c>
      <c r="L1156" s="2">
        <f ca="1">IFERROR(_xlfn.STDEV.S(OFFSET(Tabla3[[#This Row],[Close]],-29,0,30)),"")</f>
        <v>35.682906030998453</v>
      </c>
    </row>
    <row r="1157" spans="1:12" x14ac:dyDescent="0.3">
      <c r="A1157" s="1">
        <v>44085</v>
      </c>
      <c r="B1157" s="3">
        <f>YEAR(Tabla3[[#This Row],[Date]])</f>
        <v>2020</v>
      </c>
      <c r="C1157" s="1" t="str">
        <f>+TEXT(Tabla3[[#This Row],[Date]],"mmm")</f>
        <v>sept</v>
      </c>
      <c r="D1157" s="2">
        <v>1937.80004882812</v>
      </c>
      <c r="E1157" s="2">
        <v>1937.80004882812</v>
      </c>
      <c r="F1157" s="2">
        <v>1949.5</v>
      </c>
      <c r="G1157" s="2">
        <v>1937.80004882812</v>
      </c>
      <c r="H1157" s="2">
        <v>1944</v>
      </c>
      <c r="I1157">
        <v>73</v>
      </c>
      <c r="J1157" s="2">
        <f ca="1">IFERROR((Tabla3[[#This Row],[Close]]-OFFSET(Tabla3[[#This Row],[Close]],-1,0))/OFFSET(Tabla3[[#This Row],[Close]],-1,0),"")</f>
        <v>-8.3921311808013883E-3</v>
      </c>
      <c r="K1157" s="2">
        <f ca="1">IFERROR(AVERAGE(OFFSET(Tabla3[[#This Row],[Close]],-6,0,7)),"")</f>
        <v>1936.5142822265584</v>
      </c>
      <c r="L1157" s="2">
        <f ca="1">IFERROR(_xlfn.STDEV.S(OFFSET(Tabla3[[#This Row],[Close]],-29,0,30)),"")</f>
        <v>35.766642223164318</v>
      </c>
    </row>
    <row r="1158" spans="1:12" x14ac:dyDescent="0.3">
      <c r="A1158" s="1">
        <v>44088</v>
      </c>
      <c r="B1158" s="3">
        <f>YEAR(Tabla3[[#This Row],[Date]])</f>
        <v>2020</v>
      </c>
      <c r="C1158" s="1" t="str">
        <f>+TEXT(Tabla3[[#This Row],[Date]],"mmm")</f>
        <v>sept</v>
      </c>
      <c r="D1158" s="2">
        <v>1953.09997558593</v>
      </c>
      <c r="E1158" s="2">
        <v>1953.09997558593</v>
      </c>
      <c r="F1158" s="2">
        <v>1953.09997558593</v>
      </c>
      <c r="G1158" s="2">
        <v>1943</v>
      </c>
      <c r="H1158" s="2">
        <v>1946.30004882812</v>
      </c>
      <c r="I1158">
        <v>55</v>
      </c>
      <c r="J1158" s="2">
        <f ca="1">IFERROR((Tabla3[[#This Row],[Close]]-OFFSET(Tabla3[[#This Row],[Close]],-1,0))/OFFSET(Tabla3[[#This Row],[Close]],-1,0),"")</f>
        <v>7.8955136610005736E-3</v>
      </c>
      <c r="K1158" s="2">
        <f ca="1">IFERROR(AVERAGE(OFFSET(Tabla3[[#This Row],[Close]],-6,0,7)),"")</f>
        <v>1939.1857038225401</v>
      </c>
      <c r="L1158" s="2">
        <f ca="1">IFERROR(_xlfn.STDEV.S(OFFSET(Tabla3[[#This Row],[Close]],-29,0,30)),"")</f>
        <v>35.777317148544412</v>
      </c>
    </row>
    <row r="1159" spans="1:12" x14ac:dyDescent="0.3">
      <c r="A1159" s="1">
        <v>44089</v>
      </c>
      <c r="B1159" s="3">
        <f>YEAR(Tabla3[[#This Row],[Date]])</f>
        <v>2020</v>
      </c>
      <c r="C1159" s="1" t="str">
        <f>+TEXT(Tabla3[[#This Row],[Date]],"mmm")</f>
        <v>sept</v>
      </c>
      <c r="D1159" s="2">
        <v>1956.30004882812</v>
      </c>
      <c r="E1159" s="2">
        <v>1956.30004882812</v>
      </c>
      <c r="F1159" s="2">
        <v>1968.5</v>
      </c>
      <c r="G1159" s="2">
        <v>1955.80004882812</v>
      </c>
      <c r="H1159" s="2">
        <v>1955.80004882812</v>
      </c>
      <c r="I1159">
        <v>74</v>
      </c>
      <c r="J1159" s="2">
        <f ca="1">IFERROR((Tabla3[[#This Row],[Close]]-OFFSET(Tabla3[[#This Row],[Close]],-1,0))/OFFSET(Tabla3[[#This Row],[Close]],-1,0),"")</f>
        <v>1.6384584927507252E-3</v>
      </c>
      <c r="K1159" s="2">
        <f ca="1">IFERROR(AVERAGE(OFFSET(Tabla3[[#This Row],[Close]],-6,0,7)),"")</f>
        <v>1943.2857142857099</v>
      </c>
      <c r="L1159" s="2">
        <f ca="1">IFERROR(_xlfn.STDEV.S(OFFSET(Tabla3[[#This Row],[Close]],-29,0,30)),"")</f>
        <v>35.755043757277164</v>
      </c>
    </row>
    <row r="1160" spans="1:12" x14ac:dyDescent="0.3">
      <c r="A1160" s="1">
        <v>44090</v>
      </c>
      <c r="B1160" s="3">
        <f>YEAR(Tabla3[[#This Row],[Date]])</f>
        <v>2020</v>
      </c>
      <c r="C1160" s="1" t="str">
        <f>+TEXT(Tabla3[[#This Row],[Date]],"mmm")</f>
        <v>sept</v>
      </c>
      <c r="D1160" s="2">
        <v>1960.19995117187</v>
      </c>
      <c r="E1160" s="2">
        <v>1960.19995117187</v>
      </c>
      <c r="F1160" s="2">
        <v>1961.40002441406</v>
      </c>
      <c r="G1160" s="2">
        <v>1956.69995117187</v>
      </c>
      <c r="H1160" s="2">
        <v>1961.30004882812</v>
      </c>
      <c r="I1160">
        <v>124</v>
      </c>
      <c r="J1160" s="2">
        <f ca="1">IFERROR((Tabla3[[#This Row],[Close]]-OFFSET(Tabla3[[#This Row],[Close]],-1,0))/OFFSET(Tabla3[[#This Row],[Close]],-1,0),"")</f>
        <v>1.9935093014418486E-3</v>
      </c>
      <c r="K1160" s="2">
        <f ca="1">IFERROR(AVERAGE(OFFSET(Tabla3[[#This Row],[Close]],-6,0,7)),"")</f>
        <v>1948.4714181082543</v>
      </c>
      <c r="L1160" s="2">
        <f ca="1">IFERROR(_xlfn.STDEV.S(OFFSET(Tabla3[[#This Row],[Close]],-29,0,30)),"")</f>
        <v>34.842793746076744</v>
      </c>
    </row>
    <row r="1161" spans="1:12" x14ac:dyDescent="0.3">
      <c r="A1161" s="1">
        <v>44091</v>
      </c>
      <c r="B1161" s="3">
        <f>YEAR(Tabla3[[#This Row],[Date]])</f>
        <v>2020</v>
      </c>
      <c r="C1161" s="1" t="str">
        <f>+TEXT(Tabla3[[#This Row],[Date]],"mmm")</f>
        <v>sept</v>
      </c>
      <c r="D1161" s="2">
        <v>1940</v>
      </c>
      <c r="E1161" s="2">
        <v>1940</v>
      </c>
      <c r="F1161" s="2">
        <v>1946</v>
      </c>
      <c r="G1161" s="2">
        <v>1933.69995117187</v>
      </c>
      <c r="H1161" s="2">
        <v>1939</v>
      </c>
      <c r="I1161">
        <v>67</v>
      </c>
      <c r="J1161" s="2">
        <f ca="1">IFERROR((Tabla3[[#This Row],[Close]]-OFFSET(Tabla3[[#This Row],[Close]],-1,0))/OFFSET(Tabla3[[#This Row],[Close]],-1,0),"")</f>
        <v>-1.0305046258058431E-2</v>
      </c>
      <c r="K1161" s="2">
        <f ca="1">IFERROR(AVERAGE(OFFSET(Tabla3[[#This Row],[Close]],-6,0,7)),"")</f>
        <v>1949.4714181082543</v>
      </c>
      <c r="L1161" s="2">
        <f ca="1">IFERROR(_xlfn.STDEV.S(OFFSET(Tabla3[[#This Row],[Close]],-29,0,30)),"")</f>
        <v>32.040850890057307</v>
      </c>
    </row>
    <row r="1162" spans="1:12" x14ac:dyDescent="0.3">
      <c r="A1162" s="1">
        <v>44092</v>
      </c>
      <c r="B1162" s="3">
        <f>YEAR(Tabla3[[#This Row],[Date]])</f>
        <v>2020</v>
      </c>
      <c r="C1162" s="1" t="str">
        <f>+TEXT(Tabla3[[#This Row],[Date]],"mmm")</f>
        <v>sept</v>
      </c>
      <c r="D1162" s="2">
        <v>1952.09997558593</v>
      </c>
      <c r="E1162" s="2">
        <v>1952.09997558593</v>
      </c>
      <c r="F1162" s="2">
        <v>1952.09997558593</v>
      </c>
      <c r="G1162" s="2">
        <v>1949</v>
      </c>
      <c r="H1162" s="2">
        <v>1950.5</v>
      </c>
      <c r="I1162">
        <v>38</v>
      </c>
      <c r="J1162" s="2">
        <f ca="1">IFERROR((Tabla3[[#This Row],[Close]]-OFFSET(Tabla3[[#This Row],[Close]],-1,0))/OFFSET(Tabla3[[#This Row],[Close]],-1,0),"")</f>
        <v>6.2371008174896894E-3</v>
      </c>
      <c r="K1162" s="2">
        <f ca="1">IFERROR(AVERAGE(OFFSET(Tabla3[[#This Row],[Close]],-6,0,7)),"")</f>
        <v>1950.52856445312</v>
      </c>
      <c r="L1162" s="2">
        <f ca="1">IFERROR(_xlfn.STDEV.S(OFFSET(Tabla3[[#This Row],[Close]],-29,0,30)),"")</f>
        <v>26.248351765420171</v>
      </c>
    </row>
    <row r="1163" spans="1:12" x14ac:dyDescent="0.3">
      <c r="A1163" s="1">
        <v>44095</v>
      </c>
      <c r="B1163" s="3">
        <f>YEAR(Tabla3[[#This Row],[Date]])</f>
        <v>2020</v>
      </c>
      <c r="C1163" s="1" t="str">
        <f>+TEXT(Tabla3[[#This Row],[Date]],"mmm")</f>
        <v>sept</v>
      </c>
      <c r="D1163" s="2">
        <v>1901.19995117187</v>
      </c>
      <c r="E1163" s="2">
        <v>1901.19995117187</v>
      </c>
      <c r="F1163" s="2">
        <v>1946.19995117187</v>
      </c>
      <c r="G1163" s="2">
        <v>1883.40002441406</v>
      </c>
      <c r="H1163" s="2">
        <v>1946.19995117187</v>
      </c>
      <c r="I1163">
        <v>52</v>
      </c>
      <c r="J1163" s="2">
        <f ca="1">IFERROR((Tabla3[[#This Row],[Close]]-OFFSET(Tabla3[[#This Row],[Close]],-1,0))/OFFSET(Tabla3[[#This Row],[Close]],-1,0),"")</f>
        <v>-2.6074496721809635E-2</v>
      </c>
      <c r="K1163" s="2">
        <f ca="1">IFERROR(AVERAGE(OFFSET(Tabla3[[#This Row],[Close]],-6,0,7)),"")</f>
        <v>1942.9571358816913</v>
      </c>
      <c r="L1163" s="2">
        <f ca="1">IFERROR(_xlfn.STDEV.S(OFFSET(Tabla3[[#This Row],[Close]],-29,0,30)),"")</f>
        <v>25.290228166769555</v>
      </c>
    </row>
    <row r="1164" spans="1:12" x14ac:dyDescent="0.3">
      <c r="A1164" s="1">
        <v>44096</v>
      </c>
      <c r="B1164" s="3">
        <f>YEAR(Tabla3[[#This Row],[Date]])</f>
        <v>2020</v>
      </c>
      <c r="C1164" s="1" t="str">
        <f>+TEXT(Tabla3[[#This Row],[Date]],"mmm")</f>
        <v>sept</v>
      </c>
      <c r="D1164" s="2">
        <v>1898.59997558593</v>
      </c>
      <c r="E1164" s="2">
        <v>1898.59997558593</v>
      </c>
      <c r="F1164" s="2">
        <v>1913.09997558593</v>
      </c>
      <c r="G1164" s="2">
        <v>1898.59997558593</v>
      </c>
      <c r="H1164" s="2">
        <v>1913.09997558593</v>
      </c>
      <c r="I1164">
        <v>331</v>
      </c>
      <c r="J1164" s="2">
        <f ca="1">IFERROR((Tabla3[[#This Row],[Close]]-OFFSET(Tabla3[[#This Row],[Close]],-1,0))/OFFSET(Tabla3[[#This Row],[Close]],-1,0),"")</f>
        <v>-1.367544525938693E-3</v>
      </c>
      <c r="K1164" s="2">
        <f ca="1">IFERROR(AVERAGE(OFFSET(Tabla3[[#This Row],[Close]],-6,0,7)),"")</f>
        <v>1937.3571254185213</v>
      </c>
      <c r="L1164" s="2">
        <f ca="1">IFERROR(_xlfn.STDEV.S(OFFSET(Tabla3[[#This Row],[Close]],-29,0,30)),"")</f>
        <v>22.312794988558711</v>
      </c>
    </row>
    <row r="1165" spans="1:12" x14ac:dyDescent="0.3">
      <c r="A1165" s="1">
        <v>44097</v>
      </c>
      <c r="B1165" s="3">
        <f>YEAR(Tabla3[[#This Row],[Date]])</f>
        <v>2020</v>
      </c>
      <c r="C1165" s="1" t="str">
        <f>+TEXT(Tabla3[[#This Row],[Date]],"mmm")</f>
        <v>sept</v>
      </c>
      <c r="D1165" s="2">
        <v>1859.90002441406</v>
      </c>
      <c r="E1165" s="2">
        <v>1859.90002441406</v>
      </c>
      <c r="F1165" s="2">
        <v>1875.5</v>
      </c>
      <c r="G1165" s="2">
        <v>1859.90002441406</v>
      </c>
      <c r="H1165" s="2">
        <v>1875.5</v>
      </c>
      <c r="I1165">
        <v>5</v>
      </c>
      <c r="J1165" s="2">
        <f ca="1">IFERROR((Tabla3[[#This Row],[Close]]-OFFSET(Tabla3[[#This Row],[Close]],-1,0))/OFFSET(Tabla3[[#This Row],[Close]],-1,0),"")</f>
        <v>-2.038341497393454E-2</v>
      </c>
      <c r="K1165" s="2">
        <f ca="1">IFERROR(AVERAGE(OFFSET(Tabla3[[#This Row],[Close]],-6,0,7)),"")</f>
        <v>1924.0428466796832</v>
      </c>
      <c r="L1165" s="2">
        <f ca="1">IFERROR(_xlfn.STDEV.S(OFFSET(Tabla3[[#This Row],[Close]],-29,0,30)),"")</f>
        <v>26.953935593676633</v>
      </c>
    </row>
    <row r="1166" spans="1:12" x14ac:dyDescent="0.3">
      <c r="A1166" s="1">
        <v>44098</v>
      </c>
      <c r="B1166" s="3">
        <f>YEAR(Tabla3[[#This Row],[Date]])</f>
        <v>2020</v>
      </c>
      <c r="C1166" s="1" t="str">
        <f>+TEXT(Tabla3[[#This Row],[Date]],"mmm")</f>
        <v>sept</v>
      </c>
      <c r="D1166" s="2">
        <v>1868.30004882812</v>
      </c>
      <c r="E1166" s="2">
        <v>1868.30004882812</v>
      </c>
      <c r="F1166" s="2">
        <v>1868.30004882812</v>
      </c>
      <c r="G1166" s="2">
        <v>1851.5</v>
      </c>
      <c r="H1166" s="2">
        <v>1851.5</v>
      </c>
      <c r="I1166">
        <v>365</v>
      </c>
      <c r="J1166" s="2">
        <f ca="1">IFERROR((Tabla3[[#This Row],[Close]]-OFFSET(Tabla3[[#This Row],[Close]],-1,0))/OFFSET(Tabla3[[#This Row],[Close]],-1,0),"")</f>
        <v>4.5163849152087248E-3</v>
      </c>
      <c r="K1166" s="2">
        <f ca="1">IFERROR(AVERAGE(OFFSET(Tabla3[[#This Row],[Close]],-6,0,7)),"")</f>
        <v>1911.4714181082543</v>
      </c>
      <c r="L1166" s="2">
        <f ca="1">IFERROR(_xlfn.STDEV.S(OFFSET(Tabla3[[#This Row],[Close]],-29,0,30)),"")</f>
        <v>30.012432246132793</v>
      </c>
    </row>
    <row r="1167" spans="1:12" x14ac:dyDescent="0.3">
      <c r="A1167" s="1">
        <v>44099</v>
      </c>
      <c r="B1167" s="3">
        <f>YEAR(Tabla3[[#This Row],[Date]])</f>
        <v>2020</v>
      </c>
      <c r="C1167" s="1" t="str">
        <f>+TEXT(Tabla3[[#This Row],[Date]],"mmm")</f>
        <v>sept</v>
      </c>
      <c r="D1167" s="2">
        <v>1857.69995117187</v>
      </c>
      <c r="E1167" s="2">
        <v>1857.69995117187</v>
      </c>
      <c r="F1167" s="2">
        <v>1857.69995117187</v>
      </c>
      <c r="G1167" s="2">
        <v>1856.30004882812</v>
      </c>
      <c r="H1167" s="2">
        <v>1856.30004882812</v>
      </c>
      <c r="I1167">
        <v>4</v>
      </c>
      <c r="J1167" s="2">
        <f ca="1">IFERROR((Tabla3[[#This Row],[Close]]-OFFSET(Tabla3[[#This Row],[Close]],-1,0))/OFFSET(Tabla3[[#This Row],[Close]],-1,0),"")</f>
        <v>-5.6736591442572877E-3</v>
      </c>
      <c r="K1167" s="2">
        <f ca="1">IFERROR(AVERAGE(OFFSET(Tabla3[[#This Row],[Close]],-6,0,7)),"")</f>
        <v>1896.8285609653972</v>
      </c>
      <c r="L1167" s="2">
        <f ca="1">IFERROR(_xlfn.STDEV.S(OFFSET(Tabla3[[#This Row],[Close]],-29,0,30)),"")</f>
        <v>33.206337328737732</v>
      </c>
    </row>
    <row r="1168" spans="1:12" x14ac:dyDescent="0.3">
      <c r="A1168" s="1">
        <v>44102</v>
      </c>
      <c r="B1168" s="3">
        <f>YEAR(Tabla3[[#This Row],[Date]])</f>
        <v>2020</v>
      </c>
      <c r="C1168" s="1" t="str">
        <f>+TEXT(Tabla3[[#This Row],[Date]],"mmm")</f>
        <v>sept</v>
      </c>
      <c r="D1168" s="2">
        <v>1872.80004882812</v>
      </c>
      <c r="E1168" s="2">
        <v>1872.80004882812</v>
      </c>
      <c r="F1168" s="2">
        <v>1872.80004882812</v>
      </c>
      <c r="G1168" s="2">
        <v>1872.80004882812</v>
      </c>
      <c r="H1168" s="2">
        <v>1872.80004882812</v>
      </c>
      <c r="I1168">
        <v>10455</v>
      </c>
      <c r="J1168" s="2">
        <f ca="1">IFERROR((Tabla3[[#This Row],[Close]]-OFFSET(Tabla3[[#This Row],[Close]],-1,0))/OFFSET(Tabla3[[#This Row],[Close]],-1,0),"")</f>
        <v>8.1283835135618054E-3</v>
      </c>
      <c r="K1168" s="2">
        <f ca="1">IFERROR(AVERAGE(OFFSET(Tabla3[[#This Row],[Close]],-6,0,7)),"")</f>
        <v>1887.2285679408428</v>
      </c>
      <c r="L1168" s="2">
        <f ca="1">IFERROR(_xlfn.STDEV.S(OFFSET(Tabla3[[#This Row],[Close]],-29,0,30)),"")</f>
        <v>35.096146361656714</v>
      </c>
    </row>
    <row r="1169" spans="1:12" x14ac:dyDescent="0.3">
      <c r="A1169" s="1">
        <v>44103</v>
      </c>
      <c r="B1169" s="3">
        <f>YEAR(Tabla3[[#This Row],[Date]])</f>
        <v>2020</v>
      </c>
      <c r="C1169" s="1" t="str">
        <f>+TEXT(Tabla3[[#This Row],[Date]],"mmm")</f>
        <v>sept</v>
      </c>
      <c r="D1169" s="2">
        <v>1894.30004882812</v>
      </c>
      <c r="E1169" s="2">
        <v>1894.30004882812</v>
      </c>
      <c r="F1169" s="2">
        <v>1895.40002441406</v>
      </c>
      <c r="G1169" s="2">
        <v>1872.40002441406</v>
      </c>
      <c r="H1169" s="2">
        <v>1876.5</v>
      </c>
      <c r="I1169">
        <v>3283</v>
      </c>
      <c r="J1169" s="2">
        <f ca="1">IFERROR((Tabla3[[#This Row],[Close]]-OFFSET(Tabla3[[#This Row],[Close]],-1,0))/OFFSET(Tabla3[[#This Row],[Close]],-1,0),"")</f>
        <v>1.1480136394407583E-2</v>
      </c>
      <c r="K1169" s="2">
        <f ca="1">IFERROR(AVERAGE(OFFSET(Tabla3[[#This Row],[Close]],-6,0,7)),"")</f>
        <v>1878.9714355468698</v>
      </c>
      <c r="L1169" s="2">
        <f ca="1">IFERROR(_xlfn.STDEV.S(OFFSET(Tabla3[[#This Row],[Close]],-29,0,30)),"")</f>
        <v>34.359604674576964</v>
      </c>
    </row>
    <row r="1170" spans="1:12" x14ac:dyDescent="0.3">
      <c r="A1170" s="1">
        <v>44104</v>
      </c>
      <c r="B1170" s="3">
        <f>YEAR(Tabla3[[#This Row],[Date]])</f>
        <v>2020</v>
      </c>
      <c r="C1170" s="1" t="str">
        <f>+TEXT(Tabla3[[#This Row],[Date]],"mmm")</f>
        <v>sept</v>
      </c>
      <c r="D1170" s="2">
        <v>1887.5</v>
      </c>
      <c r="E1170" s="2">
        <v>1887.5</v>
      </c>
      <c r="F1170" s="2">
        <v>1899.69995117187</v>
      </c>
      <c r="G1170" s="2">
        <v>1879.80004882812</v>
      </c>
      <c r="H1170" s="2">
        <v>1893</v>
      </c>
      <c r="I1170">
        <v>600</v>
      </c>
      <c r="J1170" s="2">
        <f ca="1">IFERROR((Tabla3[[#This Row],[Close]]-OFFSET(Tabla3[[#This Row],[Close]],-1,0))/OFFSET(Tabla3[[#This Row],[Close]],-1,0),"")</f>
        <v>-3.5897422017841076E-3</v>
      </c>
      <c r="K1170" s="2">
        <f ca="1">IFERROR(AVERAGE(OFFSET(Tabla3[[#This Row],[Close]],-6,0,7)),"")</f>
        <v>1877.0142996651741</v>
      </c>
      <c r="L1170" s="2">
        <f ca="1">IFERROR(_xlfn.STDEV.S(OFFSET(Tabla3[[#This Row],[Close]],-29,0,30)),"")</f>
        <v>32.589630537534099</v>
      </c>
    </row>
    <row r="1171" spans="1:12" x14ac:dyDescent="0.3">
      <c r="A1171" s="1">
        <v>44105</v>
      </c>
      <c r="B1171" s="3">
        <f>YEAR(Tabla3[[#This Row],[Date]])</f>
        <v>2020</v>
      </c>
      <c r="C1171" s="1" t="str">
        <f>+TEXT(Tabla3[[#This Row],[Date]],"mmm")</f>
        <v>oct</v>
      </c>
      <c r="D1171" s="2">
        <v>1908.40002441406</v>
      </c>
      <c r="E1171" s="2">
        <v>1908.40002441406</v>
      </c>
      <c r="F1171" s="2">
        <v>1909.59997558593</v>
      </c>
      <c r="G1171" s="2">
        <v>1882.5</v>
      </c>
      <c r="H1171" s="2">
        <v>1884.09997558593</v>
      </c>
      <c r="I1171">
        <v>730</v>
      </c>
      <c r="J1171" s="2">
        <f ca="1">IFERROR((Tabla3[[#This Row],[Close]]-OFFSET(Tabla3[[#This Row],[Close]],-1,0))/OFFSET(Tabla3[[#This Row],[Close]],-1,0),"")</f>
        <v>1.1072860616720529E-2</v>
      </c>
      <c r="K1171" s="2">
        <f ca="1">IFERROR(AVERAGE(OFFSET(Tabla3[[#This Row],[Close]],-6,0,7)),"")</f>
        <v>1878.4143066406214</v>
      </c>
      <c r="L1171" s="2">
        <f ca="1">IFERROR(_xlfn.STDEV.S(OFFSET(Tabla3[[#This Row],[Close]],-29,0,30)),"")</f>
        <v>32.152497631499585</v>
      </c>
    </row>
    <row r="1172" spans="1:12" x14ac:dyDescent="0.3">
      <c r="A1172" s="1">
        <v>44106</v>
      </c>
      <c r="B1172" s="3">
        <f>YEAR(Tabla3[[#This Row],[Date]])</f>
        <v>2020</v>
      </c>
      <c r="C1172" s="1" t="str">
        <f>+TEXT(Tabla3[[#This Row],[Date]],"mmm")</f>
        <v>oct</v>
      </c>
      <c r="D1172" s="2">
        <v>1900.19995117187</v>
      </c>
      <c r="E1172" s="2">
        <v>1900.19995117187</v>
      </c>
      <c r="F1172" s="2">
        <v>1913</v>
      </c>
      <c r="G1172" s="2">
        <v>1893.90002441406</v>
      </c>
      <c r="H1172" s="2">
        <v>1893.90002441406</v>
      </c>
      <c r="I1172">
        <v>530</v>
      </c>
      <c r="J1172" s="2">
        <f ca="1">IFERROR((Tabla3[[#This Row],[Close]]-OFFSET(Tabla3[[#This Row],[Close]],-1,0))/OFFSET(Tabla3[[#This Row],[Close]],-1,0),"")</f>
        <v>-4.2968314490080175E-3</v>
      </c>
      <c r="K1172" s="2">
        <f ca="1">IFERROR(AVERAGE(OFFSET(Tabla3[[#This Row],[Close]],-6,0,7)),"")</f>
        <v>1884.1714390345944</v>
      </c>
      <c r="L1172" s="2">
        <f ca="1">IFERROR(_xlfn.STDEV.S(OFFSET(Tabla3[[#This Row],[Close]],-29,0,30)),"")</f>
        <v>32.403524149946158</v>
      </c>
    </row>
    <row r="1173" spans="1:12" x14ac:dyDescent="0.3">
      <c r="A1173" s="1">
        <v>44109</v>
      </c>
      <c r="B1173" s="3">
        <f>YEAR(Tabla3[[#This Row],[Date]])</f>
        <v>2020</v>
      </c>
      <c r="C1173" s="1" t="str">
        <f>+TEXT(Tabla3[[#This Row],[Date]],"mmm")</f>
        <v>oct</v>
      </c>
      <c r="D1173" s="2">
        <v>1912.5</v>
      </c>
      <c r="E1173" s="2">
        <v>1912.5</v>
      </c>
      <c r="F1173" s="2">
        <v>1915.59997558593</v>
      </c>
      <c r="G1173" s="2">
        <v>1884.69995117187</v>
      </c>
      <c r="H1173" s="2">
        <v>1898.90002441406</v>
      </c>
      <c r="I1173">
        <v>1360</v>
      </c>
      <c r="J1173" s="2">
        <f ca="1">IFERROR((Tabla3[[#This Row],[Close]]-OFFSET(Tabla3[[#This Row],[Close]],-1,0))/OFFSET(Tabla3[[#This Row],[Close]],-1,0),"")</f>
        <v>6.4730287044499997E-3</v>
      </c>
      <c r="K1173" s="2">
        <f ca="1">IFERROR(AVERAGE(OFFSET(Tabla3[[#This Row],[Close]],-6,0,7)),"")</f>
        <v>1890.4857177734343</v>
      </c>
      <c r="L1173" s="2">
        <f ca="1">IFERROR(_xlfn.STDEV.S(OFFSET(Tabla3[[#This Row],[Close]],-29,0,30)),"")</f>
        <v>32.392115986426354</v>
      </c>
    </row>
    <row r="1174" spans="1:12" x14ac:dyDescent="0.3">
      <c r="A1174" s="1">
        <v>44110</v>
      </c>
      <c r="B1174" s="3">
        <f>YEAR(Tabla3[[#This Row],[Date]])</f>
        <v>2020</v>
      </c>
      <c r="C1174" s="1" t="str">
        <f>+TEXT(Tabla3[[#This Row],[Date]],"mmm")</f>
        <v>oct</v>
      </c>
      <c r="D1174" s="2">
        <v>1901.09997558593</v>
      </c>
      <c r="E1174" s="2">
        <v>1901.09997558593</v>
      </c>
      <c r="F1174" s="2">
        <v>1918</v>
      </c>
      <c r="G1174" s="2">
        <v>1874.40002441406</v>
      </c>
      <c r="H1174" s="2">
        <v>1906.59997558593</v>
      </c>
      <c r="I1174">
        <v>968</v>
      </c>
      <c r="J1174" s="2">
        <f ca="1">IFERROR((Tabla3[[#This Row],[Close]]-OFFSET(Tabla3[[#This Row],[Close]],-1,0))/OFFSET(Tabla3[[#This Row],[Close]],-1,0),"")</f>
        <v>-5.9607970792522891E-3</v>
      </c>
      <c r="K1174" s="2">
        <f ca="1">IFERROR(AVERAGE(OFFSET(Tabla3[[#This Row],[Close]],-6,0,7)),"")</f>
        <v>1896.6857212611571</v>
      </c>
      <c r="L1174" s="2">
        <f ca="1">IFERROR(_xlfn.STDEV.S(OFFSET(Tabla3[[#This Row],[Close]],-29,0,30)),"")</f>
        <v>32.613739803094298</v>
      </c>
    </row>
    <row r="1175" spans="1:12" x14ac:dyDescent="0.3">
      <c r="A1175" s="1">
        <v>44111</v>
      </c>
      <c r="B1175" s="3">
        <f>YEAR(Tabla3[[#This Row],[Date]])</f>
        <v>2020</v>
      </c>
      <c r="C1175" s="1" t="str">
        <f>+TEXT(Tabla3[[#This Row],[Date]],"mmm")</f>
        <v>oct</v>
      </c>
      <c r="D1175" s="2">
        <v>1883.59997558593</v>
      </c>
      <c r="E1175" s="2">
        <v>1883.59997558593</v>
      </c>
      <c r="F1175" s="2">
        <v>1889.80004882812</v>
      </c>
      <c r="G1175" s="2">
        <v>1873.09997558593</v>
      </c>
      <c r="H1175" s="2">
        <v>1874.09997558593</v>
      </c>
      <c r="I1175">
        <v>50</v>
      </c>
      <c r="J1175" s="2">
        <f ca="1">IFERROR((Tabla3[[#This Row],[Close]]-OFFSET(Tabla3[[#This Row],[Close]],-1,0))/OFFSET(Tabla3[[#This Row],[Close]],-1,0),"")</f>
        <v>-9.2051971094294499E-3</v>
      </c>
      <c r="K1175" s="2">
        <f ca="1">IFERROR(AVERAGE(OFFSET(Tabla3[[#This Row],[Close]],-6,0,7)),"")</f>
        <v>1898.2285679408444</v>
      </c>
      <c r="L1175" s="2">
        <f ca="1">IFERROR(_xlfn.STDEV.S(OFFSET(Tabla3[[#This Row],[Close]],-29,0,30)),"")</f>
        <v>33.311136707046344</v>
      </c>
    </row>
    <row r="1176" spans="1:12" x14ac:dyDescent="0.3">
      <c r="A1176" s="1">
        <v>44112</v>
      </c>
      <c r="B1176" s="3">
        <f>YEAR(Tabla3[[#This Row],[Date]])</f>
        <v>2020</v>
      </c>
      <c r="C1176" s="1" t="str">
        <f>+TEXT(Tabla3[[#This Row],[Date]],"mmm")</f>
        <v>oct</v>
      </c>
      <c r="D1176" s="2">
        <v>1888.59997558593</v>
      </c>
      <c r="E1176" s="2">
        <v>1888.59997558593</v>
      </c>
      <c r="F1176" s="2">
        <v>1893</v>
      </c>
      <c r="G1176" s="2">
        <v>1882.69995117187</v>
      </c>
      <c r="H1176" s="2">
        <v>1893</v>
      </c>
      <c r="I1176">
        <v>348</v>
      </c>
      <c r="J1176" s="2">
        <f ca="1">IFERROR((Tabla3[[#This Row],[Close]]-OFFSET(Tabla3[[#This Row],[Close]],-1,0))/OFFSET(Tabla3[[#This Row],[Close]],-1,0),"")</f>
        <v>2.6544914338537586E-3</v>
      </c>
      <c r="K1176" s="2">
        <f ca="1">IFERROR(AVERAGE(OFFSET(Tabla3[[#This Row],[Close]],-6,0,7)),"")</f>
        <v>1897.4142717633888</v>
      </c>
      <c r="L1176" s="2">
        <f ca="1">IFERROR(_xlfn.STDEV.S(OFFSET(Tabla3[[#This Row],[Close]],-29,0,30)),"")</f>
        <v>33.598526940021472</v>
      </c>
    </row>
    <row r="1177" spans="1:12" x14ac:dyDescent="0.3">
      <c r="A1177" s="1">
        <v>44113</v>
      </c>
      <c r="B1177" s="3">
        <f>YEAR(Tabla3[[#This Row],[Date]])</f>
        <v>2020</v>
      </c>
      <c r="C1177" s="1" t="str">
        <f>+TEXT(Tabla3[[#This Row],[Date]],"mmm")</f>
        <v>oct</v>
      </c>
      <c r="D1177" s="2">
        <v>1919.5</v>
      </c>
      <c r="E1177" s="2">
        <v>1919.5</v>
      </c>
      <c r="F1177" s="2">
        <v>1929.09997558593</v>
      </c>
      <c r="G1177" s="2">
        <v>1905.09997558593</v>
      </c>
      <c r="H1177" s="2">
        <v>1909.30004882812</v>
      </c>
      <c r="I1177">
        <v>580</v>
      </c>
      <c r="J1177" s="2">
        <f ca="1">IFERROR((Tabla3[[#This Row],[Close]]-OFFSET(Tabla3[[#This Row],[Close]],-1,0))/OFFSET(Tabla3[[#This Row],[Close]],-1,0),"")</f>
        <v>1.6361338988413045E-2</v>
      </c>
      <c r="K1177" s="2">
        <f ca="1">IFERROR(AVERAGE(OFFSET(Tabla3[[#This Row],[Close]],-6,0,7)),"")</f>
        <v>1901.9857003348172</v>
      </c>
      <c r="L1177" s="2">
        <f ca="1">IFERROR(_xlfn.STDEV.S(OFFSET(Tabla3[[#This Row],[Close]],-29,0,30)),"")</f>
        <v>33.595398111236591</v>
      </c>
    </row>
    <row r="1178" spans="1:12" x14ac:dyDescent="0.3">
      <c r="A1178" s="1">
        <v>44116</v>
      </c>
      <c r="B1178" s="3">
        <f>YEAR(Tabla3[[#This Row],[Date]])</f>
        <v>2020</v>
      </c>
      <c r="C1178" s="1" t="str">
        <f>+TEXT(Tabla3[[#This Row],[Date]],"mmm")</f>
        <v>oct</v>
      </c>
      <c r="D1178" s="2">
        <v>1922.5</v>
      </c>
      <c r="E1178" s="2">
        <v>1922.5</v>
      </c>
      <c r="F1178" s="2">
        <v>1926.5</v>
      </c>
      <c r="G1178" s="2">
        <v>1921.59997558593</v>
      </c>
      <c r="H1178" s="2">
        <v>1924</v>
      </c>
      <c r="I1178">
        <v>96</v>
      </c>
      <c r="J1178" s="2">
        <f ca="1">IFERROR((Tabla3[[#This Row],[Close]]-OFFSET(Tabla3[[#This Row],[Close]],-1,0))/OFFSET(Tabla3[[#This Row],[Close]],-1,0),"")</f>
        <v>1.5629070070330815E-3</v>
      </c>
      <c r="K1178" s="2">
        <f ca="1">IFERROR(AVERAGE(OFFSET(Tabla3[[#This Row],[Close]],-6,0,7)),"")</f>
        <v>1903.99998256138</v>
      </c>
      <c r="L1178" s="2">
        <f ca="1">IFERROR(_xlfn.STDEV.S(OFFSET(Tabla3[[#This Row],[Close]],-29,0,30)),"")</f>
        <v>32.488733570773398</v>
      </c>
    </row>
    <row r="1179" spans="1:12" x14ac:dyDescent="0.3">
      <c r="A1179" s="1">
        <v>44117</v>
      </c>
      <c r="B1179" s="3">
        <f>YEAR(Tabla3[[#This Row],[Date]])</f>
        <v>2020</v>
      </c>
      <c r="C1179" s="1" t="str">
        <f>+TEXT(Tabla3[[#This Row],[Date]],"mmm")</f>
        <v>oct</v>
      </c>
      <c r="D1179" s="2">
        <v>1888.5</v>
      </c>
      <c r="E1179" s="2">
        <v>1888.5</v>
      </c>
      <c r="F1179" s="2">
        <v>1922.19995117187</v>
      </c>
      <c r="G1179" s="2">
        <v>1887</v>
      </c>
      <c r="H1179" s="2">
        <v>1921.90002441406</v>
      </c>
      <c r="I1179">
        <v>191</v>
      </c>
      <c r="J1179" s="2">
        <f ca="1">IFERROR((Tabla3[[#This Row],[Close]]-OFFSET(Tabla3[[#This Row],[Close]],-1,0))/OFFSET(Tabla3[[#This Row],[Close]],-1,0),"")</f>
        <v>-1.7685305591677504E-2</v>
      </c>
      <c r="K1179" s="2">
        <f ca="1">IFERROR(AVERAGE(OFFSET(Tabla3[[#This Row],[Close]],-6,0,7)),"")</f>
        <v>1902.3285609653988</v>
      </c>
      <c r="L1179" s="2">
        <f ca="1">IFERROR(_xlfn.STDEV.S(OFFSET(Tabla3[[#This Row],[Close]],-29,0,30)),"")</f>
        <v>31.49042529135772</v>
      </c>
    </row>
    <row r="1180" spans="1:12" x14ac:dyDescent="0.3">
      <c r="A1180" s="1">
        <v>44118</v>
      </c>
      <c r="B1180" s="3">
        <f>YEAR(Tabla3[[#This Row],[Date]])</f>
        <v>2020</v>
      </c>
      <c r="C1180" s="1" t="str">
        <f>+TEXT(Tabla3[[#This Row],[Date]],"mmm")</f>
        <v>oct</v>
      </c>
      <c r="D1180" s="2">
        <v>1901.30004882812</v>
      </c>
      <c r="E1180" s="2">
        <v>1901.30004882812</v>
      </c>
      <c r="F1180" s="2">
        <v>1910.80004882812</v>
      </c>
      <c r="G1180" s="2">
        <v>1882.5</v>
      </c>
      <c r="H1180" s="2">
        <v>1889.69995117187</v>
      </c>
      <c r="I1180">
        <v>33</v>
      </c>
      <c r="J1180" s="2">
        <f ca="1">IFERROR((Tabla3[[#This Row],[Close]]-OFFSET(Tabla3[[#This Row],[Close]],-1,0))/OFFSET(Tabla3[[#This Row],[Close]],-1,0),"")</f>
        <v>6.7778918867460935E-3</v>
      </c>
      <c r="K1180" s="2">
        <f ca="1">IFERROR(AVERAGE(OFFSET(Tabla3[[#This Row],[Close]],-6,0,7)),"")</f>
        <v>1900.7285679408444</v>
      </c>
      <c r="L1180" s="2">
        <f ca="1">IFERROR(_xlfn.STDEV.S(OFFSET(Tabla3[[#This Row],[Close]],-29,0,30)),"")</f>
        <v>29.924703318376189</v>
      </c>
    </row>
    <row r="1181" spans="1:12" x14ac:dyDescent="0.3">
      <c r="A1181" s="1">
        <v>44119</v>
      </c>
      <c r="B1181" s="3">
        <f>YEAR(Tabla3[[#This Row],[Date]])</f>
        <v>2020</v>
      </c>
      <c r="C1181" s="1" t="str">
        <f>+TEXT(Tabla3[[#This Row],[Date]],"mmm")</f>
        <v>oct</v>
      </c>
      <c r="D1181" s="2">
        <v>1903.19995117187</v>
      </c>
      <c r="E1181" s="2">
        <v>1903.19995117187</v>
      </c>
      <c r="F1181" s="2">
        <v>1906.30004882812</v>
      </c>
      <c r="G1181" s="2">
        <v>1889.59997558593</v>
      </c>
      <c r="H1181" s="2">
        <v>1897.30004882812</v>
      </c>
      <c r="I1181">
        <v>254</v>
      </c>
      <c r="J1181" s="2">
        <f ca="1">IFERROR((Tabla3[[#This Row],[Close]]-OFFSET(Tabla3[[#This Row],[Close]],-1,0))/OFFSET(Tabla3[[#This Row],[Close]],-1,0),"")</f>
        <v>9.9926486875178831E-4</v>
      </c>
      <c r="K1181" s="2">
        <f ca="1">IFERROR(AVERAGE(OFFSET(Tabla3[[#This Row],[Close]],-6,0,7)),"")</f>
        <v>1901.0285644531214</v>
      </c>
      <c r="L1181" s="2">
        <f ca="1">IFERROR(_xlfn.STDEV.S(OFFSET(Tabla3[[#This Row],[Close]],-29,0,30)),"")</f>
        <v>29.689127099072678</v>
      </c>
    </row>
    <row r="1182" spans="1:12" x14ac:dyDescent="0.3">
      <c r="A1182" s="1">
        <v>44120</v>
      </c>
      <c r="B1182" s="3">
        <f>YEAR(Tabla3[[#This Row],[Date]])</f>
        <v>2020</v>
      </c>
      <c r="C1182" s="1" t="str">
        <f>+TEXT(Tabla3[[#This Row],[Date]],"mmm")</f>
        <v>oct</v>
      </c>
      <c r="D1182" s="2">
        <v>1900.80004882812</v>
      </c>
      <c r="E1182" s="2">
        <v>1900.80004882812</v>
      </c>
      <c r="F1182" s="2">
        <v>1900.80004882812</v>
      </c>
      <c r="G1182" s="2">
        <v>1898.5</v>
      </c>
      <c r="H1182" s="2">
        <v>1898.5</v>
      </c>
      <c r="I1182">
        <v>53</v>
      </c>
      <c r="J1182" s="2">
        <f ca="1">IFERROR((Tabla3[[#This Row],[Close]]-OFFSET(Tabla3[[#This Row],[Close]],-1,0))/OFFSET(Tabla3[[#This Row],[Close]],-1,0),"")</f>
        <v>-1.2609827686640555E-3</v>
      </c>
      <c r="K1182" s="2">
        <f ca="1">IFERROR(AVERAGE(OFFSET(Tabla3[[#This Row],[Close]],-6,0,7)),"")</f>
        <v>1903.4857177734341</v>
      </c>
      <c r="L1182" s="2">
        <f ca="1">IFERROR(_xlfn.STDEV.S(OFFSET(Tabla3[[#This Row],[Close]],-29,0,30)),"")</f>
        <v>29.598928612844588</v>
      </c>
    </row>
    <row r="1183" spans="1:12" x14ac:dyDescent="0.3">
      <c r="A1183" s="1">
        <v>44123</v>
      </c>
      <c r="B1183" s="3">
        <f>YEAR(Tabla3[[#This Row],[Date]])</f>
        <v>2020</v>
      </c>
      <c r="C1183" s="1" t="str">
        <f>+TEXT(Tabla3[[#This Row],[Date]],"mmm")</f>
        <v>oct</v>
      </c>
      <c r="D1183" s="2">
        <v>1906.40002441406</v>
      </c>
      <c r="E1183" s="2">
        <v>1906.40002441406</v>
      </c>
      <c r="F1183" s="2">
        <v>1907.80004882812</v>
      </c>
      <c r="G1183" s="2">
        <v>1899.5</v>
      </c>
      <c r="H1183" s="2">
        <v>1907.30004882812</v>
      </c>
      <c r="I1183">
        <v>43</v>
      </c>
      <c r="J1183" s="2">
        <f ca="1">IFERROR((Tabla3[[#This Row],[Close]]-OFFSET(Tabla3[[#This Row],[Close]],-1,0))/OFFSET(Tabla3[[#This Row],[Close]],-1,0),"")</f>
        <v>2.946115026350349E-3</v>
      </c>
      <c r="K1183" s="2">
        <f ca="1">IFERROR(AVERAGE(OFFSET(Tabla3[[#This Row],[Close]],-6,0,7)),"")</f>
        <v>1906.0285818917384</v>
      </c>
      <c r="L1183" s="2">
        <f ca="1">IFERROR(_xlfn.STDEV.S(OFFSET(Tabla3[[#This Row],[Close]],-29,0,30)),"")</f>
        <v>29.505371458691148</v>
      </c>
    </row>
    <row r="1184" spans="1:12" x14ac:dyDescent="0.3">
      <c r="A1184" s="1">
        <v>44124</v>
      </c>
      <c r="B1184" s="3">
        <f>YEAR(Tabla3[[#This Row],[Date]])</f>
        <v>2020</v>
      </c>
      <c r="C1184" s="1" t="str">
        <f>+TEXT(Tabla3[[#This Row],[Date]],"mmm")</f>
        <v>oct</v>
      </c>
      <c r="D1184" s="2">
        <v>1910.40002441406</v>
      </c>
      <c r="E1184" s="2">
        <v>1910.40002441406</v>
      </c>
      <c r="F1184" s="2">
        <v>1910.40002441406</v>
      </c>
      <c r="G1184" s="2">
        <v>1896.09997558593</v>
      </c>
      <c r="H1184" s="2">
        <v>1901.30004882812</v>
      </c>
      <c r="I1184">
        <v>329</v>
      </c>
      <c r="J1184" s="2">
        <f ca="1">IFERROR((Tabla3[[#This Row],[Close]]-OFFSET(Tabla3[[#This Row],[Close]],-1,0))/OFFSET(Tabla3[[#This Row],[Close]],-1,0),"")</f>
        <v>2.0981955249551659E-3</v>
      </c>
      <c r="K1184" s="2">
        <f ca="1">IFERROR(AVERAGE(OFFSET(Tabla3[[#This Row],[Close]],-6,0,7)),"")</f>
        <v>1904.7285853794615</v>
      </c>
      <c r="L1184" s="2">
        <f ca="1">IFERROR(_xlfn.STDEV.S(OFFSET(Tabla3[[#This Row],[Close]],-29,0,30)),"")</f>
        <v>29.192040326915734</v>
      </c>
    </row>
    <row r="1185" spans="1:12" x14ac:dyDescent="0.3">
      <c r="A1185" s="1">
        <v>44125</v>
      </c>
      <c r="B1185" s="3">
        <f>YEAR(Tabla3[[#This Row],[Date]])</f>
        <v>2020</v>
      </c>
      <c r="C1185" s="1" t="str">
        <f>+TEXT(Tabla3[[#This Row],[Date]],"mmm")</f>
        <v>oct</v>
      </c>
      <c r="D1185" s="2">
        <v>1924.59997558593</v>
      </c>
      <c r="E1185" s="2">
        <v>1924.59997558593</v>
      </c>
      <c r="F1185" s="2">
        <v>1927.30004882812</v>
      </c>
      <c r="G1185" s="2">
        <v>1913.59997558593</v>
      </c>
      <c r="H1185" s="2">
        <v>1913.59997558593</v>
      </c>
      <c r="I1185">
        <v>1202</v>
      </c>
      <c r="J1185" s="2">
        <f ca="1">IFERROR((Tabla3[[#This Row],[Close]]-OFFSET(Tabla3[[#This Row],[Close]],-1,0))/OFFSET(Tabla3[[#This Row],[Close]],-1,0),"")</f>
        <v>7.4329726708547723E-3</v>
      </c>
      <c r="K1185" s="2">
        <f ca="1">IFERROR(AVERAGE(OFFSET(Tabla3[[#This Row],[Close]],-6,0,7)),"")</f>
        <v>1905.0285818917375</v>
      </c>
      <c r="L1185" s="2">
        <f ca="1">IFERROR(_xlfn.STDEV.S(OFFSET(Tabla3[[#This Row],[Close]],-29,0,30)),"")</f>
        <v>28.581115661568866</v>
      </c>
    </row>
    <row r="1186" spans="1:12" x14ac:dyDescent="0.3">
      <c r="A1186" s="1">
        <v>44126</v>
      </c>
      <c r="B1186" s="3">
        <f>YEAR(Tabla3[[#This Row],[Date]])</f>
        <v>2020</v>
      </c>
      <c r="C1186" s="1" t="str">
        <f>+TEXT(Tabla3[[#This Row],[Date]],"mmm")</f>
        <v>oct</v>
      </c>
      <c r="D1186" s="2">
        <v>1901.09997558593</v>
      </c>
      <c r="E1186" s="2">
        <v>1901.09997558593</v>
      </c>
      <c r="F1186" s="2">
        <v>1924.30004882812</v>
      </c>
      <c r="G1186" s="2">
        <v>1898.19995117187</v>
      </c>
      <c r="H1186" s="2">
        <v>1924.30004882812</v>
      </c>
      <c r="I1186">
        <v>899</v>
      </c>
      <c r="J1186" s="2">
        <f ca="1">IFERROR((Tabla3[[#This Row],[Close]]-OFFSET(Tabla3[[#This Row],[Close]],-1,0))/OFFSET(Tabla3[[#This Row],[Close]],-1,0),"")</f>
        <v>-1.2210329573991397E-2</v>
      </c>
      <c r="K1186" s="2">
        <f ca="1">IFERROR(AVERAGE(OFFSET(Tabla3[[#This Row],[Close]],-6,0,7)),"")</f>
        <v>1906.8285784040129</v>
      </c>
      <c r="L1186" s="2">
        <f ca="1">IFERROR(_xlfn.STDEV.S(OFFSET(Tabla3[[#This Row],[Close]],-29,0,30)),"")</f>
        <v>27.291110595351704</v>
      </c>
    </row>
    <row r="1187" spans="1:12" x14ac:dyDescent="0.3">
      <c r="A1187" s="1">
        <v>44127</v>
      </c>
      <c r="B1187" s="3">
        <f>YEAR(Tabla3[[#This Row],[Date]])</f>
        <v>2020</v>
      </c>
      <c r="C1187" s="1" t="str">
        <f>+TEXT(Tabla3[[#This Row],[Date]],"mmm")</f>
        <v>oct</v>
      </c>
      <c r="D1187" s="2">
        <v>1902</v>
      </c>
      <c r="E1187" s="2">
        <v>1902</v>
      </c>
      <c r="F1187" s="2">
        <v>1913.30004882812</v>
      </c>
      <c r="G1187" s="2">
        <v>1896.19995117187</v>
      </c>
      <c r="H1187" s="2">
        <v>1899.90002441406</v>
      </c>
      <c r="I1187">
        <v>287</v>
      </c>
      <c r="J1187" s="2">
        <f ca="1">IFERROR((Tabla3[[#This Row],[Close]]-OFFSET(Tabla3[[#This Row],[Close]],-1,0))/OFFSET(Tabla3[[#This Row],[Close]],-1,0),"")</f>
        <v>4.734229791321788E-4</v>
      </c>
      <c r="K1187" s="2">
        <f ca="1">IFERROR(AVERAGE(OFFSET(Tabla3[[#This Row],[Close]],-6,0,7)),"")</f>
        <v>1906.928571428567</v>
      </c>
      <c r="L1187" s="2">
        <f ca="1">IFERROR(_xlfn.STDEV.S(OFFSET(Tabla3[[#This Row],[Close]],-29,0,30)),"")</f>
        <v>26.677472755132172</v>
      </c>
    </row>
    <row r="1188" spans="1:12" x14ac:dyDescent="0.3">
      <c r="A1188" s="1">
        <v>44130</v>
      </c>
      <c r="B1188" s="3">
        <f>YEAR(Tabla3[[#This Row],[Date]])</f>
        <v>2020</v>
      </c>
      <c r="C1188" s="1" t="str">
        <f>+TEXT(Tabla3[[#This Row],[Date]],"mmm")</f>
        <v>oct</v>
      </c>
      <c r="D1188" s="2">
        <v>1902.69995117187</v>
      </c>
      <c r="E1188" s="2">
        <v>1902.69995117187</v>
      </c>
      <c r="F1188" s="2">
        <v>1907</v>
      </c>
      <c r="G1188" s="2">
        <v>1893.5</v>
      </c>
      <c r="H1188" s="2">
        <v>1895.5</v>
      </c>
      <c r="I1188">
        <v>242</v>
      </c>
      <c r="J1188" s="2">
        <f ca="1">IFERROR((Tabla3[[#This Row],[Close]]-OFFSET(Tabla3[[#This Row],[Close]],-1,0))/OFFSET(Tabla3[[#This Row],[Close]],-1,0),"")</f>
        <v>3.6800797679810611E-4</v>
      </c>
      <c r="K1188" s="2">
        <f ca="1">IFERROR(AVERAGE(OFFSET(Tabla3[[#This Row],[Close]],-6,0,7)),"")</f>
        <v>1906.8571428571383</v>
      </c>
      <c r="L1188" s="2">
        <f ca="1">IFERROR(_xlfn.STDEV.S(OFFSET(Tabla3[[#This Row],[Close]],-29,0,30)),"")</f>
        <v>25.144864009774302</v>
      </c>
    </row>
    <row r="1189" spans="1:12" x14ac:dyDescent="0.3">
      <c r="A1189" s="1">
        <v>44131</v>
      </c>
      <c r="B1189" s="3">
        <f>YEAR(Tabla3[[#This Row],[Date]])</f>
        <v>2020</v>
      </c>
      <c r="C1189" s="1" t="str">
        <f>+TEXT(Tabla3[[#This Row],[Date]],"mmm")</f>
        <v>oct</v>
      </c>
      <c r="D1189" s="2">
        <v>1908.80004882812</v>
      </c>
      <c r="E1189" s="2">
        <v>1908.80004882812</v>
      </c>
      <c r="F1189" s="2">
        <v>1908.80004882812</v>
      </c>
      <c r="G1189" s="2">
        <v>1904.40002441406</v>
      </c>
      <c r="H1189" s="2">
        <v>1904.59997558593</v>
      </c>
      <c r="I1189">
        <v>176</v>
      </c>
      <c r="J1189" s="2">
        <f ca="1">IFERROR((Tabla3[[#This Row],[Close]]-OFFSET(Tabla3[[#This Row],[Close]],-1,0))/OFFSET(Tabla3[[#This Row],[Close]],-1,0),"")</f>
        <v>3.2060218703915764E-3</v>
      </c>
      <c r="K1189" s="2">
        <f ca="1">IFERROR(AVERAGE(OFFSET(Tabla3[[#This Row],[Close]],-6,0,7)),"")</f>
        <v>1907.9999999999957</v>
      </c>
      <c r="L1189" s="2">
        <f ca="1">IFERROR(_xlfn.STDEV.S(OFFSET(Tabla3[[#This Row],[Close]],-29,0,30)),"")</f>
        <v>23.169650327077726</v>
      </c>
    </row>
    <row r="1190" spans="1:12" x14ac:dyDescent="0.3">
      <c r="A1190" s="1">
        <v>44132</v>
      </c>
      <c r="B1190" s="3">
        <f>YEAR(Tabla3[[#This Row],[Date]])</f>
        <v>2020</v>
      </c>
      <c r="C1190" s="1" t="str">
        <f>+TEXT(Tabla3[[#This Row],[Date]],"mmm")</f>
        <v>oct</v>
      </c>
      <c r="D1190" s="2">
        <v>1876.19995117187</v>
      </c>
      <c r="E1190" s="2">
        <v>1876.19995117187</v>
      </c>
      <c r="F1190" s="2">
        <v>1876.19995117187</v>
      </c>
      <c r="G1190" s="2">
        <v>1870.90002441406</v>
      </c>
      <c r="H1190" s="2">
        <v>1870.90002441406</v>
      </c>
      <c r="I1190">
        <v>277</v>
      </c>
      <c r="J1190" s="2">
        <f ca="1">IFERROR((Tabla3[[#This Row],[Close]]-OFFSET(Tabla3[[#This Row],[Close]],-1,0))/OFFSET(Tabla3[[#This Row],[Close]],-1,0),"")</f>
        <v>-1.7078843683110946E-2</v>
      </c>
      <c r="K1190" s="2">
        <f ca="1">IFERROR(AVERAGE(OFFSET(Tabla3[[#This Row],[Close]],-6,0,7)),"")</f>
        <v>1903.6857038225401</v>
      </c>
      <c r="L1190" s="2">
        <f ca="1">IFERROR(_xlfn.STDEV.S(OFFSET(Tabla3[[#This Row],[Close]],-29,0,30)),"")</f>
        <v>20.94050355507359</v>
      </c>
    </row>
    <row r="1191" spans="1:12" x14ac:dyDescent="0.3">
      <c r="A1191" s="1">
        <v>44133</v>
      </c>
      <c r="B1191" s="3">
        <f>YEAR(Tabla3[[#This Row],[Date]])</f>
        <v>2020</v>
      </c>
      <c r="C1191" s="1" t="str">
        <f>+TEXT(Tabla3[[#This Row],[Date]],"mmm")</f>
        <v>oct</v>
      </c>
      <c r="D1191" s="2">
        <v>1865.59997558593</v>
      </c>
      <c r="E1191" s="2">
        <v>1865.59997558593</v>
      </c>
      <c r="F1191" s="2">
        <v>1879.80004882812</v>
      </c>
      <c r="G1191" s="2">
        <v>1858.80004882812</v>
      </c>
      <c r="H1191" s="2">
        <v>1876.09997558593</v>
      </c>
      <c r="I1191">
        <v>240</v>
      </c>
      <c r="J1191" s="2">
        <f ca="1">IFERROR((Tabla3[[#This Row],[Close]]-OFFSET(Tabla3[[#This Row],[Close]],-1,0))/OFFSET(Tabla3[[#This Row],[Close]],-1,0),"")</f>
        <v>-5.6497046486539354E-3</v>
      </c>
      <c r="K1191" s="2">
        <f ca="1">IFERROR(AVERAGE(OFFSET(Tabla3[[#This Row],[Close]],-6,0,7)),"")</f>
        <v>1897.2856968470928</v>
      </c>
      <c r="L1191" s="2">
        <f ca="1">IFERROR(_xlfn.STDEV.S(OFFSET(Tabla3[[#This Row],[Close]],-29,0,30)),"")</f>
        <v>20.417785664591484</v>
      </c>
    </row>
    <row r="1192" spans="1:12" x14ac:dyDescent="0.3">
      <c r="A1192" s="1">
        <v>44134</v>
      </c>
      <c r="B1192" s="3">
        <f>YEAR(Tabla3[[#This Row],[Date]])</f>
        <v>2020</v>
      </c>
      <c r="C1192" s="1" t="str">
        <f>+TEXT(Tabla3[[#This Row],[Date]],"mmm")</f>
        <v>oct</v>
      </c>
      <c r="D1192" s="2">
        <v>1877.40002441406</v>
      </c>
      <c r="E1192" s="2">
        <v>1877.40002441406</v>
      </c>
      <c r="F1192" s="2">
        <v>1886.59997558593</v>
      </c>
      <c r="G1192" s="2">
        <v>1862.80004882812</v>
      </c>
      <c r="H1192" s="2">
        <v>1862.80004882812</v>
      </c>
      <c r="I1192">
        <v>725</v>
      </c>
      <c r="J1192" s="2">
        <f ca="1">IFERROR((Tabla3[[#This Row],[Close]]-OFFSET(Tabla3[[#This Row],[Close]],-1,0))/OFFSET(Tabla3[[#This Row],[Close]],-1,0),"")</f>
        <v>6.3250691373020387E-3</v>
      </c>
      <c r="K1192" s="2">
        <f ca="1">IFERROR(AVERAGE(OFFSET(Tabla3[[#This Row],[Close]],-6,0,7)),"")</f>
        <v>1890.5428466796827</v>
      </c>
      <c r="L1192" s="2">
        <f ca="1">IFERROR(_xlfn.STDEV.S(OFFSET(Tabla3[[#This Row],[Close]],-29,0,30)),"")</f>
        <v>17.911307956140611</v>
      </c>
    </row>
    <row r="1193" spans="1:12" x14ac:dyDescent="0.3">
      <c r="A1193" s="1">
        <v>44137</v>
      </c>
      <c r="B1193" s="3">
        <f>YEAR(Tabla3[[#This Row],[Date]])</f>
        <v>2020</v>
      </c>
      <c r="C1193" s="1" t="str">
        <f>+TEXT(Tabla3[[#This Row],[Date]],"mmm")</f>
        <v>nov</v>
      </c>
      <c r="D1193" s="2">
        <v>1890.40002441406</v>
      </c>
      <c r="E1193" s="2">
        <v>1890.40002441406</v>
      </c>
      <c r="F1193" s="2">
        <v>1894.69995117187</v>
      </c>
      <c r="G1193" s="2">
        <v>1872.90002441406</v>
      </c>
      <c r="H1193" s="2">
        <v>1872.90002441406</v>
      </c>
      <c r="I1193">
        <v>190</v>
      </c>
      <c r="J1193" s="2">
        <f ca="1">IFERROR((Tabla3[[#This Row],[Close]]-OFFSET(Tabla3[[#This Row],[Close]],-1,0))/OFFSET(Tabla3[[#This Row],[Close]],-1,0),"")</f>
        <v>6.9244699216712349E-3</v>
      </c>
      <c r="K1193" s="2">
        <f ca="1">IFERROR(AVERAGE(OFFSET(Tabla3[[#This Row],[Close]],-6,0,7)),"")</f>
        <v>1889.0142822265589</v>
      </c>
      <c r="L1193" s="2">
        <f ca="1">IFERROR(_xlfn.STDEV.S(OFFSET(Tabla3[[#This Row],[Close]],-29,0,30)),"")</f>
        <v>17.887936647576243</v>
      </c>
    </row>
    <row r="1194" spans="1:12" x14ac:dyDescent="0.3">
      <c r="A1194" s="1">
        <v>44138</v>
      </c>
      <c r="B1194" s="3">
        <f>YEAR(Tabla3[[#This Row],[Date]])</f>
        <v>2020</v>
      </c>
      <c r="C1194" s="1" t="str">
        <f>+TEXT(Tabla3[[#This Row],[Date]],"mmm")</f>
        <v>nov</v>
      </c>
      <c r="D1194" s="2">
        <v>1908.5</v>
      </c>
      <c r="E1194" s="2">
        <v>1908.5</v>
      </c>
      <c r="F1194" s="2">
        <v>1908.5</v>
      </c>
      <c r="G1194" s="2">
        <v>1891.5</v>
      </c>
      <c r="H1194" s="2">
        <v>1891.5</v>
      </c>
      <c r="I1194">
        <v>712</v>
      </c>
      <c r="J1194" s="2">
        <f ca="1">IFERROR((Tabla3[[#This Row],[Close]]-OFFSET(Tabla3[[#This Row],[Close]],-1,0))/OFFSET(Tabla3[[#This Row],[Close]],-1,0),"")</f>
        <v>9.5746801482137038E-3</v>
      </c>
      <c r="K1194" s="2">
        <f ca="1">IFERROR(AVERAGE(OFFSET(Tabla3[[#This Row],[Close]],-6,0,7)),"")</f>
        <v>1889.9428536551302</v>
      </c>
      <c r="L1194" s="2">
        <f ca="1">IFERROR(_xlfn.STDEV.S(OFFSET(Tabla3[[#This Row],[Close]],-29,0,30)),"")</f>
        <v>18.056767969717562</v>
      </c>
    </row>
    <row r="1195" spans="1:12" x14ac:dyDescent="0.3">
      <c r="A1195" s="1">
        <v>44139</v>
      </c>
      <c r="B1195" s="3">
        <f>YEAR(Tabla3[[#This Row],[Date]])</f>
        <v>2020</v>
      </c>
      <c r="C1195" s="1" t="str">
        <f>+TEXT(Tabla3[[#This Row],[Date]],"mmm")</f>
        <v>nov</v>
      </c>
      <c r="D1195" s="2">
        <v>1894.59997558593</v>
      </c>
      <c r="E1195" s="2">
        <v>1894.59997558593</v>
      </c>
      <c r="F1195" s="2">
        <v>1907</v>
      </c>
      <c r="G1195" s="2">
        <v>1885.30004882812</v>
      </c>
      <c r="H1195" s="2">
        <v>1893.80004882812</v>
      </c>
      <c r="I1195">
        <v>782</v>
      </c>
      <c r="J1195" s="2">
        <f ca="1">IFERROR((Tabla3[[#This Row],[Close]]-OFFSET(Tabla3[[#This Row],[Close]],-1,0))/OFFSET(Tabla3[[#This Row],[Close]],-1,0),"")</f>
        <v>-7.2832194991197296E-3</v>
      </c>
      <c r="K1195" s="2">
        <f ca="1">IFERROR(AVERAGE(OFFSET(Tabla3[[#This Row],[Close]],-6,0,7)),"")</f>
        <v>1888.7857142857101</v>
      </c>
      <c r="L1195" s="2">
        <f ca="1">IFERROR(_xlfn.STDEV.S(OFFSET(Tabla3[[#This Row],[Close]],-29,0,30)),"")</f>
        <v>16.810714904412713</v>
      </c>
    </row>
    <row r="1196" spans="1:12" x14ac:dyDescent="0.3">
      <c r="A1196" s="1">
        <v>44140</v>
      </c>
      <c r="B1196" s="3">
        <f>YEAR(Tabla3[[#This Row],[Date]])</f>
        <v>2020</v>
      </c>
      <c r="C1196" s="1" t="str">
        <f>+TEXT(Tabla3[[#This Row],[Date]],"mmm")</f>
        <v>nov</v>
      </c>
      <c r="D1196" s="2">
        <v>1945.30004882812</v>
      </c>
      <c r="E1196" s="2">
        <v>1945.30004882812</v>
      </c>
      <c r="F1196" s="2">
        <v>1948</v>
      </c>
      <c r="G1196" s="2">
        <v>1901.69995117187</v>
      </c>
      <c r="H1196" s="2">
        <v>1901.69995117187</v>
      </c>
      <c r="I1196">
        <v>135</v>
      </c>
      <c r="J1196" s="2">
        <f ca="1">IFERROR((Tabla3[[#This Row],[Close]]-OFFSET(Tabla3[[#This Row],[Close]],-1,0))/OFFSET(Tabla3[[#This Row],[Close]],-1,0),"")</f>
        <v>2.6760305022441654E-2</v>
      </c>
      <c r="K1196" s="2">
        <f ca="1">IFERROR(AVERAGE(OFFSET(Tabla3[[#This Row],[Close]],-6,0,7)),"")</f>
        <v>1893.9999999999957</v>
      </c>
      <c r="L1196" s="2">
        <f ca="1">IFERROR(_xlfn.STDEV.S(OFFSET(Tabla3[[#This Row],[Close]],-29,0,30)),"")</f>
        <v>18.254470199048264</v>
      </c>
    </row>
    <row r="1197" spans="1:12" x14ac:dyDescent="0.3">
      <c r="A1197" s="1">
        <v>44141</v>
      </c>
      <c r="B1197" s="3">
        <f>YEAR(Tabla3[[#This Row],[Date]])</f>
        <v>2020</v>
      </c>
      <c r="C1197" s="1" t="str">
        <f>+TEXT(Tabla3[[#This Row],[Date]],"mmm")</f>
        <v>nov</v>
      </c>
      <c r="D1197" s="2">
        <v>1950.30004882812</v>
      </c>
      <c r="E1197" s="2">
        <v>1950.30004882812</v>
      </c>
      <c r="F1197" s="2">
        <v>1958.80004882812</v>
      </c>
      <c r="G1197" s="2">
        <v>1940.80004882812</v>
      </c>
      <c r="H1197" s="2">
        <v>1940.80004882812</v>
      </c>
      <c r="I1197">
        <v>304</v>
      </c>
      <c r="J1197" s="2">
        <f ca="1">IFERROR((Tabla3[[#This Row],[Close]]-OFFSET(Tabla3[[#This Row],[Close]],-1,0))/OFFSET(Tabla3[[#This Row],[Close]],-1,0),"")</f>
        <v>2.5702975759508565E-3</v>
      </c>
      <c r="K1197" s="2">
        <f ca="1">IFERROR(AVERAGE(OFFSET(Tabla3[[#This Row],[Close]],-6,0,7)),"")</f>
        <v>1904.5857282366028</v>
      </c>
      <c r="L1197" s="2">
        <f ca="1">IFERROR(_xlfn.STDEV.S(OFFSET(Tabla3[[#This Row],[Close]],-29,0,30)),"")</f>
        <v>18.925498138066686</v>
      </c>
    </row>
    <row r="1198" spans="1:12" x14ac:dyDescent="0.3">
      <c r="A1198" s="1">
        <v>44144</v>
      </c>
      <c r="B1198" s="3">
        <f>YEAR(Tabla3[[#This Row],[Date]])</f>
        <v>2020</v>
      </c>
      <c r="C1198" s="1" t="str">
        <f>+TEXT(Tabla3[[#This Row],[Date]],"mmm")</f>
        <v>nov</v>
      </c>
      <c r="D1198" s="2">
        <v>1853.19995117187</v>
      </c>
      <c r="E1198" s="2">
        <v>1853.19995117187</v>
      </c>
      <c r="F1198" s="2">
        <v>1963.19995117187</v>
      </c>
      <c r="G1198" s="2">
        <v>1847.09997558593</v>
      </c>
      <c r="H1198" s="2">
        <v>1955.59997558593</v>
      </c>
      <c r="I1198">
        <v>745</v>
      </c>
      <c r="J1198" s="2">
        <f ca="1">IFERROR((Tabla3[[#This Row],[Close]]-OFFSET(Tabla3[[#This Row],[Close]],-1,0))/OFFSET(Tabla3[[#This Row],[Close]],-1,0),"")</f>
        <v>-4.9787261049700889E-2</v>
      </c>
      <c r="K1198" s="2">
        <f ca="1">IFERROR(AVERAGE(OFFSET(Tabla3[[#This Row],[Close]],-6,0,7)),"")</f>
        <v>1902.8142961774513</v>
      </c>
      <c r="L1198" s="2">
        <f ca="1">IFERROR(_xlfn.STDEV.S(OFFSET(Tabla3[[#This Row],[Close]],-29,0,30)),"")</f>
        <v>20.247451486859649</v>
      </c>
    </row>
    <row r="1199" spans="1:12" x14ac:dyDescent="0.3">
      <c r="A1199" s="1">
        <v>44145</v>
      </c>
      <c r="B1199" s="3">
        <f>YEAR(Tabla3[[#This Row],[Date]])</f>
        <v>2020</v>
      </c>
      <c r="C1199" s="1" t="str">
        <f>+TEXT(Tabla3[[#This Row],[Date]],"mmm")</f>
        <v>nov</v>
      </c>
      <c r="D1199" s="2">
        <v>1875.40002441406</v>
      </c>
      <c r="E1199" s="2">
        <v>1875.40002441406</v>
      </c>
      <c r="F1199" s="2">
        <v>1885.30004882812</v>
      </c>
      <c r="G1199" s="2">
        <v>1871.19995117187</v>
      </c>
      <c r="H1199" s="2">
        <v>1879.30004882812</v>
      </c>
      <c r="I1199">
        <v>276</v>
      </c>
      <c r="J1199" s="2">
        <f ca="1">IFERROR((Tabla3[[#This Row],[Close]]-OFFSET(Tabla3[[#This Row],[Close]],-1,0))/OFFSET(Tabla3[[#This Row],[Close]],-1,0),"")</f>
        <v>1.1979318922468025E-2</v>
      </c>
      <c r="K1199" s="2">
        <f ca="1">IFERROR(AVERAGE(OFFSET(Tabla3[[#This Row],[Close]],-6,0,7)),"")</f>
        <v>1902.5285818917371</v>
      </c>
      <c r="L1199" s="2">
        <f ca="1">IFERROR(_xlfn.STDEV.S(OFFSET(Tabla3[[#This Row],[Close]],-29,0,30)),"")</f>
        <v>20.750365042396638</v>
      </c>
    </row>
    <row r="1200" spans="1:12" x14ac:dyDescent="0.3">
      <c r="A1200" s="1">
        <v>44146</v>
      </c>
      <c r="B1200" s="3">
        <f>YEAR(Tabla3[[#This Row],[Date]])</f>
        <v>2020</v>
      </c>
      <c r="C1200" s="1" t="str">
        <f>+TEXT(Tabla3[[#This Row],[Date]],"mmm")</f>
        <v>nov</v>
      </c>
      <c r="D1200" s="2">
        <v>1860.69995117187</v>
      </c>
      <c r="E1200" s="2">
        <v>1860.69995117187</v>
      </c>
      <c r="F1200" s="2">
        <v>1878.80004882812</v>
      </c>
      <c r="G1200" s="2">
        <v>1855.5</v>
      </c>
      <c r="H1200" s="2">
        <v>1878.80004882812</v>
      </c>
      <c r="I1200">
        <v>222</v>
      </c>
      <c r="J1200" s="2">
        <f ca="1">IFERROR((Tabla3[[#This Row],[Close]]-OFFSET(Tabla3[[#This Row],[Close]],-1,0))/OFFSET(Tabla3[[#This Row],[Close]],-1,0),"")</f>
        <v>-7.8383667755271644E-3</v>
      </c>
      <c r="K1200" s="2">
        <f ca="1">IFERROR(AVERAGE(OFFSET(Tabla3[[#This Row],[Close]],-6,0,7)),"")</f>
        <v>1898.2857142857099</v>
      </c>
      <c r="L1200" s="2">
        <f ca="1">IFERROR(_xlfn.STDEV.S(OFFSET(Tabla3[[#This Row],[Close]],-29,0,30)),"")</f>
        <v>21.869513426040314</v>
      </c>
    </row>
    <row r="1201" spans="1:12" x14ac:dyDescent="0.3">
      <c r="A1201" s="1">
        <v>44147</v>
      </c>
      <c r="B1201" s="3">
        <f>YEAR(Tabla3[[#This Row],[Date]])</f>
        <v>2020</v>
      </c>
      <c r="C1201" s="1" t="str">
        <f>+TEXT(Tabla3[[#This Row],[Date]],"mmm")</f>
        <v>nov</v>
      </c>
      <c r="D1201" s="2">
        <v>1872.59997558593</v>
      </c>
      <c r="E1201" s="2">
        <v>1872.59997558593</v>
      </c>
      <c r="F1201" s="2">
        <v>1878.5</v>
      </c>
      <c r="G1201" s="2">
        <v>1866.59997558593</v>
      </c>
      <c r="H1201" s="2">
        <v>1869</v>
      </c>
      <c r="I1201">
        <v>220</v>
      </c>
      <c r="J1201" s="2">
        <f ca="1">IFERROR((Tabla3[[#This Row],[Close]]-OFFSET(Tabla3[[#This Row],[Close]],-1,0))/OFFSET(Tabla3[[#This Row],[Close]],-1,0),"")</f>
        <v>6.3954558641039121E-3</v>
      </c>
      <c r="K1201" s="2">
        <f ca="1">IFERROR(AVERAGE(OFFSET(Tabla3[[#This Row],[Close]],-6,0,7)),"")</f>
        <v>1893.1571393694142</v>
      </c>
      <c r="L1201" s="2">
        <f ca="1">IFERROR(_xlfn.STDEV.S(OFFSET(Tabla3[[#This Row],[Close]],-29,0,30)),"")</f>
        <v>22.336616109588185</v>
      </c>
    </row>
    <row r="1202" spans="1:12" x14ac:dyDescent="0.3">
      <c r="A1202" s="1">
        <v>44148</v>
      </c>
      <c r="B1202" s="3">
        <f>YEAR(Tabla3[[#This Row],[Date]])</f>
        <v>2020</v>
      </c>
      <c r="C1202" s="1" t="str">
        <f>+TEXT(Tabla3[[#This Row],[Date]],"mmm")</f>
        <v>nov</v>
      </c>
      <c r="D1202" s="2">
        <v>1885.69995117187</v>
      </c>
      <c r="E1202" s="2">
        <v>1885.69995117187</v>
      </c>
      <c r="F1202" s="2">
        <v>1890.09997558593</v>
      </c>
      <c r="G1202" s="2">
        <v>1876.80004882812</v>
      </c>
      <c r="H1202" s="2">
        <v>1877</v>
      </c>
      <c r="I1202">
        <v>240</v>
      </c>
      <c r="J1202" s="2">
        <f ca="1">IFERROR((Tabla3[[#This Row],[Close]]-OFFSET(Tabla3[[#This Row],[Close]],-1,0))/OFFSET(Tabla3[[#This Row],[Close]],-1,0),"")</f>
        <v>6.9956081153109409E-3</v>
      </c>
      <c r="K1202" s="2">
        <f ca="1">IFERROR(AVERAGE(OFFSET(Tabla3[[#This Row],[Close]],-6,0,7)),"")</f>
        <v>1891.8857073102629</v>
      </c>
      <c r="L1202" s="2">
        <f ca="1">IFERROR(_xlfn.STDEV.S(OFFSET(Tabla3[[#This Row],[Close]],-29,0,30)),"")</f>
        <v>22.449932382664979</v>
      </c>
    </row>
    <row r="1203" spans="1:12" x14ac:dyDescent="0.3">
      <c r="A1203" s="1">
        <v>44151</v>
      </c>
      <c r="B1203" s="3">
        <f>YEAR(Tabla3[[#This Row],[Date]])</f>
        <v>2020</v>
      </c>
      <c r="C1203" s="1" t="str">
        <f>+TEXT(Tabla3[[#This Row],[Date]],"mmm")</f>
        <v>nov</v>
      </c>
      <c r="D1203" s="2">
        <v>1887.30004882812</v>
      </c>
      <c r="E1203" s="2">
        <v>1887.30004882812</v>
      </c>
      <c r="F1203" s="2">
        <v>1887.30004882812</v>
      </c>
      <c r="G1203" s="2">
        <v>1871</v>
      </c>
      <c r="H1203" s="2">
        <v>1874.59997558593</v>
      </c>
      <c r="I1203">
        <v>6</v>
      </c>
      <c r="J1203" s="2">
        <f ca="1">IFERROR((Tabla3[[#This Row],[Close]]-OFFSET(Tabla3[[#This Row],[Close]],-1,0))/OFFSET(Tabla3[[#This Row],[Close]],-1,0),"")</f>
        <v>8.4854308621878992E-4</v>
      </c>
      <c r="K1203" s="2">
        <f ca="1">IFERROR(AVERAGE(OFFSET(Tabla3[[#This Row],[Close]],-6,0,7)),"")</f>
        <v>1883.5999930245484</v>
      </c>
      <c r="L1203" s="2">
        <f ca="1">IFERROR(_xlfn.STDEV.S(OFFSET(Tabla3[[#This Row],[Close]],-29,0,30)),"")</f>
        <v>22.35152953864706</v>
      </c>
    </row>
    <row r="1204" spans="1:12" x14ac:dyDescent="0.3">
      <c r="A1204" s="1">
        <v>44152</v>
      </c>
      <c r="B1204" s="3">
        <f>YEAR(Tabla3[[#This Row],[Date]])</f>
        <v>2020</v>
      </c>
      <c r="C1204" s="1" t="str">
        <f>+TEXT(Tabla3[[#This Row],[Date]],"mmm")</f>
        <v>nov</v>
      </c>
      <c r="D1204" s="2">
        <v>1884.5</v>
      </c>
      <c r="E1204" s="2">
        <v>1884.5</v>
      </c>
      <c r="F1204" s="2">
        <v>1888.40002441406</v>
      </c>
      <c r="G1204" s="2">
        <v>1884.5</v>
      </c>
      <c r="H1204" s="2">
        <v>1888.40002441406</v>
      </c>
      <c r="I1204">
        <v>59</v>
      </c>
      <c r="J1204" s="2">
        <f ca="1">IFERROR((Tabla3[[#This Row],[Close]]-OFFSET(Tabla3[[#This Row],[Close]],-1,0))/OFFSET(Tabla3[[#This Row],[Close]],-1,0),"")</f>
        <v>-1.4836267449145832E-3</v>
      </c>
      <c r="K1204" s="2">
        <f ca="1">IFERROR(AVERAGE(OFFSET(Tabla3[[#This Row],[Close]],-6,0,7)),"")</f>
        <v>1874.1999860491028</v>
      </c>
      <c r="L1204" s="2">
        <f ca="1">IFERROR(_xlfn.STDEV.S(OFFSET(Tabla3[[#This Row],[Close]],-29,0,30)),"")</f>
        <v>22.450335064738582</v>
      </c>
    </row>
    <row r="1205" spans="1:12" x14ac:dyDescent="0.3">
      <c r="A1205" s="1">
        <v>44153</v>
      </c>
      <c r="B1205" s="3">
        <f>YEAR(Tabla3[[#This Row],[Date]])</f>
        <v>2020</v>
      </c>
      <c r="C1205" s="1" t="str">
        <f>+TEXT(Tabla3[[#This Row],[Date]],"mmm")</f>
        <v>nov</v>
      </c>
      <c r="D1205" s="2">
        <v>1873.5</v>
      </c>
      <c r="E1205" s="2">
        <v>1873.5</v>
      </c>
      <c r="F1205" s="2">
        <v>1873.5</v>
      </c>
      <c r="G1205" s="2">
        <v>1873.5</v>
      </c>
      <c r="H1205" s="2">
        <v>1873.5</v>
      </c>
      <c r="I1205">
        <v>152</v>
      </c>
      <c r="J1205" s="2">
        <f ca="1">IFERROR((Tabla3[[#This Row],[Close]]-OFFSET(Tabla3[[#This Row],[Close]],-1,0))/OFFSET(Tabla3[[#This Row],[Close]],-1,0),"")</f>
        <v>-5.8370920668612365E-3</v>
      </c>
      <c r="K1205" s="2">
        <f ca="1">IFERROR(AVERAGE(OFFSET(Tabla3[[#This Row],[Close]],-6,0,7)),"")</f>
        <v>1877.09999302455</v>
      </c>
      <c r="L1205" s="2">
        <f ca="1">IFERROR(_xlfn.STDEV.S(OFFSET(Tabla3[[#This Row],[Close]],-29,0,30)),"")</f>
        <v>22.72282447897528</v>
      </c>
    </row>
    <row r="1206" spans="1:12" x14ac:dyDescent="0.3">
      <c r="A1206" s="1">
        <v>44154</v>
      </c>
      <c r="B1206" s="3">
        <f>YEAR(Tabla3[[#This Row],[Date]])</f>
        <v>2020</v>
      </c>
      <c r="C1206" s="1" t="str">
        <f>+TEXT(Tabla3[[#This Row],[Date]],"mmm")</f>
        <v>nov</v>
      </c>
      <c r="D1206" s="2">
        <v>1861.09997558593</v>
      </c>
      <c r="E1206" s="2">
        <v>1861.09997558593</v>
      </c>
      <c r="F1206" s="2">
        <v>1865.80004882812</v>
      </c>
      <c r="G1206" s="2">
        <v>1856</v>
      </c>
      <c r="H1206" s="2">
        <v>1865.80004882812</v>
      </c>
      <c r="I1206">
        <v>59</v>
      </c>
      <c r="J1206" s="2">
        <f ca="1">IFERROR((Tabla3[[#This Row],[Close]]-OFFSET(Tabla3[[#This Row],[Close]],-1,0))/OFFSET(Tabla3[[#This Row],[Close]],-1,0),"")</f>
        <v>-6.6186412671844158E-3</v>
      </c>
      <c r="K1206" s="2">
        <f ca="1">IFERROR(AVERAGE(OFFSET(Tabla3[[#This Row],[Close]],-6,0,7)),"")</f>
        <v>1875.0571289062457</v>
      </c>
      <c r="L1206" s="2">
        <f ca="1">IFERROR(_xlfn.STDEV.S(OFFSET(Tabla3[[#This Row],[Close]],-29,0,30)),"")</f>
        <v>23.572669822883469</v>
      </c>
    </row>
    <row r="1207" spans="1:12" x14ac:dyDescent="0.3">
      <c r="A1207" s="1">
        <v>44155</v>
      </c>
      <c r="B1207" s="3">
        <f>YEAR(Tabla3[[#This Row],[Date]])</f>
        <v>2020</v>
      </c>
      <c r="C1207" s="1" t="str">
        <f>+TEXT(Tabla3[[#This Row],[Date]],"mmm")</f>
        <v>nov</v>
      </c>
      <c r="D1207" s="2">
        <v>1872.59997558593</v>
      </c>
      <c r="E1207" s="2">
        <v>1872.59997558593</v>
      </c>
      <c r="F1207" s="2">
        <v>1872.59997558593</v>
      </c>
      <c r="G1207" s="2">
        <v>1871.19995117187</v>
      </c>
      <c r="H1207" s="2">
        <v>1871.19995117187</v>
      </c>
      <c r="I1207">
        <v>1900</v>
      </c>
      <c r="J1207" s="2">
        <f ca="1">IFERROR((Tabla3[[#This Row],[Close]]-OFFSET(Tabla3[[#This Row],[Close]],-1,0))/OFFSET(Tabla3[[#This Row],[Close]],-1,0),"")</f>
        <v>6.179141449066677E-3</v>
      </c>
      <c r="K1207" s="2">
        <f ca="1">IFERROR(AVERAGE(OFFSET(Tabla3[[#This Row],[Close]],-6,0,7)),"")</f>
        <v>1876.7571323939685</v>
      </c>
      <c r="L1207" s="2">
        <f ca="1">IFERROR(_xlfn.STDEV.S(OFFSET(Tabla3[[#This Row],[Close]],-29,0,30)),"")</f>
        <v>23.456094026585177</v>
      </c>
    </row>
    <row r="1208" spans="1:12" x14ac:dyDescent="0.3">
      <c r="A1208" s="1">
        <v>44158</v>
      </c>
      <c r="B1208" s="3">
        <f>YEAR(Tabla3[[#This Row],[Date]])</f>
        <v>2020</v>
      </c>
      <c r="C1208" s="1" t="str">
        <f>+TEXT(Tabla3[[#This Row],[Date]],"mmm")</f>
        <v>nov</v>
      </c>
      <c r="D1208" s="2">
        <v>1837.80004882812</v>
      </c>
      <c r="E1208" s="2">
        <v>1837.80004882812</v>
      </c>
      <c r="F1208" s="2">
        <v>1837.80004882812</v>
      </c>
      <c r="G1208" s="2">
        <v>1829.19995117187</v>
      </c>
      <c r="H1208" s="2">
        <v>1834.80004882812</v>
      </c>
      <c r="I1208">
        <v>843</v>
      </c>
      <c r="J1208" s="2">
        <f ca="1">IFERROR((Tabla3[[#This Row],[Close]]-OFFSET(Tabla3[[#This Row],[Close]],-1,0))/OFFSET(Tabla3[[#This Row],[Close]],-1,0),"")</f>
        <v>-1.8583748377397701E-2</v>
      </c>
      <c r="K1208" s="2">
        <f ca="1">IFERROR(AVERAGE(OFFSET(Tabla3[[#This Row],[Close]],-6,0,7)),"")</f>
        <v>1871.7857142857099</v>
      </c>
      <c r="L1208" s="2">
        <f ca="1">IFERROR(_xlfn.STDEV.S(OFFSET(Tabla3[[#This Row],[Close]],-29,0,30)),"")</f>
        <v>24.90688379382722</v>
      </c>
    </row>
    <row r="1209" spans="1:12" x14ac:dyDescent="0.3">
      <c r="A1209" s="1">
        <v>44159</v>
      </c>
      <c r="B1209" s="3">
        <f>YEAR(Tabla3[[#This Row],[Date]])</f>
        <v>2020</v>
      </c>
      <c r="C1209" s="1" t="str">
        <f>+TEXT(Tabla3[[#This Row],[Date]],"mmm")</f>
        <v>nov</v>
      </c>
      <c r="D1209" s="2">
        <v>1804.80004882812</v>
      </c>
      <c r="E1209" s="2">
        <v>1804.80004882812</v>
      </c>
      <c r="F1209" s="2">
        <v>1829.30004882812</v>
      </c>
      <c r="G1209" s="2">
        <v>1799.30004882812</v>
      </c>
      <c r="H1209" s="2">
        <v>1829.30004882812</v>
      </c>
      <c r="I1209">
        <v>1041</v>
      </c>
      <c r="J1209" s="2">
        <f ca="1">IFERROR((Tabla3[[#This Row],[Close]]-OFFSET(Tabla3[[#This Row],[Close]],-1,0))/OFFSET(Tabla3[[#This Row],[Close]],-1,0),"")</f>
        <v>-1.7956251563407331E-2</v>
      </c>
      <c r="K1209" s="2">
        <f ca="1">IFERROR(AVERAGE(OFFSET(Tabla3[[#This Row],[Close]],-6,0,7)),"")</f>
        <v>1860.2285853794599</v>
      </c>
      <c r="L1209" s="2">
        <f ca="1">IFERROR(_xlfn.STDEV.S(OFFSET(Tabla3[[#This Row],[Close]],-29,0,30)),"")</f>
        <v>29.442545938081906</v>
      </c>
    </row>
    <row r="1210" spans="1:12" x14ac:dyDescent="0.3">
      <c r="A1210" s="1">
        <v>44160</v>
      </c>
      <c r="B1210" s="3">
        <f>YEAR(Tabla3[[#This Row],[Date]])</f>
        <v>2020</v>
      </c>
      <c r="C1210" s="1" t="str">
        <f>+TEXT(Tabla3[[#This Row],[Date]],"mmm")</f>
        <v>nov</v>
      </c>
      <c r="D1210" s="2">
        <v>1805.69995117187</v>
      </c>
      <c r="E1210" s="2">
        <v>1805.69995117187</v>
      </c>
      <c r="F1210" s="2">
        <v>1805.69995117187</v>
      </c>
      <c r="G1210" s="2">
        <v>1801.40002441406</v>
      </c>
      <c r="H1210" s="2">
        <v>1801.40002441406</v>
      </c>
      <c r="I1210">
        <v>205754</v>
      </c>
      <c r="J1210" s="2">
        <f ca="1">IFERROR((Tabla3[[#This Row],[Close]]-OFFSET(Tabla3[[#This Row],[Close]],-1,0))/OFFSET(Tabla3[[#This Row],[Close]],-1,0),"")</f>
        <v>4.9861609009503203E-4</v>
      </c>
      <c r="K1210" s="2">
        <f ca="1">IFERROR(AVERAGE(OFFSET(Tabla3[[#This Row],[Close]],-6,0,7)),"")</f>
        <v>1848.5714285714241</v>
      </c>
      <c r="L1210" s="2">
        <f ca="1">IFERROR(_xlfn.STDEV.S(OFFSET(Tabla3[[#This Row],[Close]],-29,0,30)),"")</f>
        <v>32.917427998000797</v>
      </c>
    </row>
    <row r="1211" spans="1:12" x14ac:dyDescent="0.3">
      <c r="A1211" s="1">
        <v>44162</v>
      </c>
      <c r="B1211" s="3">
        <f>YEAR(Tabla3[[#This Row],[Date]])</f>
        <v>2020</v>
      </c>
      <c r="C1211" s="1" t="str">
        <f>+TEXT(Tabla3[[#This Row],[Date]],"mmm")</f>
        <v>nov</v>
      </c>
      <c r="D1211" s="2">
        <v>1781.90002441406</v>
      </c>
      <c r="E1211" s="2">
        <v>1781.90002441406</v>
      </c>
      <c r="F1211" s="2">
        <v>1817</v>
      </c>
      <c r="G1211" s="2">
        <v>1770.69995117187</v>
      </c>
      <c r="H1211" s="2">
        <v>1806.09997558593</v>
      </c>
      <c r="I1211">
        <v>71804</v>
      </c>
      <c r="J1211" s="2">
        <f ca="1">IFERROR((Tabla3[[#This Row],[Close]]-OFFSET(Tabla3[[#This Row],[Close]],-1,0))/OFFSET(Tabla3[[#This Row],[Close]],-1,0),"")</f>
        <v>-1.3180443817570152E-2</v>
      </c>
      <c r="K1211" s="2">
        <f ca="1">IFERROR(AVERAGE(OFFSET(Tabla3[[#This Row],[Close]],-6,0,7)),"")</f>
        <v>1833.9142892020043</v>
      </c>
      <c r="L1211" s="2">
        <f ca="1">IFERROR(_xlfn.STDEV.S(OFFSET(Tabla3[[#This Row],[Close]],-29,0,30)),"")</f>
        <v>37.681092039427426</v>
      </c>
    </row>
    <row r="1212" spans="1:12" x14ac:dyDescent="0.3">
      <c r="A1212" s="1">
        <v>44165</v>
      </c>
      <c r="B1212" s="3">
        <f>YEAR(Tabla3[[#This Row],[Date]])</f>
        <v>2020</v>
      </c>
      <c r="C1212" s="1" t="str">
        <f>+TEXT(Tabla3[[#This Row],[Date]],"mmm")</f>
        <v>nov</v>
      </c>
      <c r="D1212" s="2">
        <v>1775.69995117187</v>
      </c>
      <c r="E1212" s="2">
        <v>1775.69995117187</v>
      </c>
      <c r="F1212" s="2">
        <v>1787.19995117187</v>
      </c>
      <c r="G1212" s="2">
        <v>1762.30004882812</v>
      </c>
      <c r="H1212" s="2">
        <v>1785</v>
      </c>
      <c r="I1212">
        <v>3145</v>
      </c>
      <c r="J1212" s="2">
        <f ca="1">IFERROR((Tabla3[[#This Row],[Close]]-OFFSET(Tabla3[[#This Row],[Close]],-1,0))/OFFSET(Tabla3[[#This Row],[Close]],-1,0),"")</f>
        <v>-3.4794731226454544E-3</v>
      </c>
      <c r="K1212" s="2">
        <f ca="1">IFERROR(AVERAGE(OFFSET(Tabla3[[#This Row],[Close]],-6,0,7)),"")</f>
        <v>1819.9428536551284</v>
      </c>
      <c r="L1212" s="2">
        <f ca="1">IFERROR(_xlfn.STDEV.S(OFFSET(Tabla3[[#This Row],[Close]],-29,0,30)),"")</f>
        <v>42.052066621595209</v>
      </c>
    </row>
    <row r="1213" spans="1:12" x14ac:dyDescent="0.3">
      <c r="A1213" s="1">
        <v>44166</v>
      </c>
      <c r="B1213" s="3">
        <f>YEAR(Tabla3[[#This Row],[Date]])</f>
        <v>2020</v>
      </c>
      <c r="C1213" s="1" t="str">
        <f>+TEXT(Tabla3[[#This Row],[Date]],"mmm")</f>
        <v>dic</v>
      </c>
      <c r="D1213" s="2">
        <v>1814.09997558593</v>
      </c>
      <c r="E1213" s="2">
        <v>1814.09997558593</v>
      </c>
      <c r="F1213" s="2">
        <v>1815.90002441406</v>
      </c>
      <c r="G1213" s="2">
        <v>1774.90002441406</v>
      </c>
      <c r="H1213" s="2">
        <v>1775</v>
      </c>
      <c r="I1213">
        <v>1859</v>
      </c>
      <c r="J1213" s="2">
        <f ca="1">IFERROR((Tabla3[[#This Row],[Close]]-OFFSET(Tabla3[[#This Row],[Close]],-1,0))/OFFSET(Tabla3[[#This Row],[Close]],-1,0),"")</f>
        <v>2.1625288883247405E-2</v>
      </c>
      <c r="K1213" s="2">
        <f ca="1">IFERROR(AVERAGE(OFFSET(Tabla3[[#This Row],[Close]],-6,0,7)),"")</f>
        <v>1813.2285679408428</v>
      </c>
      <c r="L1213" s="2">
        <f ca="1">IFERROR(_xlfn.STDEV.S(OFFSET(Tabla3[[#This Row],[Close]],-29,0,30)),"")</f>
        <v>43.155597956922342</v>
      </c>
    </row>
    <row r="1214" spans="1:12" x14ac:dyDescent="0.3">
      <c r="A1214" s="1">
        <v>44167</v>
      </c>
      <c r="B1214" s="3">
        <f>YEAR(Tabla3[[#This Row],[Date]])</f>
        <v>2020</v>
      </c>
      <c r="C1214" s="1" t="str">
        <f>+TEXT(Tabla3[[#This Row],[Date]],"mmm")</f>
        <v>dic</v>
      </c>
      <c r="D1214" s="2">
        <v>1825.69995117187</v>
      </c>
      <c r="E1214" s="2">
        <v>1825.69995117187</v>
      </c>
      <c r="F1214" s="2">
        <v>1830</v>
      </c>
      <c r="G1214" s="2">
        <v>1807.80004882812</v>
      </c>
      <c r="H1214" s="2">
        <v>1811.30004882812</v>
      </c>
      <c r="I1214">
        <v>771</v>
      </c>
      <c r="J1214" s="2">
        <f ca="1">IFERROR((Tabla3[[#This Row],[Close]]-OFFSET(Tabla3[[#This Row],[Close]],-1,0))/OFFSET(Tabla3[[#This Row],[Close]],-1,0),"")</f>
        <v>6.3943419558193668E-3</v>
      </c>
      <c r="K1214" s="2">
        <f ca="1">IFERROR(AVERAGE(OFFSET(Tabla3[[#This Row],[Close]],-6,0,7)),"")</f>
        <v>1806.52856445312</v>
      </c>
      <c r="L1214" s="2">
        <f ca="1">IFERROR(_xlfn.STDEV.S(OFFSET(Tabla3[[#This Row],[Close]],-29,0,30)),"")</f>
        <v>43.426924553785533</v>
      </c>
    </row>
    <row r="1215" spans="1:12" x14ac:dyDescent="0.3">
      <c r="A1215" s="1">
        <v>44168</v>
      </c>
      <c r="B1215" s="3">
        <f>YEAR(Tabla3[[#This Row],[Date]])</f>
        <v>2020</v>
      </c>
      <c r="C1215" s="1" t="str">
        <f>+TEXT(Tabla3[[#This Row],[Date]],"mmm")</f>
        <v>dic</v>
      </c>
      <c r="D1215" s="2">
        <v>1836.80004882812</v>
      </c>
      <c r="E1215" s="2">
        <v>1836.80004882812</v>
      </c>
      <c r="F1215" s="2">
        <v>1842</v>
      </c>
      <c r="G1215" s="2">
        <v>1825.30004882812</v>
      </c>
      <c r="H1215" s="2">
        <v>1829.19995117187</v>
      </c>
      <c r="I1215">
        <v>1765</v>
      </c>
      <c r="J1215" s="2">
        <f ca="1">IFERROR((Tabla3[[#This Row],[Close]]-OFFSET(Tabla3[[#This Row],[Close]],-1,0))/OFFSET(Tabla3[[#This Row],[Close]],-1,0),"")</f>
        <v>6.0799134321744006E-3</v>
      </c>
      <c r="K1215" s="2">
        <f ca="1">IFERROR(AVERAGE(OFFSET(Tabla3[[#This Row],[Close]],-6,0,7)),"")</f>
        <v>1806.3857073102627</v>
      </c>
      <c r="L1215" s="2">
        <f ca="1">IFERROR(_xlfn.STDEV.S(OFFSET(Tabla3[[#This Row],[Close]],-29,0,30)),"")</f>
        <v>42.617403272527959</v>
      </c>
    </row>
    <row r="1216" spans="1:12" x14ac:dyDescent="0.3">
      <c r="A1216" s="1">
        <v>44169</v>
      </c>
      <c r="B1216" s="3">
        <f>YEAR(Tabla3[[#This Row],[Date]])</f>
        <v>2020</v>
      </c>
      <c r="C1216" s="1" t="str">
        <f>+TEXT(Tabla3[[#This Row],[Date]],"mmm")</f>
        <v>dic</v>
      </c>
      <c r="D1216" s="2">
        <v>1835.90002441406</v>
      </c>
      <c r="E1216" s="2">
        <v>1835.90002441406</v>
      </c>
      <c r="F1216" s="2">
        <v>1847.59997558593</v>
      </c>
      <c r="G1216" s="2">
        <v>1828.19995117187</v>
      </c>
      <c r="H1216" s="2">
        <v>1840.69995117187</v>
      </c>
      <c r="I1216">
        <v>1213</v>
      </c>
      <c r="J1216" s="2">
        <f ca="1">IFERROR((Tabla3[[#This Row],[Close]]-OFFSET(Tabla3[[#This Row],[Close]],-1,0))/OFFSET(Tabla3[[#This Row],[Close]],-1,0),"")</f>
        <v>-4.8999585699827E-4</v>
      </c>
      <c r="K1216" s="2">
        <f ca="1">IFERROR(AVERAGE(OFFSET(Tabla3[[#This Row],[Close]],-6,0,7)),"")</f>
        <v>1810.8285609653972</v>
      </c>
      <c r="L1216" s="2">
        <f ca="1">IFERROR(_xlfn.STDEV.S(OFFSET(Tabla3[[#This Row],[Close]],-29,0,30)),"")</f>
        <v>42.519518389813584</v>
      </c>
    </row>
    <row r="1217" spans="1:12" x14ac:dyDescent="0.3">
      <c r="A1217" s="1">
        <v>44172</v>
      </c>
      <c r="B1217" s="3">
        <f>YEAR(Tabla3[[#This Row],[Date]])</f>
        <v>2020</v>
      </c>
      <c r="C1217" s="1" t="str">
        <f>+TEXT(Tabla3[[#This Row],[Date]],"mmm")</f>
        <v>dic</v>
      </c>
      <c r="D1217" s="2">
        <v>1861.80004882812</v>
      </c>
      <c r="E1217" s="2">
        <v>1861.80004882812</v>
      </c>
      <c r="F1217" s="2">
        <v>1866.90002441406</v>
      </c>
      <c r="G1217" s="2">
        <v>1820.80004882812</v>
      </c>
      <c r="H1217" s="2">
        <v>1836.5</v>
      </c>
      <c r="I1217">
        <v>1427</v>
      </c>
      <c r="J1217" s="2">
        <f ca="1">IFERROR((Tabla3[[#This Row],[Close]]-OFFSET(Tabla3[[#This Row],[Close]],-1,0))/OFFSET(Tabla3[[#This Row],[Close]],-1,0),"")</f>
        <v>1.4107535306736634E-2</v>
      </c>
      <c r="K1217" s="2">
        <f ca="1">IFERROR(AVERAGE(OFFSET(Tabla3[[#This Row],[Close]],-6,0,7)),"")</f>
        <v>1818.8428606305756</v>
      </c>
      <c r="L1217" s="2">
        <f ca="1">IFERROR(_xlfn.STDEV.S(OFFSET(Tabla3[[#This Row],[Close]],-29,0,30)),"")</f>
        <v>41.961299676764639</v>
      </c>
    </row>
    <row r="1218" spans="1:12" x14ac:dyDescent="0.3">
      <c r="A1218" s="1">
        <v>44173</v>
      </c>
      <c r="B1218" s="3">
        <f>YEAR(Tabla3[[#This Row],[Date]])</f>
        <v>2020</v>
      </c>
      <c r="C1218" s="1" t="str">
        <f>+TEXT(Tabla3[[#This Row],[Date]],"mmm")</f>
        <v>dic</v>
      </c>
      <c r="D1218" s="2">
        <v>1870.80004882812</v>
      </c>
      <c r="E1218" s="2">
        <v>1870.80004882812</v>
      </c>
      <c r="F1218" s="2">
        <v>1875.80004882812</v>
      </c>
      <c r="G1218" s="2">
        <v>1861.80004882812</v>
      </c>
      <c r="H1218" s="2">
        <v>1863</v>
      </c>
      <c r="I1218">
        <v>121</v>
      </c>
      <c r="J1218" s="2">
        <f ca="1">IFERROR((Tabla3[[#This Row],[Close]]-OFFSET(Tabla3[[#This Row],[Close]],-1,0))/OFFSET(Tabla3[[#This Row],[Close]],-1,0),"")</f>
        <v>4.8340314555609257E-3</v>
      </c>
      <c r="K1218" s="2">
        <f ca="1">IFERROR(AVERAGE(OFFSET(Tabla3[[#This Row],[Close]],-6,0,7)),"")</f>
        <v>1831.5428641182984</v>
      </c>
      <c r="L1218" s="2">
        <f ca="1">IFERROR(_xlfn.STDEV.S(OFFSET(Tabla3[[#This Row],[Close]],-29,0,30)),"")</f>
        <v>41.352329571685303</v>
      </c>
    </row>
    <row r="1219" spans="1:12" x14ac:dyDescent="0.3">
      <c r="A1219" s="1">
        <v>44174</v>
      </c>
      <c r="B1219" s="3">
        <f>YEAR(Tabla3[[#This Row],[Date]])</f>
        <v>2020</v>
      </c>
      <c r="C1219" s="1" t="str">
        <f>+TEXT(Tabla3[[#This Row],[Date]],"mmm")</f>
        <v>dic</v>
      </c>
      <c r="D1219" s="2">
        <v>1834.59997558593</v>
      </c>
      <c r="E1219" s="2">
        <v>1834.59997558593</v>
      </c>
      <c r="F1219" s="2">
        <v>1867.09997558593</v>
      </c>
      <c r="G1219" s="2">
        <v>1827</v>
      </c>
      <c r="H1219" s="2">
        <v>1867.09997558593</v>
      </c>
      <c r="I1219">
        <v>215</v>
      </c>
      <c r="J1219" s="2">
        <f ca="1">IFERROR((Tabla3[[#This Row],[Close]]-OFFSET(Tabla3[[#This Row],[Close]],-1,0))/OFFSET(Tabla3[[#This Row],[Close]],-1,0),"")</f>
        <v>-1.9350049335772647E-2</v>
      </c>
      <c r="K1219" s="2">
        <f ca="1">IFERROR(AVERAGE(OFFSET(Tabla3[[#This Row],[Close]],-6,0,7)),"")</f>
        <v>1839.957153320307</v>
      </c>
      <c r="L1219" s="2">
        <f ca="1">IFERROR(_xlfn.STDEV.S(OFFSET(Tabla3[[#This Row],[Close]],-29,0,30)),"")</f>
        <v>40.742710203118413</v>
      </c>
    </row>
    <row r="1220" spans="1:12" x14ac:dyDescent="0.3">
      <c r="A1220" s="1">
        <v>44175</v>
      </c>
      <c r="B1220" s="3">
        <f>YEAR(Tabla3[[#This Row],[Date]])</f>
        <v>2020</v>
      </c>
      <c r="C1220" s="1" t="str">
        <f>+TEXT(Tabla3[[#This Row],[Date]],"mmm")</f>
        <v>dic</v>
      </c>
      <c r="D1220" s="2">
        <v>1833.59997558593</v>
      </c>
      <c r="E1220" s="2">
        <v>1833.59997558593</v>
      </c>
      <c r="F1220" s="2">
        <v>1849.09997558593</v>
      </c>
      <c r="G1220" s="2">
        <v>1828</v>
      </c>
      <c r="H1220" s="2">
        <v>1833.19995117187</v>
      </c>
      <c r="I1220">
        <v>177</v>
      </c>
      <c r="J1220" s="2">
        <f ca="1">IFERROR((Tabla3[[#This Row],[Close]]-OFFSET(Tabla3[[#This Row],[Close]],-1,0))/OFFSET(Tabla3[[#This Row],[Close]],-1,0),"")</f>
        <v>-5.4507795339996253E-4</v>
      </c>
      <c r="K1220" s="2">
        <f ca="1">IFERROR(AVERAGE(OFFSET(Tabla3[[#This Row],[Close]],-6,0,7)),"")</f>
        <v>1842.7428676060213</v>
      </c>
      <c r="L1220" s="2">
        <f ca="1">IFERROR(_xlfn.STDEV.S(OFFSET(Tabla3[[#This Row],[Close]],-29,0,30)),"")</f>
        <v>40.925220077442312</v>
      </c>
    </row>
    <row r="1221" spans="1:12" x14ac:dyDescent="0.3">
      <c r="A1221" s="1">
        <v>44176</v>
      </c>
      <c r="B1221" s="3">
        <f>YEAR(Tabla3[[#This Row],[Date]])</f>
        <v>2020</v>
      </c>
      <c r="C1221" s="1" t="str">
        <f>+TEXT(Tabla3[[#This Row],[Date]],"mmm")</f>
        <v>dic</v>
      </c>
      <c r="D1221" s="2">
        <v>1839.80004882812</v>
      </c>
      <c r="E1221" s="2">
        <v>1839.80004882812</v>
      </c>
      <c r="F1221" s="2">
        <v>1846</v>
      </c>
      <c r="G1221" s="2">
        <v>1829.09997558593</v>
      </c>
      <c r="H1221" s="2">
        <v>1838.5</v>
      </c>
      <c r="I1221">
        <v>109</v>
      </c>
      <c r="J1221" s="2">
        <f ca="1">IFERROR((Tabla3[[#This Row],[Close]]-OFFSET(Tabla3[[#This Row],[Close]],-1,0))/OFFSET(Tabla3[[#This Row],[Close]],-1,0),"")</f>
        <v>3.3813663420282046E-3</v>
      </c>
      <c r="K1221" s="2">
        <f ca="1">IFERROR(AVERAGE(OFFSET(Tabla3[[#This Row],[Close]],-6,0,7)),"")</f>
        <v>1844.7571672711999</v>
      </c>
      <c r="L1221" s="2">
        <f ca="1">IFERROR(_xlfn.STDEV.S(OFFSET(Tabla3[[#This Row],[Close]],-29,0,30)),"")</f>
        <v>41.058332805348201</v>
      </c>
    </row>
    <row r="1222" spans="1:12" x14ac:dyDescent="0.3">
      <c r="A1222" s="1">
        <v>44179</v>
      </c>
      <c r="B1222" s="3">
        <f>YEAR(Tabla3[[#This Row],[Date]])</f>
        <v>2020</v>
      </c>
      <c r="C1222" s="1" t="str">
        <f>+TEXT(Tabla3[[#This Row],[Date]],"mmm")</f>
        <v>dic</v>
      </c>
      <c r="D1222" s="2">
        <v>1828.69995117187</v>
      </c>
      <c r="E1222" s="2">
        <v>1828.69995117187</v>
      </c>
      <c r="F1222" s="2">
        <v>1835.69995117187</v>
      </c>
      <c r="G1222" s="2">
        <v>1822.69995117187</v>
      </c>
      <c r="H1222" s="2">
        <v>1835.5</v>
      </c>
      <c r="I1222">
        <v>258</v>
      </c>
      <c r="J1222" s="2">
        <f ca="1">IFERROR((Tabla3[[#This Row],[Close]]-OFFSET(Tabla3[[#This Row],[Close]],-1,0))/OFFSET(Tabla3[[#This Row],[Close]],-1,0),"")</f>
        <v>-6.0333174049649165E-3</v>
      </c>
      <c r="K1222" s="2">
        <f ca="1">IFERROR(AVERAGE(OFFSET(Tabla3[[#This Row],[Close]],-6,0,7)),"")</f>
        <v>1843.6000104631642</v>
      </c>
      <c r="L1222" s="2">
        <f ca="1">IFERROR(_xlfn.STDEV.S(OFFSET(Tabla3[[#This Row],[Close]],-29,0,30)),"")</f>
        <v>41.243672231746103</v>
      </c>
    </row>
    <row r="1223" spans="1:12" x14ac:dyDescent="0.3">
      <c r="A1223" s="1">
        <v>44180</v>
      </c>
      <c r="B1223" s="3">
        <f>YEAR(Tabla3[[#This Row],[Date]])</f>
        <v>2020</v>
      </c>
      <c r="C1223" s="1" t="str">
        <f>+TEXT(Tabla3[[#This Row],[Date]],"mmm")</f>
        <v>dic</v>
      </c>
      <c r="D1223" s="2">
        <v>1852.30004882812</v>
      </c>
      <c r="E1223" s="2">
        <v>1852.30004882812</v>
      </c>
      <c r="F1223" s="2">
        <v>1853.59997558593</v>
      </c>
      <c r="G1223" s="2">
        <v>1833.19995117187</v>
      </c>
      <c r="H1223" s="2">
        <v>1833.5</v>
      </c>
      <c r="I1223">
        <v>961</v>
      </c>
      <c r="J1223" s="2">
        <f ca="1">IFERROR((Tabla3[[#This Row],[Close]]-OFFSET(Tabla3[[#This Row],[Close]],-1,0))/OFFSET(Tabla3[[#This Row],[Close]],-1,0),"")</f>
        <v>1.2905396339692881E-2</v>
      </c>
      <c r="K1223" s="2">
        <f ca="1">IFERROR(AVERAGE(OFFSET(Tabla3[[#This Row],[Close]],-6,0,7)),"")</f>
        <v>1845.9428710937443</v>
      </c>
      <c r="L1223" s="2">
        <f ca="1">IFERROR(_xlfn.STDEV.S(OFFSET(Tabla3[[#This Row],[Close]],-29,0,30)),"")</f>
        <v>40.75644713989935</v>
      </c>
    </row>
    <row r="1224" spans="1:12" x14ac:dyDescent="0.3">
      <c r="A1224" s="1">
        <v>44181</v>
      </c>
      <c r="B1224" s="3">
        <f>YEAR(Tabla3[[#This Row],[Date]])</f>
        <v>2020</v>
      </c>
      <c r="C1224" s="1" t="str">
        <f>+TEXT(Tabla3[[#This Row],[Date]],"mmm")</f>
        <v>dic</v>
      </c>
      <c r="D1224" s="2">
        <v>1856.09997558593</v>
      </c>
      <c r="E1224" s="2">
        <v>1856.09997558593</v>
      </c>
      <c r="F1224" s="2">
        <v>1864.69995117187</v>
      </c>
      <c r="G1224" s="2">
        <v>1850.5</v>
      </c>
      <c r="H1224" s="2">
        <v>1856.5</v>
      </c>
      <c r="I1224">
        <v>1090</v>
      </c>
      <c r="J1224" s="2">
        <f ca="1">IFERROR((Tabla3[[#This Row],[Close]]-OFFSET(Tabla3[[#This Row],[Close]],-1,0))/OFFSET(Tabla3[[#This Row],[Close]],-1,0),"")</f>
        <v>2.0514639408523842E-3</v>
      </c>
      <c r="K1224" s="2">
        <f ca="1">IFERROR(AVERAGE(OFFSET(Tabla3[[#This Row],[Close]],-6,0,7)),"")</f>
        <v>1845.1285749162885</v>
      </c>
      <c r="L1224" s="2">
        <f ca="1">IFERROR(_xlfn.STDEV.S(OFFSET(Tabla3[[#This Row],[Close]],-29,0,30)),"")</f>
        <v>39.510991156848185</v>
      </c>
    </row>
    <row r="1225" spans="1:12" x14ac:dyDescent="0.3">
      <c r="A1225" s="1">
        <v>44182</v>
      </c>
      <c r="B1225" s="3">
        <f>YEAR(Tabla3[[#This Row],[Date]])</f>
        <v>2020</v>
      </c>
      <c r="C1225" s="1" t="str">
        <f>+TEXT(Tabla3[[#This Row],[Date]],"mmm")</f>
        <v>dic</v>
      </c>
      <c r="D1225" s="2">
        <v>1887.19995117187</v>
      </c>
      <c r="E1225" s="2">
        <v>1887.19995117187</v>
      </c>
      <c r="F1225" s="2">
        <v>1896.19995117187</v>
      </c>
      <c r="G1225" s="2">
        <v>1874.19995117187</v>
      </c>
      <c r="H1225" s="2">
        <v>1874.19995117187</v>
      </c>
      <c r="I1225">
        <v>414</v>
      </c>
      <c r="J1225" s="2">
        <f ca="1">IFERROR((Tabla3[[#This Row],[Close]]-OFFSET(Tabla3[[#This Row],[Close]],-1,0))/OFFSET(Tabla3[[#This Row],[Close]],-1,0),"")</f>
        <v>1.675554980605095E-2</v>
      </c>
      <c r="K1225" s="2">
        <f ca="1">IFERROR(AVERAGE(OFFSET(Tabla3[[#This Row],[Close]],-6,0,7)),"")</f>
        <v>1847.4714181082527</v>
      </c>
      <c r="L1225" s="2">
        <f ca="1">IFERROR(_xlfn.STDEV.S(OFFSET(Tabla3[[#This Row],[Close]],-29,0,30)),"")</f>
        <v>39.269618410191683</v>
      </c>
    </row>
    <row r="1226" spans="1:12" x14ac:dyDescent="0.3">
      <c r="A1226" s="1">
        <v>44183</v>
      </c>
      <c r="B1226" s="3">
        <f>YEAR(Tabla3[[#This Row],[Date]])</f>
        <v>2020</v>
      </c>
      <c r="C1226" s="1" t="str">
        <f>+TEXT(Tabla3[[#This Row],[Date]],"mmm")</f>
        <v>dic</v>
      </c>
      <c r="D1226" s="2">
        <v>1885.69995117187</v>
      </c>
      <c r="E1226" s="2">
        <v>1885.69995117187</v>
      </c>
      <c r="F1226" s="2">
        <v>1889.5</v>
      </c>
      <c r="G1226" s="2">
        <v>1882.30004882812</v>
      </c>
      <c r="H1226" s="2">
        <v>1882.40002441406</v>
      </c>
      <c r="I1226">
        <v>276</v>
      </c>
      <c r="J1226" s="2">
        <f ca="1">IFERROR((Tabla3[[#This Row],[Close]]-OFFSET(Tabla3[[#This Row],[Close]],-1,0))/OFFSET(Tabla3[[#This Row],[Close]],-1,0),"")</f>
        <v>-7.9482833764835809E-4</v>
      </c>
      <c r="K1226" s="2">
        <f ca="1">IFERROR(AVERAGE(OFFSET(Tabla3[[#This Row],[Close]],-6,0,7)),"")</f>
        <v>1854.7714146205296</v>
      </c>
      <c r="L1226" s="2">
        <f ca="1">IFERROR(_xlfn.STDEV.S(OFFSET(Tabla3[[#This Row],[Close]],-29,0,30)),"")</f>
        <v>35.822432680621588</v>
      </c>
    </row>
    <row r="1227" spans="1:12" x14ac:dyDescent="0.3">
      <c r="A1227" s="1">
        <v>44186</v>
      </c>
      <c r="B1227" s="3">
        <f>YEAR(Tabla3[[#This Row],[Date]])</f>
        <v>2020</v>
      </c>
      <c r="C1227" s="1" t="str">
        <f>+TEXT(Tabla3[[#This Row],[Date]],"mmm")</f>
        <v>dic</v>
      </c>
      <c r="D1227" s="2">
        <v>1879.19995117187</v>
      </c>
      <c r="E1227" s="2">
        <v>1879.19995117187</v>
      </c>
      <c r="F1227" s="2">
        <v>1908</v>
      </c>
      <c r="G1227" s="2">
        <v>1869.09997558593</v>
      </c>
      <c r="H1227" s="2">
        <v>1884.80004882812</v>
      </c>
      <c r="I1227">
        <v>136</v>
      </c>
      <c r="J1227" s="2">
        <f ca="1">IFERROR((Tabla3[[#This Row],[Close]]-OFFSET(Tabla3[[#This Row],[Close]],-1,0))/OFFSET(Tabla3[[#This Row],[Close]],-1,0),"")</f>
        <v>-3.4469958998304948E-3</v>
      </c>
      <c r="K1227" s="2">
        <f ca="1">IFERROR(AVERAGE(OFFSET(Tabla3[[#This Row],[Close]],-6,0,7)),"")</f>
        <v>1861.2856968470928</v>
      </c>
      <c r="L1227" s="2">
        <f ca="1">IFERROR(_xlfn.STDEV.S(OFFSET(Tabla3[[#This Row],[Close]],-29,0,30)),"")</f>
        <v>31.103691730178834</v>
      </c>
    </row>
    <row r="1228" spans="1:12" x14ac:dyDescent="0.3">
      <c r="A1228" s="1">
        <v>44187</v>
      </c>
      <c r="B1228" s="3">
        <f>YEAR(Tabla3[[#This Row],[Date]])</f>
        <v>2020</v>
      </c>
      <c r="C1228" s="1" t="str">
        <f>+TEXT(Tabla3[[#This Row],[Date]],"mmm")</f>
        <v>dic</v>
      </c>
      <c r="D1228" s="2">
        <v>1866.59997558593</v>
      </c>
      <c r="E1228" s="2">
        <v>1866.59997558593</v>
      </c>
      <c r="F1228" s="2">
        <v>1882.19995117187</v>
      </c>
      <c r="G1228" s="2">
        <v>1861</v>
      </c>
      <c r="H1228" s="2">
        <v>1882.19995117187</v>
      </c>
      <c r="I1228">
        <v>233</v>
      </c>
      <c r="J1228" s="2">
        <f ca="1">IFERROR((Tabla3[[#This Row],[Close]]-OFFSET(Tabla3[[#This Row],[Close]],-1,0))/OFFSET(Tabla3[[#This Row],[Close]],-1,0),"")</f>
        <v>-6.7049680253996654E-3</v>
      </c>
      <c r="K1228" s="2">
        <f ca="1">IFERROR(AVERAGE(OFFSET(Tabla3[[#This Row],[Close]],-6,0,7)),"")</f>
        <v>1865.1142578124943</v>
      </c>
      <c r="L1228" s="2">
        <f ca="1">IFERROR(_xlfn.STDEV.S(OFFSET(Tabla3[[#This Row],[Close]],-29,0,30)),"")</f>
        <v>31.259534214786584</v>
      </c>
    </row>
    <row r="1229" spans="1:12" x14ac:dyDescent="0.3">
      <c r="A1229" s="1">
        <v>44188</v>
      </c>
      <c r="B1229" s="3">
        <f>YEAR(Tabla3[[#This Row],[Date]])</f>
        <v>2020</v>
      </c>
      <c r="C1229" s="1" t="str">
        <f>+TEXT(Tabla3[[#This Row],[Date]],"mmm")</f>
        <v>dic</v>
      </c>
      <c r="D1229" s="2">
        <v>1874.69995117187</v>
      </c>
      <c r="E1229" s="2">
        <v>1874.69995117187</v>
      </c>
      <c r="F1229" s="2">
        <v>1878.80004882812</v>
      </c>
      <c r="G1229" s="2">
        <v>1864.5</v>
      </c>
      <c r="H1229" s="2">
        <v>1867</v>
      </c>
      <c r="I1229">
        <v>82</v>
      </c>
      <c r="J1229" s="2">
        <f ca="1">IFERROR((Tabla3[[#This Row],[Close]]-OFFSET(Tabla3[[#This Row],[Close]],-1,0))/OFFSET(Tabla3[[#This Row],[Close]],-1,0),"")</f>
        <v>4.3394276716399293E-3</v>
      </c>
      <c r="K1229" s="2">
        <f ca="1">IFERROR(AVERAGE(OFFSET(Tabla3[[#This Row],[Close]],-6,0,7)),"")</f>
        <v>1871.6856863839225</v>
      </c>
      <c r="L1229" s="2">
        <f ca="1">IFERROR(_xlfn.STDEV.S(OFFSET(Tabla3[[#This Row],[Close]],-29,0,30)),"")</f>
        <v>31.239870181130911</v>
      </c>
    </row>
    <row r="1230" spans="1:12" x14ac:dyDescent="0.3">
      <c r="A1230" s="1">
        <v>44189</v>
      </c>
      <c r="B1230" s="3">
        <f>YEAR(Tabla3[[#This Row],[Date]])</f>
        <v>2020</v>
      </c>
      <c r="C1230" s="1" t="str">
        <f>+TEXT(Tabla3[[#This Row],[Date]],"mmm")</f>
        <v>dic</v>
      </c>
      <c r="D1230" s="2">
        <v>1879.90002441406</v>
      </c>
      <c r="E1230" s="2">
        <v>1879.90002441406</v>
      </c>
      <c r="F1230" s="2">
        <v>1879.90002441406</v>
      </c>
      <c r="G1230" s="2">
        <v>1875.69995117187</v>
      </c>
      <c r="H1230" s="2">
        <v>1877.30004882812</v>
      </c>
      <c r="I1230">
        <v>46</v>
      </c>
      <c r="J1230" s="2">
        <f ca="1">IFERROR((Tabla3[[#This Row],[Close]]-OFFSET(Tabla3[[#This Row],[Close]],-1,0))/OFFSET(Tabla3[[#This Row],[Close]],-1,0),"")</f>
        <v>2.7738162786740614E-3</v>
      </c>
      <c r="K1230" s="2">
        <f ca="1">IFERROR(AVERAGE(OFFSET(Tabla3[[#This Row],[Close]],-6,0,7)),"")</f>
        <v>1875.628540039057</v>
      </c>
      <c r="L1230" s="2">
        <f ca="1">IFERROR(_xlfn.STDEV.S(OFFSET(Tabla3[[#This Row],[Close]],-29,0,30)),"")</f>
        <v>31.669189837394395</v>
      </c>
    </row>
    <row r="1231" spans="1:12" x14ac:dyDescent="0.3">
      <c r="A1231" s="1">
        <v>44193</v>
      </c>
      <c r="B1231" s="3">
        <f>YEAR(Tabla3[[#This Row],[Date]])</f>
        <v>2020</v>
      </c>
      <c r="C1231" s="1" t="str">
        <f>+TEXT(Tabla3[[#This Row],[Date]],"mmm")</f>
        <v>dic</v>
      </c>
      <c r="D1231" s="2">
        <v>1877.19995117187</v>
      </c>
      <c r="E1231" s="2">
        <v>1877.19995117187</v>
      </c>
      <c r="F1231" s="2">
        <v>1895.80004882812</v>
      </c>
      <c r="G1231" s="2">
        <v>1873.69995117187</v>
      </c>
      <c r="H1231" s="2">
        <v>1895.5</v>
      </c>
      <c r="I1231">
        <v>75</v>
      </c>
      <c r="J1231" s="2">
        <f ca="1">IFERROR((Tabla3[[#This Row],[Close]]-OFFSET(Tabla3[[#This Row],[Close]],-1,0))/OFFSET(Tabla3[[#This Row],[Close]],-1,0),"")</f>
        <v>-1.4362855508933663E-3</v>
      </c>
      <c r="K1231" s="2">
        <f ca="1">IFERROR(AVERAGE(OFFSET(Tabla3[[#This Row],[Close]],-6,0,7)),"")</f>
        <v>1878.64282226562</v>
      </c>
      <c r="L1231" s="2">
        <f ca="1">IFERROR(_xlfn.STDEV.S(OFFSET(Tabla3[[#This Row],[Close]],-29,0,30)),"")</f>
        <v>31.792163685204812</v>
      </c>
    </row>
    <row r="1232" spans="1:12" x14ac:dyDescent="0.3">
      <c r="A1232" s="1">
        <v>44194</v>
      </c>
      <c r="B1232" s="3">
        <f>YEAR(Tabla3[[#This Row],[Date]])</f>
        <v>2020</v>
      </c>
      <c r="C1232" s="1" t="str">
        <f>+TEXT(Tabla3[[#This Row],[Date]],"mmm")</f>
        <v>dic</v>
      </c>
      <c r="D1232" s="2">
        <v>1879.69995117187</v>
      </c>
      <c r="E1232" s="2">
        <v>1879.69995117187</v>
      </c>
      <c r="F1232" s="2">
        <v>1881.30004882812</v>
      </c>
      <c r="G1232" s="2">
        <v>1879.69995117187</v>
      </c>
      <c r="H1232" s="2">
        <v>1881.30004882812</v>
      </c>
      <c r="I1232">
        <v>343</v>
      </c>
      <c r="J1232" s="2">
        <f ca="1">IFERROR((Tabla3[[#This Row],[Close]]-OFFSET(Tabla3[[#This Row],[Close]],-1,0))/OFFSET(Tabla3[[#This Row],[Close]],-1,0),"")</f>
        <v>1.3317707569933282E-3</v>
      </c>
      <c r="K1232" s="2">
        <f ca="1">IFERROR(AVERAGE(OFFSET(Tabla3[[#This Row],[Close]],-6,0,7)),"")</f>
        <v>1877.5713936941916</v>
      </c>
      <c r="L1232" s="2">
        <f ca="1">IFERROR(_xlfn.STDEV.S(OFFSET(Tabla3[[#This Row],[Close]],-29,0,30)),"")</f>
        <v>31.58045499313608</v>
      </c>
    </row>
    <row r="1233" spans="1:12" x14ac:dyDescent="0.3">
      <c r="A1233" s="1">
        <v>44195</v>
      </c>
      <c r="B1233" s="3">
        <f>YEAR(Tabla3[[#This Row],[Date]])</f>
        <v>2020</v>
      </c>
      <c r="C1233" s="1" t="str">
        <f>+TEXT(Tabla3[[#This Row],[Date]],"mmm")</f>
        <v>dic</v>
      </c>
      <c r="D1233" s="2">
        <v>1891</v>
      </c>
      <c r="E1233" s="2">
        <v>1891</v>
      </c>
      <c r="F1233" s="2">
        <v>1895.80004882812</v>
      </c>
      <c r="G1233" s="2">
        <v>1877.30004882812</v>
      </c>
      <c r="H1233" s="2">
        <v>1879.90002441406</v>
      </c>
      <c r="I1233">
        <v>444</v>
      </c>
      <c r="J1233" s="2">
        <f ca="1">IFERROR((Tabla3[[#This Row],[Close]]-OFFSET(Tabla3[[#This Row],[Close]],-1,0))/OFFSET(Tabla3[[#This Row],[Close]],-1,0),"")</f>
        <v>6.0116237280770056E-3</v>
      </c>
      <c r="K1233" s="2">
        <f ca="1">IFERROR(AVERAGE(OFFSET(Tabla3[[#This Row],[Close]],-6,0,7)),"")</f>
        <v>1878.3285435267812</v>
      </c>
      <c r="L1233" s="2">
        <f ca="1">IFERROR(_xlfn.STDEV.S(OFFSET(Tabla3[[#This Row],[Close]],-29,0,30)),"")</f>
        <v>31.737268290557402</v>
      </c>
    </row>
    <row r="1234" spans="1:12" x14ac:dyDescent="0.3">
      <c r="A1234" s="1">
        <v>44196</v>
      </c>
      <c r="B1234" s="3">
        <f>YEAR(Tabla3[[#This Row],[Date]])</f>
        <v>2020</v>
      </c>
      <c r="C1234" s="1" t="str">
        <f>+TEXT(Tabla3[[#This Row],[Date]],"mmm")</f>
        <v>dic</v>
      </c>
      <c r="D1234" s="2">
        <v>1893.09997558593</v>
      </c>
      <c r="E1234" s="2">
        <v>1893.09997558593</v>
      </c>
      <c r="F1234" s="2">
        <v>1901.30004882812</v>
      </c>
      <c r="G1234" s="2">
        <v>1892.69995117187</v>
      </c>
      <c r="H1234" s="2">
        <v>1897</v>
      </c>
      <c r="I1234">
        <v>127</v>
      </c>
      <c r="J1234" s="2">
        <f ca="1">IFERROR((Tabla3[[#This Row],[Close]]-OFFSET(Tabla3[[#This Row],[Close]],-1,0))/OFFSET(Tabla3[[#This Row],[Close]],-1,0),"")</f>
        <v>1.1105106218561589E-3</v>
      </c>
      <c r="K1234" s="2">
        <f ca="1">IFERROR(AVERAGE(OFFSET(Tabla3[[#This Row],[Close]],-6,0,7)),"")</f>
        <v>1880.3142613002185</v>
      </c>
      <c r="L1234" s="2">
        <f ca="1">IFERROR(_xlfn.STDEV.S(OFFSET(Tabla3[[#This Row],[Close]],-29,0,30)),"")</f>
        <v>32.093669205264682</v>
      </c>
    </row>
    <row r="1235" spans="1:12" x14ac:dyDescent="0.3">
      <c r="A1235" s="1">
        <v>44200</v>
      </c>
      <c r="B1235" s="3">
        <f>YEAR(Tabla3[[#This Row],[Date]])</f>
        <v>2021</v>
      </c>
      <c r="C1235" s="1" t="str">
        <f>+TEXT(Tabla3[[#This Row],[Date]],"mmm")</f>
        <v>ene</v>
      </c>
      <c r="D1235" s="2">
        <v>1944.69995117187</v>
      </c>
      <c r="E1235" s="2">
        <v>1944.69995117187</v>
      </c>
      <c r="F1235" s="2">
        <v>1945.09997558593</v>
      </c>
      <c r="G1235" s="2">
        <v>1912.19995117187</v>
      </c>
      <c r="H1235" s="2">
        <v>1912.19995117187</v>
      </c>
      <c r="I1235">
        <v>154</v>
      </c>
      <c r="J1235" s="2">
        <f ca="1">IFERROR((Tabla3[[#This Row],[Close]]-OFFSET(Tabla3[[#This Row],[Close]],-1,0))/OFFSET(Tabla3[[#This Row],[Close]],-1,0),"")</f>
        <v>2.7256867704501125E-2</v>
      </c>
      <c r="K1235" s="2">
        <f ca="1">IFERROR(AVERAGE(OFFSET(Tabla3[[#This Row],[Close]],-6,0,7)),"")</f>
        <v>1891.4714006696383</v>
      </c>
      <c r="L1235" s="2">
        <f ca="1">IFERROR(_xlfn.STDEV.S(OFFSET(Tabla3[[#This Row],[Close]],-29,0,30)),"")</f>
        <v>36.214597046390892</v>
      </c>
    </row>
    <row r="1236" spans="1:12" x14ac:dyDescent="0.3">
      <c r="A1236" s="1">
        <v>44201</v>
      </c>
      <c r="B1236" s="3">
        <f>YEAR(Tabla3[[#This Row],[Date]])</f>
        <v>2021</v>
      </c>
      <c r="C1236" s="1" t="str">
        <f>+TEXT(Tabla3[[#This Row],[Date]],"mmm")</f>
        <v>ene</v>
      </c>
      <c r="D1236" s="2">
        <v>1952.69995117187</v>
      </c>
      <c r="E1236" s="2">
        <v>1952.69995117187</v>
      </c>
      <c r="F1236" s="2">
        <v>1952.69995117187</v>
      </c>
      <c r="G1236" s="2">
        <v>1941.30004882812</v>
      </c>
      <c r="H1236" s="2">
        <v>1941.69995117187</v>
      </c>
      <c r="I1236">
        <v>113</v>
      </c>
      <c r="J1236" s="2">
        <f ca="1">IFERROR((Tabla3[[#This Row],[Close]]-OFFSET(Tabla3[[#This Row],[Close]],-1,0))/OFFSET(Tabla3[[#This Row],[Close]],-1,0),"")</f>
        <v>4.1137451539396738E-3</v>
      </c>
      <c r="K1236" s="2">
        <f ca="1">IFERROR(AVERAGE(OFFSET(Tabla3[[#This Row],[Close]],-6,0,7)),"")</f>
        <v>1902.6142578124957</v>
      </c>
      <c r="L1236" s="2">
        <f ca="1">IFERROR(_xlfn.STDEV.S(OFFSET(Tabla3[[#This Row],[Close]],-29,0,30)),"")</f>
        <v>40.529057072705342</v>
      </c>
    </row>
    <row r="1237" spans="1:12" x14ac:dyDescent="0.3">
      <c r="A1237" s="1">
        <v>44202</v>
      </c>
      <c r="B1237" s="3">
        <f>YEAR(Tabla3[[#This Row],[Date]])</f>
        <v>2021</v>
      </c>
      <c r="C1237" s="1" t="str">
        <f>+TEXT(Tabla3[[#This Row],[Date]],"mmm")</f>
        <v>ene</v>
      </c>
      <c r="D1237" s="2">
        <v>1906.90002441406</v>
      </c>
      <c r="E1237" s="2">
        <v>1906.90002441406</v>
      </c>
      <c r="F1237" s="2">
        <v>1959.90002441406</v>
      </c>
      <c r="G1237" s="2">
        <v>1901.5</v>
      </c>
      <c r="H1237" s="2">
        <v>1952</v>
      </c>
      <c r="I1237">
        <v>331</v>
      </c>
      <c r="J1237" s="2">
        <f ca="1">IFERROR((Tabla3[[#This Row],[Close]]-OFFSET(Tabla3[[#This Row],[Close]],-1,0))/OFFSET(Tabla3[[#This Row],[Close]],-1,0),"")</f>
        <v>-2.3454666821865887E-2</v>
      </c>
      <c r="K1237" s="2">
        <f ca="1">IFERROR(AVERAGE(OFFSET(Tabla3[[#This Row],[Close]],-6,0,7)),"")</f>
        <v>1906.4714006696388</v>
      </c>
      <c r="L1237" s="2">
        <f ca="1">IFERROR(_xlfn.STDEV.S(OFFSET(Tabla3[[#This Row],[Close]],-29,0,30)),"")</f>
        <v>41.48562381380475</v>
      </c>
    </row>
    <row r="1238" spans="1:12" x14ac:dyDescent="0.3">
      <c r="A1238" s="1">
        <v>44203</v>
      </c>
      <c r="B1238" s="3">
        <f>YEAR(Tabla3[[#This Row],[Date]])</f>
        <v>2021</v>
      </c>
      <c r="C1238" s="1" t="str">
        <f>+TEXT(Tabla3[[#This Row],[Date]],"mmm")</f>
        <v>ene</v>
      </c>
      <c r="D1238" s="2">
        <v>1912.30004882812</v>
      </c>
      <c r="E1238" s="2">
        <v>1912.30004882812</v>
      </c>
      <c r="F1238" s="2">
        <v>1926.69995117187</v>
      </c>
      <c r="G1238" s="2">
        <v>1912</v>
      </c>
      <c r="H1238" s="2">
        <v>1922.59997558593</v>
      </c>
      <c r="I1238">
        <v>122</v>
      </c>
      <c r="J1238" s="2">
        <f ca="1">IFERROR((Tabla3[[#This Row],[Close]]-OFFSET(Tabla3[[#This Row],[Close]],-1,0))/OFFSET(Tabla3[[#This Row],[Close]],-1,0),"")</f>
        <v>2.8318340473666328E-3</v>
      </c>
      <c r="K1238" s="2">
        <f ca="1">IFERROR(AVERAGE(OFFSET(Tabla3[[#This Row],[Close]],-6,0,7)),"")</f>
        <v>1911.485700334817</v>
      </c>
      <c r="L1238" s="2">
        <f ca="1">IFERROR(_xlfn.STDEV.S(OFFSET(Tabla3[[#This Row],[Close]],-29,0,30)),"")</f>
        <v>42.504263306328454</v>
      </c>
    </row>
    <row r="1239" spans="1:12" x14ac:dyDescent="0.3">
      <c r="A1239" s="1">
        <v>44204</v>
      </c>
      <c r="B1239" s="3">
        <f>YEAR(Tabla3[[#This Row],[Date]])</f>
        <v>2021</v>
      </c>
      <c r="C1239" s="1" t="str">
        <f>+TEXT(Tabla3[[#This Row],[Date]],"mmm")</f>
        <v>ene</v>
      </c>
      <c r="D1239" s="2">
        <v>1834.09997558593</v>
      </c>
      <c r="E1239" s="2">
        <v>1834.09997558593</v>
      </c>
      <c r="F1239" s="2">
        <v>1908</v>
      </c>
      <c r="G1239" s="2">
        <v>1834.09997558593</v>
      </c>
      <c r="H1239" s="2">
        <v>1908</v>
      </c>
      <c r="I1239">
        <v>60</v>
      </c>
      <c r="J1239" s="2">
        <f ca="1">IFERROR((Tabla3[[#This Row],[Close]]-OFFSET(Tabla3[[#This Row],[Close]],-1,0))/OFFSET(Tabla3[[#This Row],[Close]],-1,0),"")</f>
        <v>-4.0893202554751762E-2</v>
      </c>
      <c r="K1239" s="2">
        <f ca="1">IFERROR(AVERAGE(OFFSET(Tabla3[[#This Row],[Close]],-6,0,7)),"")</f>
        <v>1904.9714181082543</v>
      </c>
      <c r="L1239" s="2">
        <f ca="1">IFERROR(_xlfn.STDEV.S(OFFSET(Tabla3[[#This Row],[Close]],-29,0,30)),"")</f>
        <v>41.526068489536151</v>
      </c>
    </row>
    <row r="1240" spans="1:12" x14ac:dyDescent="0.3">
      <c r="A1240" s="1">
        <v>44207</v>
      </c>
      <c r="B1240" s="3">
        <f>YEAR(Tabla3[[#This Row],[Date]])</f>
        <v>2021</v>
      </c>
      <c r="C1240" s="1" t="str">
        <f>+TEXT(Tabla3[[#This Row],[Date]],"mmm")</f>
        <v>ene</v>
      </c>
      <c r="D1240" s="2">
        <v>1849.59997558593</v>
      </c>
      <c r="E1240" s="2">
        <v>1849.59997558593</v>
      </c>
      <c r="F1240" s="2">
        <v>1849.59997558593</v>
      </c>
      <c r="G1240" s="2">
        <v>1826.5</v>
      </c>
      <c r="H1240" s="2">
        <v>1826.5</v>
      </c>
      <c r="I1240">
        <v>20</v>
      </c>
      <c r="J1240" s="2">
        <f ca="1">IFERROR((Tabla3[[#This Row],[Close]]-OFFSET(Tabla3[[#This Row],[Close]],-1,0))/OFFSET(Tabla3[[#This Row],[Close]],-1,0),"")</f>
        <v>8.451011507727816E-3</v>
      </c>
      <c r="K1240" s="2">
        <f ca="1">IFERROR(AVERAGE(OFFSET(Tabla3[[#This Row],[Close]],-6,0,7)),"")</f>
        <v>1899.0571289062443</v>
      </c>
      <c r="L1240" s="2">
        <f ca="1">IFERROR(_xlfn.STDEV.S(OFFSET(Tabla3[[#This Row],[Close]],-29,0,30)),"")</f>
        <v>40.278897987851607</v>
      </c>
    </row>
    <row r="1241" spans="1:12" x14ac:dyDescent="0.3">
      <c r="A1241" s="1">
        <v>44208</v>
      </c>
      <c r="B1241" s="3">
        <f>YEAR(Tabla3[[#This Row],[Date]])</f>
        <v>2021</v>
      </c>
      <c r="C1241" s="1" t="str">
        <f>+TEXT(Tabla3[[#This Row],[Date]],"mmm")</f>
        <v>ene</v>
      </c>
      <c r="D1241" s="2">
        <v>1842.90002441406</v>
      </c>
      <c r="E1241" s="2">
        <v>1842.90002441406</v>
      </c>
      <c r="F1241" s="2">
        <v>1859.69995117187</v>
      </c>
      <c r="G1241" s="2">
        <v>1839.40002441406</v>
      </c>
      <c r="H1241" s="2">
        <v>1849</v>
      </c>
      <c r="I1241">
        <v>176</v>
      </c>
      <c r="J1241" s="2">
        <f ca="1">IFERROR((Tabla3[[#This Row],[Close]]-OFFSET(Tabla3[[#This Row],[Close]],-1,0))/OFFSET(Tabla3[[#This Row],[Close]],-1,0),"")</f>
        <v>-3.6223784928130407E-3</v>
      </c>
      <c r="K1241" s="2">
        <f ca="1">IFERROR(AVERAGE(OFFSET(Tabla3[[#This Row],[Close]],-6,0,7)),"")</f>
        <v>1891.8857073102629</v>
      </c>
      <c r="L1241" s="2">
        <f ca="1">IFERROR(_xlfn.STDEV.S(OFFSET(Tabla3[[#This Row],[Close]],-29,0,30)),"")</f>
        <v>37.538169129160138</v>
      </c>
    </row>
    <row r="1242" spans="1:12" x14ac:dyDescent="0.3">
      <c r="A1242" s="1">
        <v>44209</v>
      </c>
      <c r="B1242" s="3">
        <f>YEAR(Tabla3[[#This Row],[Date]])</f>
        <v>2021</v>
      </c>
      <c r="C1242" s="1" t="str">
        <f>+TEXT(Tabla3[[#This Row],[Date]],"mmm")</f>
        <v>ene</v>
      </c>
      <c r="D1242" s="2">
        <v>1853.59997558593</v>
      </c>
      <c r="E1242" s="2">
        <v>1853.59997558593</v>
      </c>
      <c r="F1242" s="2">
        <v>1858.59997558593</v>
      </c>
      <c r="G1242" s="2">
        <v>1853.59997558593</v>
      </c>
      <c r="H1242" s="2">
        <v>1858</v>
      </c>
      <c r="I1242">
        <v>189</v>
      </c>
      <c r="J1242" s="2">
        <f ca="1">IFERROR((Tabla3[[#This Row],[Close]]-OFFSET(Tabla3[[#This Row],[Close]],-1,0))/OFFSET(Tabla3[[#This Row],[Close]],-1,0),"")</f>
        <v>5.8060399534000705E-3</v>
      </c>
      <c r="K1242" s="2">
        <f ca="1">IFERROR(AVERAGE(OFFSET(Tabla3[[#This Row],[Close]],-6,0,7)),"")</f>
        <v>1878.8714250837002</v>
      </c>
      <c r="L1242" s="2">
        <f ca="1">IFERROR(_xlfn.STDEV.S(OFFSET(Tabla3[[#This Row],[Close]],-29,0,30)),"")</f>
        <v>33.710550873859084</v>
      </c>
    </row>
    <row r="1243" spans="1:12" x14ac:dyDescent="0.3">
      <c r="A1243" s="1">
        <v>44210</v>
      </c>
      <c r="B1243" s="3">
        <f>YEAR(Tabla3[[#This Row],[Date]])</f>
        <v>2021</v>
      </c>
      <c r="C1243" s="1" t="str">
        <f>+TEXT(Tabla3[[#This Row],[Date]],"mmm")</f>
        <v>ene</v>
      </c>
      <c r="D1243" s="2">
        <v>1850.30004882812</v>
      </c>
      <c r="E1243" s="2">
        <v>1850.30004882812</v>
      </c>
      <c r="F1243" s="2">
        <v>1850.69995117187</v>
      </c>
      <c r="G1243" s="2">
        <v>1836.69995117187</v>
      </c>
      <c r="H1243" s="2">
        <v>1836.69995117187</v>
      </c>
      <c r="I1243">
        <v>149</v>
      </c>
      <c r="J1243" s="2">
        <f ca="1">IFERROR((Tabla3[[#This Row],[Close]]-OFFSET(Tabla3[[#This Row],[Close]],-1,0))/OFFSET(Tabla3[[#This Row],[Close]],-1,0),"")</f>
        <v>-1.7802798884731747E-3</v>
      </c>
      <c r="K1243" s="2">
        <f ca="1">IFERROR(AVERAGE(OFFSET(Tabla3[[#This Row],[Close]],-6,0,7)),"")</f>
        <v>1864.2428676060215</v>
      </c>
      <c r="L1243" s="2">
        <f ca="1">IFERROR(_xlfn.STDEV.S(OFFSET(Tabla3[[#This Row],[Close]],-29,0,30)),"")</f>
        <v>32.384237891629418</v>
      </c>
    </row>
    <row r="1244" spans="1:12" x14ac:dyDescent="0.3">
      <c r="A1244" s="1">
        <v>44211</v>
      </c>
      <c r="B1244" s="3">
        <f>YEAR(Tabla3[[#This Row],[Date]])</f>
        <v>2021</v>
      </c>
      <c r="C1244" s="1" t="str">
        <f>+TEXT(Tabla3[[#This Row],[Date]],"mmm")</f>
        <v>ene</v>
      </c>
      <c r="D1244" s="2">
        <v>1829.30004882812</v>
      </c>
      <c r="E1244" s="2">
        <v>1829.30004882812</v>
      </c>
      <c r="F1244" s="2">
        <v>1829.40002441406</v>
      </c>
      <c r="G1244" s="2">
        <v>1825</v>
      </c>
      <c r="H1244" s="2">
        <v>1829.40002441406</v>
      </c>
      <c r="I1244">
        <v>31</v>
      </c>
      <c r="J1244" s="2">
        <f ca="1">IFERROR((Tabla3[[#This Row],[Close]]-OFFSET(Tabla3[[#This Row],[Close]],-1,0))/OFFSET(Tabla3[[#This Row],[Close]],-1,0),"")</f>
        <v>-1.1349510590620296E-2</v>
      </c>
      <c r="K1244" s="2">
        <f ca="1">IFERROR(AVERAGE(OFFSET(Tabla3[[#This Row],[Close]],-6,0,7)),"")</f>
        <v>1853.1571568080296</v>
      </c>
      <c r="L1244" s="2">
        <f ca="1">IFERROR(_xlfn.STDEV.S(OFFSET(Tabla3[[#This Row],[Close]],-29,0,30)),"")</f>
        <v>32.228701703929445</v>
      </c>
    </row>
    <row r="1245" spans="1:12" x14ac:dyDescent="0.3">
      <c r="A1245" s="1">
        <v>44215</v>
      </c>
      <c r="B1245" s="3">
        <f>YEAR(Tabla3[[#This Row],[Date]])</f>
        <v>2021</v>
      </c>
      <c r="C1245" s="1" t="str">
        <f>+TEXT(Tabla3[[#This Row],[Date]],"mmm")</f>
        <v>ene</v>
      </c>
      <c r="D1245" s="2">
        <v>1839.5</v>
      </c>
      <c r="E1245" s="2">
        <v>1839.5</v>
      </c>
      <c r="F1245" s="2">
        <v>1842.90002441406</v>
      </c>
      <c r="G1245" s="2">
        <v>1802</v>
      </c>
      <c r="H1245" s="2">
        <v>1802</v>
      </c>
      <c r="I1245">
        <v>13</v>
      </c>
      <c r="J1245" s="2">
        <f ca="1">IFERROR((Tabla3[[#This Row],[Close]]-OFFSET(Tabla3[[#This Row],[Close]],-1,0))/OFFSET(Tabla3[[#This Row],[Close]],-1,0),"")</f>
        <v>5.575876509932999E-3</v>
      </c>
      <c r="K1245" s="2">
        <f ca="1">IFERROR(AVERAGE(OFFSET(Tabla3[[#This Row],[Close]],-6,0,7)),"")</f>
        <v>1842.7571498325844</v>
      </c>
      <c r="L1245" s="2">
        <f ca="1">IFERROR(_xlfn.STDEV.S(OFFSET(Tabla3[[#This Row],[Close]],-29,0,30)),"")</f>
        <v>32.142119363267661</v>
      </c>
    </row>
    <row r="1246" spans="1:12" x14ac:dyDescent="0.3">
      <c r="A1246" s="1">
        <v>44216</v>
      </c>
      <c r="B1246" s="3">
        <f>YEAR(Tabla3[[#This Row],[Date]])</f>
        <v>2021</v>
      </c>
      <c r="C1246" s="1" t="str">
        <f>+TEXT(Tabla3[[#This Row],[Date]],"mmm")</f>
        <v>ene</v>
      </c>
      <c r="D1246" s="2">
        <v>1865.90002441406</v>
      </c>
      <c r="E1246" s="2">
        <v>1865.90002441406</v>
      </c>
      <c r="F1246" s="2">
        <v>1866.59997558593</v>
      </c>
      <c r="G1246" s="2">
        <v>1844.40002441406</v>
      </c>
      <c r="H1246" s="2">
        <v>1847.80004882812</v>
      </c>
      <c r="I1246">
        <v>16</v>
      </c>
      <c r="J1246" s="2">
        <f ca="1">IFERROR((Tabla3[[#This Row],[Close]]-OFFSET(Tabla3[[#This Row],[Close]],-1,0))/OFFSET(Tabla3[[#This Row],[Close]],-1,0),"")</f>
        <v>1.435173928462082E-2</v>
      </c>
      <c r="K1246" s="2">
        <f ca="1">IFERROR(AVERAGE(OFFSET(Tabla3[[#This Row],[Close]],-6,0,7)),"")</f>
        <v>1847.3000139508888</v>
      </c>
      <c r="L1246" s="2">
        <f ca="1">IFERROR(_xlfn.STDEV.S(OFFSET(Tabla3[[#This Row],[Close]],-29,0,30)),"")</f>
        <v>31.566438492095781</v>
      </c>
    </row>
    <row r="1247" spans="1:12" x14ac:dyDescent="0.3">
      <c r="A1247" s="1">
        <v>44217</v>
      </c>
      <c r="B1247" s="3">
        <f>YEAR(Tabla3[[#This Row],[Date]])</f>
        <v>2021</v>
      </c>
      <c r="C1247" s="1" t="str">
        <f>+TEXT(Tabla3[[#This Row],[Date]],"mmm")</f>
        <v>ene</v>
      </c>
      <c r="D1247" s="2">
        <v>1865.30004882812</v>
      </c>
      <c r="E1247" s="2">
        <v>1865.30004882812</v>
      </c>
      <c r="F1247" s="2">
        <v>1868</v>
      </c>
      <c r="G1247" s="2">
        <v>1865.30004882812</v>
      </c>
      <c r="H1247" s="2">
        <v>1865.30004882812</v>
      </c>
      <c r="I1247">
        <v>6</v>
      </c>
      <c r="J1247" s="2">
        <f ca="1">IFERROR((Tabla3[[#This Row],[Close]]-OFFSET(Tabla3[[#This Row],[Close]],-1,0))/OFFSET(Tabla3[[#This Row],[Close]],-1,0),"")</f>
        <v>-3.2154755243567174E-4</v>
      </c>
      <c r="K1247" s="2">
        <f ca="1">IFERROR(AVERAGE(OFFSET(Tabla3[[#This Row],[Close]],-6,0,7)),"")</f>
        <v>1849.5428815569157</v>
      </c>
      <c r="L1247" s="2">
        <f ca="1">IFERROR(_xlfn.STDEV.S(OFFSET(Tabla3[[#This Row],[Close]],-29,0,30)),"")</f>
        <v>31.544886749187299</v>
      </c>
    </row>
    <row r="1248" spans="1:12" x14ac:dyDescent="0.3">
      <c r="A1248" s="1">
        <v>44218</v>
      </c>
      <c r="B1248" s="3">
        <f>YEAR(Tabla3[[#This Row],[Date]])</f>
        <v>2021</v>
      </c>
      <c r="C1248" s="1" t="str">
        <f>+TEXT(Tabla3[[#This Row],[Date]],"mmm")</f>
        <v>ene</v>
      </c>
      <c r="D1248" s="2">
        <v>1855.69995117187</v>
      </c>
      <c r="E1248" s="2">
        <v>1855.69995117187</v>
      </c>
      <c r="F1248" s="2">
        <v>1855.69995117187</v>
      </c>
      <c r="G1248" s="2">
        <v>1852.69995117187</v>
      </c>
      <c r="H1248" s="2">
        <v>1854.90002441406</v>
      </c>
      <c r="I1248">
        <v>8</v>
      </c>
      <c r="J1248" s="2">
        <f ca="1">IFERROR((Tabla3[[#This Row],[Close]]-OFFSET(Tabla3[[#This Row],[Close]],-1,0))/OFFSET(Tabla3[[#This Row],[Close]],-1,0),"")</f>
        <v>-5.1466774271953127E-3</v>
      </c>
      <c r="K1248" s="2">
        <f ca="1">IFERROR(AVERAGE(OFFSET(Tabla3[[#This Row],[Close]],-6,0,7)),"")</f>
        <v>1851.371442522317</v>
      </c>
      <c r="L1248" s="2">
        <f ca="1">IFERROR(_xlfn.STDEV.S(OFFSET(Tabla3[[#This Row],[Close]],-29,0,30)),"")</f>
        <v>31.639519008471421</v>
      </c>
    </row>
    <row r="1249" spans="1:12" x14ac:dyDescent="0.3">
      <c r="A1249" s="1">
        <v>44221</v>
      </c>
      <c r="B1249" s="3">
        <f>YEAR(Tabla3[[#This Row],[Date]])</f>
        <v>2021</v>
      </c>
      <c r="C1249" s="1" t="str">
        <f>+TEXT(Tabla3[[#This Row],[Date]],"mmm")</f>
        <v>ene</v>
      </c>
      <c r="D1249" s="2">
        <v>1854.90002441406</v>
      </c>
      <c r="E1249" s="2">
        <v>1854.90002441406</v>
      </c>
      <c r="F1249" s="2">
        <v>1864.69995117187</v>
      </c>
      <c r="G1249" s="2">
        <v>1851.80004882812</v>
      </c>
      <c r="H1249" s="2">
        <v>1864.69995117187</v>
      </c>
      <c r="I1249">
        <v>26</v>
      </c>
      <c r="J1249" s="2">
        <f ca="1">IFERROR((Tabla3[[#This Row],[Close]]-OFFSET(Tabla3[[#This Row],[Close]],-1,0))/OFFSET(Tabla3[[#This Row],[Close]],-1,0),"")</f>
        <v>-4.3106470811989144E-4</v>
      </c>
      <c r="K1249" s="2">
        <f ca="1">IFERROR(AVERAGE(OFFSET(Tabla3[[#This Row],[Close]],-6,0,7)),"")</f>
        <v>1851.5571637834785</v>
      </c>
      <c r="L1249" s="2">
        <f ca="1">IFERROR(_xlfn.STDEV.S(OFFSET(Tabla3[[#This Row],[Close]],-29,0,30)),"")</f>
        <v>31.096614398173916</v>
      </c>
    </row>
    <row r="1250" spans="1:12" x14ac:dyDescent="0.3">
      <c r="A1250" s="1">
        <v>44222</v>
      </c>
      <c r="B1250" s="3">
        <f>YEAR(Tabla3[[#This Row],[Date]])</f>
        <v>2021</v>
      </c>
      <c r="C1250" s="1" t="str">
        <f>+TEXT(Tabla3[[#This Row],[Date]],"mmm")</f>
        <v>ene</v>
      </c>
      <c r="D1250" s="2">
        <v>1850.69995117187</v>
      </c>
      <c r="E1250" s="2">
        <v>1850.69995117187</v>
      </c>
      <c r="F1250" s="2">
        <v>1855.80004882812</v>
      </c>
      <c r="G1250" s="2">
        <v>1850.69995117187</v>
      </c>
      <c r="H1250" s="2">
        <v>1855.80004882812</v>
      </c>
      <c r="I1250">
        <v>59</v>
      </c>
      <c r="J1250" s="2">
        <f ca="1">IFERROR((Tabla3[[#This Row],[Close]]-OFFSET(Tabla3[[#This Row],[Close]],-1,0))/OFFSET(Tabla3[[#This Row],[Close]],-1,0),"")</f>
        <v>-2.2643124626173599E-3</v>
      </c>
      <c r="K1250" s="2">
        <f ca="1">IFERROR(AVERAGE(OFFSET(Tabla3[[#This Row],[Close]],-6,0,7)),"")</f>
        <v>1851.6142926897285</v>
      </c>
      <c r="L1250" s="2">
        <f ca="1">IFERROR(_xlfn.STDEV.S(OFFSET(Tabla3[[#This Row],[Close]],-29,0,30)),"")</f>
        <v>30.56971499360964</v>
      </c>
    </row>
    <row r="1251" spans="1:12" x14ac:dyDescent="0.3">
      <c r="A1251" s="1">
        <v>44223</v>
      </c>
      <c r="B1251" s="3">
        <f>YEAR(Tabla3[[#This Row],[Date]])</f>
        <v>2021</v>
      </c>
      <c r="C1251" s="1" t="str">
        <f>+TEXT(Tabla3[[#This Row],[Date]],"mmm")</f>
        <v>ene</v>
      </c>
      <c r="D1251" s="2">
        <v>1844.90002441406</v>
      </c>
      <c r="E1251" s="2">
        <v>1844.90002441406</v>
      </c>
      <c r="F1251" s="2">
        <v>1844.90002441406</v>
      </c>
      <c r="G1251" s="2">
        <v>1844.90002441406</v>
      </c>
      <c r="H1251" s="2">
        <v>1844.90002441406</v>
      </c>
      <c r="I1251">
        <v>195540</v>
      </c>
      <c r="J1251" s="2">
        <f ca="1">IFERROR((Tabla3[[#This Row],[Close]]-OFFSET(Tabla3[[#This Row],[Close]],-1,0))/OFFSET(Tabla3[[#This Row],[Close]],-1,0),"")</f>
        <v>-3.1339098237601745E-3</v>
      </c>
      <c r="K1251" s="2">
        <f ca="1">IFERROR(AVERAGE(OFFSET(Tabla3[[#This Row],[Close]],-6,0,7)),"")</f>
        <v>1853.8428606305772</v>
      </c>
      <c r="L1251" s="2">
        <f ca="1">IFERROR(_xlfn.STDEV.S(OFFSET(Tabla3[[#This Row],[Close]],-29,0,30)),"")</f>
        <v>30.409820096936873</v>
      </c>
    </row>
    <row r="1252" spans="1:12" x14ac:dyDescent="0.3">
      <c r="A1252" s="1">
        <v>44224</v>
      </c>
      <c r="B1252" s="3">
        <f>YEAR(Tabla3[[#This Row],[Date]])</f>
        <v>2021</v>
      </c>
      <c r="C1252" s="1" t="str">
        <f>+TEXT(Tabla3[[#This Row],[Date]],"mmm")</f>
        <v>ene</v>
      </c>
      <c r="D1252" s="2">
        <v>1837.90002441406</v>
      </c>
      <c r="E1252" s="2">
        <v>1837.90002441406</v>
      </c>
      <c r="F1252" s="2">
        <v>1862.90002441406</v>
      </c>
      <c r="G1252" s="2">
        <v>1831.5</v>
      </c>
      <c r="H1252" s="2">
        <v>1843.40002441406</v>
      </c>
      <c r="I1252">
        <v>27283</v>
      </c>
      <c r="J1252" s="2">
        <f ca="1">IFERROR((Tabla3[[#This Row],[Close]]-OFFSET(Tabla3[[#This Row],[Close]],-1,0))/OFFSET(Tabla3[[#This Row],[Close]],-1,0),"")</f>
        <v>-3.7942435402282568E-3</v>
      </c>
      <c r="K1252" s="2">
        <f ca="1">IFERROR(AVERAGE(OFFSET(Tabla3[[#This Row],[Close]],-6,0,7)),"")</f>
        <v>1853.6142926897287</v>
      </c>
      <c r="L1252" s="2">
        <f ca="1">IFERROR(_xlfn.STDEV.S(OFFSET(Tabla3[[#This Row],[Close]],-29,0,30)),"")</f>
        <v>30.021238518148699</v>
      </c>
    </row>
    <row r="1253" spans="1:12" x14ac:dyDescent="0.3">
      <c r="A1253" s="1">
        <v>44225</v>
      </c>
      <c r="B1253" s="3">
        <f>YEAR(Tabla3[[#This Row],[Date]])</f>
        <v>2021</v>
      </c>
      <c r="C1253" s="1" t="str">
        <f>+TEXT(Tabla3[[#This Row],[Date]],"mmm")</f>
        <v>ene</v>
      </c>
      <c r="D1253" s="2">
        <v>1847.30004882812</v>
      </c>
      <c r="E1253" s="2">
        <v>1847.30004882812</v>
      </c>
      <c r="F1253" s="2">
        <v>1876</v>
      </c>
      <c r="G1253" s="2">
        <v>1838.69995117187</v>
      </c>
      <c r="H1253" s="2">
        <v>1842</v>
      </c>
      <c r="I1253">
        <v>1634</v>
      </c>
      <c r="J1253" s="2">
        <f ca="1">IFERROR((Tabla3[[#This Row],[Close]]-OFFSET(Tabla3[[#This Row],[Close]],-1,0))/OFFSET(Tabla3[[#This Row],[Close]],-1,0),"")</f>
        <v>5.1145461065309119E-3</v>
      </c>
      <c r="K1253" s="2">
        <f ca="1">IFERROR(AVERAGE(OFFSET(Tabla3[[#This Row],[Close]],-6,0,7)),"")</f>
        <v>1850.9571533203086</v>
      </c>
      <c r="L1253" s="2">
        <f ca="1">IFERROR(_xlfn.STDEV.S(OFFSET(Tabla3[[#This Row],[Close]],-29,0,30)),"")</f>
        <v>30.139198637734808</v>
      </c>
    </row>
    <row r="1254" spans="1:12" x14ac:dyDescent="0.3">
      <c r="A1254" s="1">
        <v>44228</v>
      </c>
      <c r="B1254" s="3">
        <f>YEAR(Tabla3[[#This Row],[Date]])</f>
        <v>2021</v>
      </c>
      <c r="C1254" s="1" t="str">
        <f>+TEXT(Tabla3[[#This Row],[Date]],"mmm")</f>
        <v>feb</v>
      </c>
      <c r="D1254" s="2">
        <v>1860.80004882812</v>
      </c>
      <c r="E1254" s="2">
        <v>1860.80004882812</v>
      </c>
      <c r="F1254" s="2">
        <v>1871.90002441406</v>
      </c>
      <c r="G1254" s="2">
        <v>1850</v>
      </c>
      <c r="H1254" s="2">
        <v>1866.59997558593</v>
      </c>
      <c r="I1254">
        <v>1494</v>
      </c>
      <c r="J1254" s="2">
        <f ca="1">IFERROR((Tabla3[[#This Row],[Close]]-OFFSET(Tabla3[[#This Row],[Close]],-1,0))/OFFSET(Tabla3[[#This Row],[Close]],-1,0),"")</f>
        <v>7.3079627798223979E-3</v>
      </c>
      <c r="K1254" s="2">
        <f ca="1">IFERROR(AVERAGE(OFFSET(Tabla3[[#This Row],[Close]],-6,0,7)),"")</f>
        <v>1850.3142961774513</v>
      </c>
      <c r="L1254" s="2">
        <f ca="1">IFERROR(_xlfn.STDEV.S(OFFSET(Tabla3[[#This Row],[Close]],-29,0,30)),"")</f>
        <v>30.075004495379499</v>
      </c>
    </row>
    <row r="1255" spans="1:12" x14ac:dyDescent="0.3">
      <c r="A1255" s="1">
        <v>44229</v>
      </c>
      <c r="B1255" s="3">
        <f>YEAR(Tabla3[[#This Row],[Date]])</f>
        <v>2021</v>
      </c>
      <c r="C1255" s="1" t="str">
        <f>+TEXT(Tabla3[[#This Row],[Date]],"mmm")</f>
        <v>feb</v>
      </c>
      <c r="D1255" s="2">
        <v>1830.5</v>
      </c>
      <c r="E1255" s="2">
        <v>1830.5</v>
      </c>
      <c r="F1255" s="2">
        <v>1861.30004882812</v>
      </c>
      <c r="G1255" s="2">
        <v>1827.59997558593</v>
      </c>
      <c r="H1255" s="2">
        <v>1859.59997558593</v>
      </c>
      <c r="I1255">
        <v>1293</v>
      </c>
      <c r="J1255" s="2">
        <f ca="1">IFERROR((Tabla3[[#This Row],[Close]]-OFFSET(Tabla3[[#This Row],[Close]],-1,0))/OFFSET(Tabla3[[#This Row],[Close]],-1,0),"")</f>
        <v>-1.6283344815689424E-2</v>
      </c>
      <c r="K1255" s="2">
        <f ca="1">IFERROR(AVERAGE(OFFSET(Tabla3[[#This Row],[Close]],-6,0,7)),"")</f>
        <v>1846.7143031528983</v>
      </c>
      <c r="L1255" s="2">
        <f ca="1">IFERROR(_xlfn.STDEV.S(OFFSET(Tabla3[[#This Row],[Close]],-29,0,30)),"")</f>
        <v>30.7600991169144</v>
      </c>
    </row>
    <row r="1256" spans="1:12" x14ac:dyDescent="0.3">
      <c r="A1256" s="1">
        <v>44230</v>
      </c>
      <c r="B1256" s="3">
        <f>YEAR(Tabla3[[#This Row],[Date]])</f>
        <v>2021</v>
      </c>
      <c r="C1256" s="1" t="str">
        <f>+TEXT(Tabla3[[#This Row],[Date]],"mmm")</f>
        <v>feb</v>
      </c>
      <c r="D1256" s="2">
        <v>1832.19995117187</v>
      </c>
      <c r="E1256" s="2">
        <v>1832.19995117187</v>
      </c>
      <c r="F1256" s="2">
        <v>1842.40002441406</v>
      </c>
      <c r="G1256" s="2">
        <v>1829.80004882812</v>
      </c>
      <c r="H1256" s="2">
        <v>1834.80004882812</v>
      </c>
      <c r="I1256">
        <v>1195</v>
      </c>
      <c r="J1256" s="2">
        <f ca="1">IFERROR((Tabla3[[#This Row],[Close]]-OFFSET(Tabla3[[#This Row],[Close]],-1,0))/OFFSET(Tabla3[[#This Row],[Close]],-1,0),"")</f>
        <v>9.2868132852772347E-4</v>
      </c>
      <c r="K1256" s="2">
        <f ca="1">IFERROR(AVERAGE(OFFSET(Tabla3[[#This Row],[Close]],-6,0,7)),"")</f>
        <v>1843.4714355468714</v>
      </c>
      <c r="L1256" s="2">
        <f ca="1">IFERROR(_xlfn.STDEV.S(OFFSET(Tabla3[[#This Row],[Close]],-29,0,30)),"")</f>
        <v>31.278807655655353</v>
      </c>
    </row>
    <row r="1257" spans="1:12" x14ac:dyDescent="0.3">
      <c r="A1257" s="1">
        <v>44231</v>
      </c>
      <c r="B1257" s="3">
        <f>YEAR(Tabla3[[#This Row],[Date]])</f>
        <v>2021</v>
      </c>
      <c r="C1257" s="1" t="str">
        <f>+TEXT(Tabla3[[#This Row],[Date]],"mmm")</f>
        <v>feb</v>
      </c>
      <c r="D1257" s="2">
        <v>1788.90002441406</v>
      </c>
      <c r="E1257" s="2">
        <v>1788.90002441406</v>
      </c>
      <c r="F1257" s="2">
        <v>1832.19995117187</v>
      </c>
      <c r="G1257" s="2">
        <v>1782.80004882812</v>
      </c>
      <c r="H1257" s="2">
        <v>1832.19995117187</v>
      </c>
      <c r="I1257">
        <v>2375</v>
      </c>
      <c r="J1257" s="2">
        <f ca="1">IFERROR((Tabla3[[#This Row],[Close]]-OFFSET(Tabla3[[#This Row],[Close]],-1,0))/OFFSET(Tabla3[[#This Row],[Close]],-1,0),"")</f>
        <v>-2.3632751834817747E-2</v>
      </c>
      <c r="K1257" s="2">
        <f ca="1">IFERROR(AVERAGE(OFFSET(Tabla3[[#This Row],[Close]],-6,0,7)),"")</f>
        <v>1834.6428745814701</v>
      </c>
      <c r="L1257" s="2">
        <f ca="1">IFERROR(_xlfn.STDEV.S(OFFSET(Tabla3[[#This Row],[Close]],-29,0,30)),"")</f>
        <v>34.246461033175223</v>
      </c>
    </row>
    <row r="1258" spans="1:12" x14ac:dyDescent="0.3">
      <c r="A1258" s="1">
        <v>44232</v>
      </c>
      <c r="B1258" s="3">
        <f>YEAR(Tabla3[[#This Row],[Date]])</f>
        <v>2021</v>
      </c>
      <c r="C1258" s="1" t="str">
        <f>+TEXT(Tabla3[[#This Row],[Date]],"mmm")</f>
        <v>feb</v>
      </c>
      <c r="D1258" s="2">
        <v>1810.90002441406</v>
      </c>
      <c r="E1258" s="2">
        <v>1810.90002441406</v>
      </c>
      <c r="F1258" s="2">
        <v>1813.5</v>
      </c>
      <c r="G1258" s="2">
        <v>1790.90002441406</v>
      </c>
      <c r="H1258" s="2">
        <v>1794.30004882812</v>
      </c>
      <c r="I1258">
        <v>1278</v>
      </c>
      <c r="J1258" s="2">
        <f ca="1">IFERROR((Tabla3[[#This Row],[Close]]-OFFSET(Tabla3[[#This Row],[Close]],-1,0))/OFFSET(Tabla3[[#This Row],[Close]],-1,0),"")</f>
        <v>1.2298060092657177E-2</v>
      </c>
      <c r="K1258" s="2">
        <f ca="1">IFERROR(AVERAGE(OFFSET(Tabla3[[#This Row],[Close]],-6,0,7)),"")</f>
        <v>1829.7857317243272</v>
      </c>
      <c r="L1258" s="2">
        <f ca="1">IFERROR(_xlfn.STDEV.S(OFFSET(Tabla3[[#This Row],[Close]],-29,0,30)),"")</f>
        <v>35.571972704001006</v>
      </c>
    </row>
    <row r="1259" spans="1:12" x14ac:dyDescent="0.3">
      <c r="A1259" s="1">
        <v>44235</v>
      </c>
      <c r="B1259" s="3">
        <f>YEAR(Tabla3[[#This Row],[Date]])</f>
        <v>2021</v>
      </c>
      <c r="C1259" s="1" t="str">
        <f>+TEXT(Tabla3[[#This Row],[Date]],"mmm")</f>
        <v>feb</v>
      </c>
      <c r="D1259" s="2">
        <v>1831.90002441406</v>
      </c>
      <c r="E1259" s="2">
        <v>1831.90002441406</v>
      </c>
      <c r="F1259" s="2">
        <v>1836.69995117187</v>
      </c>
      <c r="G1259" s="2">
        <v>1809</v>
      </c>
      <c r="H1259" s="2">
        <v>1816.30004882812</v>
      </c>
      <c r="I1259">
        <v>254</v>
      </c>
      <c r="J1259" s="2">
        <f ca="1">IFERROR((Tabla3[[#This Row],[Close]]-OFFSET(Tabla3[[#This Row],[Close]],-1,0))/OFFSET(Tabla3[[#This Row],[Close]],-1,0),"")</f>
        <v>1.1596443600907686E-2</v>
      </c>
      <c r="K1259" s="2">
        <f ca="1">IFERROR(AVERAGE(OFFSET(Tabla3[[#This Row],[Close]],-6,0,7)),"")</f>
        <v>1828.9285888671845</v>
      </c>
      <c r="L1259" s="2">
        <f ca="1">IFERROR(_xlfn.STDEV.S(OFFSET(Tabla3[[#This Row],[Close]],-29,0,30)),"")</f>
        <v>35.898243200419941</v>
      </c>
    </row>
    <row r="1260" spans="1:12" x14ac:dyDescent="0.3">
      <c r="A1260" s="1">
        <v>44236</v>
      </c>
      <c r="B1260" s="3">
        <f>YEAR(Tabla3[[#This Row],[Date]])</f>
        <v>2021</v>
      </c>
      <c r="C1260" s="1" t="str">
        <f>+TEXT(Tabla3[[#This Row],[Date]],"mmm")</f>
        <v>feb</v>
      </c>
      <c r="D1260" s="2">
        <v>1835.30004882812</v>
      </c>
      <c r="E1260" s="2">
        <v>1835.30004882812</v>
      </c>
      <c r="F1260" s="2">
        <v>1843.30004882812</v>
      </c>
      <c r="G1260" s="2">
        <v>1830.69995117187</v>
      </c>
      <c r="H1260" s="2">
        <v>1841.90002441406</v>
      </c>
      <c r="I1260">
        <v>184</v>
      </c>
      <c r="J1260" s="2">
        <f ca="1">IFERROR((Tabla3[[#This Row],[Close]]-OFFSET(Tabla3[[#This Row],[Close]],-1,0))/OFFSET(Tabla3[[#This Row],[Close]],-1,0),"")</f>
        <v>1.8560098088035723E-3</v>
      </c>
      <c r="K1260" s="2">
        <f ca="1">IFERROR(AVERAGE(OFFSET(Tabla3[[#This Row],[Close]],-6,0,7)),"")</f>
        <v>1827.2143031528988</v>
      </c>
      <c r="L1260" s="2">
        <f ca="1">IFERROR(_xlfn.STDEV.S(OFFSET(Tabla3[[#This Row],[Close]],-29,0,30)),"")</f>
        <v>35.989948007625955</v>
      </c>
    </row>
    <row r="1261" spans="1:12" x14ac:dyDescent="0.3">
      <c r="A1261" s="1">
        <v>44237</v>
      </c>
      <c r="B1261" s="3">
        <f>YEAR(Tabla3[[#This Row],[Date]])</f>
        <v>2021</v>
      </c>
      <c r="C1261" s="1" t="str">
        <f>+TEXT(Tabla3[[#This Row],[Date]],"mmm")</f>
        <v>feb</v>
      </c>
      <c r="D1261" s="2">
        <v>1840.59997558593</v>
      </c>
      <c r="E1261" s="2">
        <v>1840.59997558593</v>
      </c>
      <c r="F1261" s="2">
        <v>1851.09997558593</v>
      </c>
      <c r="G1261" s="2">
        <v>1837</v>
      </c>
      <c r="H1261" s="2">
        <v>1842.59997558593</v>
      </c>
      <c r="I1261">
        <v>543</v>
      </c>
      <c r="J1261" s="2">
        <f ca="1">IFERROR((Tabla3[[#This Row],[Close]]-OFFSET(Tabla3[[#This Row],[Close]],-1,0))/OFFSET(Tabla3[[#This Row],[Close]],-1,0),"")</f>
        <v>2.8877712727104869E-3</v>
      </c>
      <c r="K1261" s="2">
        <f ca="1">IFERROR(AVERAGE(OFFSET(Tabla3[[#This Row],[Close]],-6,0,7)),"")</f>
        <v>1824.3285784040143</v>
      </c>
      <c r="L1261" s="2">
        <f ca="1">IFERROR(_xlfn.STDEV.S(OFFSET(Tabla3[[#This Row],[Close]],-29,0,30)),"")</f>
        <v>35.972060711612542</v>
      </c>
    </row>
    <row r="1262" spans="1:12" x14ac:dyDescent="0.3">
      <c r="A1262" s="1">
        <v>44238</v>
      </c>
      <c r="B1262" s="3">
        <f>YEAR(Tabla3[[#This Row],[Date]])</f>
        <v>2021</v>
      </c>
      <c r="C1262" s="1" t="str">
        <f>+TEXT(Tabla3[[#This Row],[Date]],"mmm")</f>
        <v>feb</v>
      </c>
      <c r="D1262" s="2">
        <v>1824.90002441406</v>
      </c>
      <c r="E1262" s="2">
        <v>1824.90002441406</v>
      </c>
      <c r="F1262" s="2">
        <v>1845</v>
      </c>
      <c r="G1262" s="2">
        <v>1820.90002441406</v>
      </c>
      <c r="H1262" s="2">
        <v>1840.5</v>
      </c>
      <c r="I1262">
        <v>602</v>
      </c>
      <c r="J1262" s="2">
        <f ca="1">IFERROR((Tabla3[[#This Row],[Close]]-OFFSET(Tabla3[[#This Row],[Close]],-1,0))/OFFSET(Tabla3[[#This Row],[Close]],-1,0),"")</f>
        <v>-8.5298008150152954E-3</v>
      </c>
      <c r="K1262" s="2">
        <f ca="1">IFERROR(AVERAGE(OFFSET(Tabla3[[#This Row],[Close]],-6,0,7)),"")</f>
        <v>1823.5285818917371</v>
      </c>
      <c r="L1262" s="2">
        <f ca="1">IFERROR(_xlfn.STDEV.S(OFFSET(Tabla3[[#This Row],[Close]],-29,0,30)),"")</f>
        <v>36.211159171569143</v>
      </c>
    </row>
    <row r="1263" spans="1:12" x14ac:dyDescent="0.3">
      <c r="A1263" s="1">
        <v>44239</v>
      </c>
      <c r="B1263" s="3">
        <f>YEAR(Tabla3[[#This Row],[Date]])</f>
        <v>2021</v>
      </c>
      <c r="C1263" s="1" t="str">
        <f>+TEXT(Tabla3[[#This Row],[Date]],"mmm")</f>
        <v>feb</v>
      </c>
      <c r="D1263" s="2">
        <v>1821.59997558593</v>
      </c>
      <c r="E1263" s="2">
        <v>1821.59997558593</v>
      </c>
      <c r="F1263" s="2">
        <v>1827.5</v>
      </c>
      <c r="G1263" s="2">
        <v>1809.19995117187</v>
      </c>
      <c r="H1263" s="2">
        <v>1825</v>
      </c>
      <c r="I1263">
        <v>259</v>
      </c>
      <c r="J1263" s="2">
        <f ca="1">IFERROR((Tabla3[[#This Row],[Close]]-OFFSET(Tabla3[[#This Row],[Close]],-1,0))/OFFSET(Tabla3[[#This Row],[Close]],-1,0),"")</f>
        <v>-1.8083449964277269E-3</v>
      </c>
      <c r="K1263" s="2">
        <f ca="1">IFERROR(AVERAGE(OFFSET(Tabla3[[#This Row],[Close]],-6,0,7)),"")</f>
        <v>1822.0142996651743</v>
      </c>
      <c r="L1263" s="2">
        <f ca="1">IFERROR(_xlfn.STDEV.S(OFFSET(Tabla3[[#This Row],[Close]],-29,0,30)),"")</f>
        <v>36.111672256803828</v>
      </c>
    </row>
    <row r="1264" spans="1:12" x14ac:dyDescent="0.3">
      <c r="A1264" s="1">
        <v>44243</v>
      </c>
      <c r="B1264" s="3">
        <f>YEAR(Tabla3[[#This Row],[Date]])</f>
        <v>2021</v>
      </c>
      <c r="C1264" s="1" t="str">
        <f>+TEXT(Tabla3[[#This Row],[Date]],"mmm")</f>
        <v>feb</v>
      </c>
      <c r="D1264" s="2">
        <v>1797.19995117187</v>
      </c>
      <c r="E1264" s="2">
        <v>1797.19995117187</v>
      </c>
      <c r="F1264" s="2">
        <v>1823.40002441406</v>
      </c>
      <c r="G1264" s="2">
        <v>1787.30004882812</v>
      </c>
      <c r="H1264" s="2">
        <v>1820.90002441406</v>
      </c>
      <c r="I1264">
        <v>1141</v>
      </c>
      <c r="J1264" s="2">
        <f ca="1">IFERROR((Tabla3[[#This Row],[Close]]-OFFSET(Tabla3[[#This Row],[Close]],-1,0))/OFFSET(Tabla3[[#This Row],[Close]],-1,0),"")</f>
        <v>-1.3394831324704846E-2</v>
      </c>
      <c r="K1264" s="2">
        <f ca="1">IFERROR(AVERAGE(OFFSET(Tabla3[[#This Row],[Close]],-6,0,7)),"")</f>
        <v>1823.2000034877185</v>
      </c>
      <c r="L1264" s="2">
        <f ca="1">IFERROR(_xlfn.STDEV.S(OFFSET(Tabla3[[#This Row],[Close]],-29,0,30)),"")</f>
        <v>36.7373546248173</v>
      </c>
    </row>
    <row r="1265" spans="1:12" x14ac:dyDescent="0.3">
      <c r="A1265" s="1">
        <v>44244</v>
      </c>
      <c r="B1265" s="3">
        <f>YEAR(Tabla3[[#This Row],[Date]])</f>
        <v>2021</v>
      </c>
      <c r="C1265" s="1" t="str">
        <f>+TEXT(Tabla3[[#This Row],[Date]],"mmm")</f>
        <v>feb</v>
      </c>
      <c r="D1265" s="2">
        <v>1771.09997558593</v>
      </c>
      <c r="E1265" s="2">
        <v>1771.09997558593</v>
      </c>
      <c r="F1265" s="2">
        <v>1789.69995117187</v>
      </c>
      <c r="G1265" s="2">
        <v>1768.80004882812</v>
      </c>
      <c r="H1265" s="2">
        <v>1785.80004882812</v>
      </c>
      <c r="I1265">
        <v>614</v>
      </c>
      <c r="J1265" s="2">
        <f ca="1">IFERROR((Tabla3[[#This Row],[Close]]-OFFSET(Tabla3[[#This Row],[Close]],-1,0))/OFFSET(Tabla3[[#This Row],[Close]],-1,0),"")</f>
        <v>-1.4522577506705043E-2</v>
      </c>
      <c r="K1265" s="2">
        <f ca="1">IFERROR(AVERAGE(OFFSET(Tabla3[[#This Row],[Close]],-6,0,7)),"")</f>
        <v>1817.514282226557</v>
      </c>
      <c r="L1265" s="2">
        <f ca="1">IFERROR(_xlfn.STDEV.S(OFFSET(Tabla3[[#This Row],[Close]],-29,0,30)),"")</f>
        <v>35.010273792334253</v>
      </c>
    </row>
    <row r="1266" spans="1:12" x14ac:dyDescent="0.3">
      <c r="A1266" s="1">
        <v>44245</v>
      </c>
      <c r="B1266" s="3">
        <f>YEAR(Tabla3[[#This Row],[Date]])</f>
        <v>2021</v>
      </c>
      <c r="C1266" s="1" t="str">
        <f>+TEXT(Tabla3[[#This Row],[Date]],"mmm")</f>
        <v>feb</v>
      </c>
      <c r="D1266" s="2">
        <v>1773.40002441406</v>
      </c>
      <c r="E1266" s="2">
        <v>1773.40002441406</v>
      </c>
      <c r="F1266" s="2">
        <v>1784.59997558593</v>
      </c>
      <c r="G1266" s="2">
        <v>1766</v>
      </c>
      <c r="H1266" s="2">
        <v>1776.09997558593</v>
      </c>
      <c r="I1266">
        <v>587</v>
      </c>
      <c r="J1266" s="2">
        <f ca="1">IFERROR((Tabla3[[#This Row],[Close]]-OFFSET(Tabla3[[#This Row],[Close]],-1,0))/OFFSET(Tabla3[[#This Row],[Close]],-1,0),"")</f>
        <v>1.2986555585994409E-3</v>
      </c>
      <c r="K1266" s="2">
        <f ca="1">IFERROR(AVERAGE(OFFSET(Tabla3[[#This Row],[Close]],-6,0,7)),"")</f>
        <v>1809.1571393694144</v>
      </c>
      <c r="L1266" s="2">
        <f ca="1">IFERROR(_xlfn.STDEV.S(OFFSET(Tabla3[[#This Row],[Close]],-29,0,30)),"")</f>
        <v>31.005229522555105</v>
      </c>
    </row>
    <row r="1267" spans="1:12" x14ac:dyDescent="0.3">
      <c r="A1267" s="1">
        <v>44246</v>
      </c>
      <c r="B1267" s="3">
        <f>YEAR(Tabla3[[#This Row],[Date]])</f>
        <v>2021</v>
      </c>
      <c r="C1267" s="1" t="str">
        <f>+TEXT(Tabla3[[#This Row],[Date]],"mmm")</f>
        <v>feb</v>
      </c>
      <c r="D1267" s="2">
        <v>1775.80004882812</v>
      </c>
      <c r="E1267" s="2">
        <v>1775.80004882812</v>
      </c>
      <c r="F1267" s="2">
        <v>1787.59997558593</v>
      </c>
      <c r="G1267" s="2">
        <v>1764.30004882812</v>
      </c>
      <c r="H1267" s="2">
        <v>1764.30004882812</v>
      </c>
      <c r="I1267">
        <v>118</v>
      </c>
      <c r="J1267" s="2">
        <f ca="1">IFERROR((Tabla3[[#This Row],[Close]]-OFFSET(Tabla3[[#This Row],[Close]],-1,0))/OFFSET(Tabla3[[#This Row],[Close]],-1,0),"")</f>
        <v>1.3533463296601558E-3</v>
      </c>
      <c r="K1267" s="2">
        <f ca="1">IFERROR(AVERAGE(OFFSET(Tabla3[[#This Row],[Close]],-6,0,7)),"")</f>
        <v>1800.6571393694144</v>
      </c>
      <c r="L1267" s="2">
        <f ca="1">IFERROR(_xlfn.STDEV.S(OFFSET(Tabla3[[#This Row],[Close]],-29,0,30)),"")</f>
        <v>30.289075966092362</v>
      </c>
    </row>
    <row r="1268" spans="1:12" x14ac:dyDescent="0.3">
      <c r="A1268" s="1">
        <v>44249</v>
      </c>
      <c r="B1268" s="3">
        <f>YEAR(Tabla3[[#This Row],[Date]])</f>
        <v>2021</v>
      </c>
      <c r="C1268" s="1" t="str">
        <f>+TEXT(Tabla3[[#This Row],[Date]],"mmm")</f>
        <v>feb</v>
      </c>
      <c r="D1268" s="2">
        <v>1806.69995117187</v>
      </c>
      <c r="E1268" s="2">
        <v>1806.69995117187</v>
      </c>
      <c r="F1268" s="2">
        <v>1807.80004882812</v>
      </c>
      <c r="G1268" s="2">
        <v>1784</v>
      </c>
      <c r="H1268" s="2">
        <v>1784</v>
      </c>
      <c r="I1268">
        <v>165</v>
      </c>
      <c r="J1268" s="2">
        <f ca="1">IFERROR((Tabla3[[#This Row],[Close]]-OFFSET(Tabla3[[#This Row],[Close]],-1,0))/OFFSET(Tabla3[[#This Row],[Close]],-1,0),"")</f>
        <v>1.7400552705323643E-2</v>
      </c>
      <c r="K1268" s="2">
        <f ca="1">IFERROR(AVERAGE(OFFSET(Tabla3[[#This Row],[Close]],-6,0,7)),"")</f>
        <v>1795.8142787388344</v>
      </c>
      <c r="L1268" s="2">
        <f ca="1">IFERROR(_xlfn.STDEV.S(OFFSET(Tabla3[[#This Row],[Close]],-29,0,30)),"")</f>
        <v>26.854378708387618</v>
      </c>
    </row>
    <row r="1269" spans="1:12" x14ac:dyDescent="0.3">
      <c r="A1269" s="1">
        <v>44250</v>
      </c>
      <c r="B1269" s="3">
        <f>YEAR(Tabla3[[#This Row],[Date]])</f>
        <v>2021</v>
      </c>
      <c r="C1269" s="1" t="str">
        <f>+TEXT(Tabla3[[#This Row],[Date]],"mmm")</f>
        <v>feb</v>
      </c>
      <c r="D1269" s="2">
        <v>1804.40002441406</v>
      </c>
      <c r="E1269" s="2">
        <v>1804.40002441406</v>
      </c>
      <c r="F1269" s="2">
        <v>1811.30004882812</v>
      </c>
      <c r="G1269" s="2">
        <v>1796.40002441406</v>
      </c>
      <c r="H1269" s="2">
        <v>1809.59997558593</v>
      </c>
      <c r="I1269">
        <v>569</v>
      </c>
      <c r="J1269" s="2">
        <f ca="1">IFERROR((Tabla3[[#This Row],[Close]]-OFFSET(Tabla3[[#This Row],[Close]],-1,0))/OFFSET(Tabla3[[#This Row],[Close]],-1,0),"")</f>
        <v>-1.2729987380130331E-3</v>
      </c>
      <c r="K1269" s="2">
        <f ca="1">IFERROR(AVERAGE(OFFSET(Tabla3[[#This Row],[Close]],-6,0,7)),"")</f>
        <v>1792.8857073102629</v>
      </c>
      <c r="L1269" s="2">
        <f ca="1">IFERROR(_xlfn.STDEV.S(OFFSET(Tabla3[[#This Row],[Close]],-29,0,30)),"")</f>
        <v>27.272345709866727</v>
      </c>
    </row>
    <row r="1270" spans="1:12" x14ac:dyDescent="0.3">
      <c r="A1270" s="1">
        <v>44251</v>
      </c>
      <c r="B1270" s="3">
        <f>YEAR(Tabla3[[#This Row],[Date]])</f>
        <v>2021</v>
      </c>
      <c r="C1270" s="1" t="str">
        <f>+TEXT(Tabla3[[#This Row],[Date]],"mmm")</f>
        <v>feb</v>
      </c>
      <c r="D1270" s="2">
        <v>1796.40002441406</v>
      </c>
      <c r="E1270" s="2">
        <v>1796.40002441406</v>
      </c>
      <c r="F1270" s="2">
        <v>1805.80004882812</v>
      </c>
      <c r="G1270" s="2">
        <v>1796.40002441406</v>
      </c>
      <c r="H1270" s="2">
        <v>1805.80004882812</v>
      </c>
      <c r="I1270">
        <v>1500</v>
      </c>
      <c r="J1270" s="2">
        <f ca="1">IFERROR((Tabla3[[#This Row],[Close]]-OFFSET(Tabla3[[#This Row],[Close]],-1,0))/OFFSET(Tabla3[[#This Row],[Close]],-1,0),"")</f>
        <v>-4.4336066790942475E-3</v>
      </c>
      <c r="K1270" s="2">
        <f ca="1">IFERROR(AVERAGE(OFFSET(Tabla3[[#This Row],[Close]],-6,0,7)),"")</f>
        <v>1789.2857142857101</v>
      </c>
      <c r="L1270" s="2">
        <f ca="1">IFERROR(_xlfn.STDEV.S(OFFSET(Tabla3[[#This Row],[Close]],-29,0,30)),"")</f>
        <v>27.667249041808358</v>
      </c>
    </row>
    <row r="1271" spans="1:12" x14ac:dyDescent="0.3">
      <c r="A1271" s="1">
        <v>44252</v>
      </c>
      <c r="B1271" s="3">
        <f>YEAR(Tabla3[[#This Row],[Date]])</f>
        <v>2021</v>
      </c>
      <c r="C1271" s="1" t="str">
        <f>+TEXT(Tabla3[[#This Row],[Date]],"mmm")</f>
        <v>feb</v>
      </c>
      <c r="D1271" s="2">
        <v>1774.40002441406</v>
      </c>
      <c r="E1271" s="2">
        <v>1774.40002441406</v>
      </c>
      <c r="F1271" s="2">
        <v>1802</v>
      </c>
      <c r="G1271" s="2">
        <v>1766.69995117187</v>
      </c>
      <c r="H1271" s="2">
        <v>1801.5</v>
      </c>
      <c r="I1271">
        <v>1049</v>
      </c>
      <c r="J1271" s="2">
        <f ca="1">IFERROR((Tabla3[[#This Row],[Close]]-OFFSET(Tabla3[[#This Row],[Close]],-1,0))/OFFSET(Tabla3[[#This Row],[Close]],-1,0),"")</f>
        <v>-1.2246715487089709E-2</v>
      </c>
      <c r="K1271" s="2">
        <f ca="1">IFERROR(AVERAGE(OFFSET(Tabla3[[#This Row],[Close]],-6,0,7)),"")</f>
        <v>1786.0285818917375</v>
      </c>
      <c r="L1271" s="2">
        <f ca="1">IFERROR(_xlfn.STDEV.S(OFFSET(Tabla3[[#This Row],[Close]],-29,0,30)),"")</f>
        <v>29.182550531312597</v>
      </c>
    </row>
    <row r="1272" spans="1:12" x14ac:dyDescent="0.3">
      <c r="A1272" s="1">
        <v>44253</v>
      </c>
      <c r="B1272" s="3">
        <f>YEAR(Tabla3[[#This Row],[Date]])</f>
        <v>2021</v>
      </c>
      <c r="C1272" s="1" t="str">
        <f>+TEXT(Tabla3[[#This Row],[Date]],"mmm")</f>
        <v>feb</v>
      </c>
      <c r="D1272" s="2">
        <v>1728.09997558593</v>
      </c>
      <c r="E1272" s="2">
        <v>1728.09997558593</v>
      </c>
      <c r="F1272" s="2">
        <v>1768.19995117187</v>
      </c>
      <c r="G1272" s="2">
        <v>1718.80004882812</v>
      </c>
      <c r="H1272" s="2">
        <v>1768.09997558593</v>
      </c>
      <c r="I1272">
        <v>1593</v>
      </c>
      <c r="J1272" s="2">
        <f ca="1">IFERROR((Tabla3[[#This Row],[Close]]-OFFSET(Tabla3[[#This Row],[Close]],-1,0))/OFFSET(Tabla3[[#This Row],[Close]],-1,0),"")</f>
        <v>-2.6093354480999368E-2</v>
      </c>
      <c r="K1272" s="2">
        <f ca="1">IFERROR(AVERAGE(OFFSET(Tabla3[[#This Row],[Close]],-6,0,7)),"")</f>
        <v>1779.88572474888</v>
      </c>
      <c r="L1272" s="2">
        <f ca="1">IFERROR(_xlfn.STDEV.S(OFFSET(Tabla3[[#This Row],[Close]],-29,0,30)),"")</f>
        <v>33.697561214478149</v>
      </c>
    </row>
    <row r="1273" spans="1:12" x14ac:dyDescent="0.3">
      <c r="A1273" s="1">
        <v>44256</v>
      </c>
      <c r="B1273" s="3">
        <f>YEAR(Tabla3[[#This Row],[Date]])</f>
        <v>2021</v>
      </c>
      <c r="C1273" s="1" t="str">
        <f>+TEXT(Tabla3[[#This Row],[Date]],"mmm")</f>
        <v>mar</v>
      </c>
      <c r="D1273" s="2">
        <v>1722.5</v>
      </c>
      <c r="E1273" s="2">
        <v>1722.5</v>
      </c>
      <c r="F1273" s="2">
        <v>1747</v>
      </c>
      <c r="G1273" s="2">
        <v>1720.30004882812</v>
      </c>
      <c r="H1273" s="2">
        <v>1737.09997558593</v>
      </c>
      <c r="I1273">
        <v>407</v>
      </c>
      <c r="J1273" s="2">
        <f ca="1">IFERROR((Tabla3[[#This Row],[Close]]-OFFSET(Tabla3[[#This Row],[Close]],-1,0))/OFFSET(Tabla3[[#This Row],[Close]],-1,0),"")</f>
        <v>-3.2405391268125372E-3</v>
      </c>
      <c r="K1273" s="2">
        <f ca="1">IFERROR(AVERAGE(OFFSET(Tabla3[[#This Row],[Close]],-6,0,7)),"")</f>
        <v>1772.6142926897285</v>
      </c>
      <c r="L1273" s="2">
        <f ca="1">IFERROR(_xlfn.STDEV.S(OFFSET(Tabla3[[#This Row],[Close]],-29,0,30)),"")</f>
        <v>37.770957003449659</v>
      </c>
    </row>
    <row r="1274" spans="1:12" x14ac:dyDescent="0.3">
      <c r="A1274" s="1">
        <v>44257</v>
      </c>
      <c r="B1274" s="3">
        <f>YEAR(Tabla3[[#This Row],[Date]])</f>
        <v>2021</v>
      </c>
      <c r="C1274" s="1" t="str">
        <f>+TEXT(Tabla3[[#This Row],[Date]],"mmm")</f>
        <v>mar</v>
      </c>
      <c r="D1274" s="2">
        <v>1733.09997558593</v>
      </c>
      <c r="E1274" s="2">
        <v>1733.09997558593</v>
      </c>
      <c r="F1274" s="2">
        <v>1733.09997558593</v>
      </c>
      <c r="G1274" s="2">
        <v>1708.69995117187</v>
      </c>
      <c r="H1274" s="2">
        <v>1709.40002441406</v>
      </c>
      <c r="I1274">
        <v>867</v>
      </c>
      <c r="J1274" s="2">
        <f ca="1">IFERROR((Tabla3[[#This Row],[Close]]-OFFSET(Tabla3[[#This Row],[Close]],-1,0))/OFFSET(Tabla3[[#This Row],[Close]],-1,0),"")</f>
        <v>6.153831980220608E-3</v>
      </c>
      <c r="K1274" s="2">
        <f ca="1">IFERROR(AVERAGE(OFFSET(Tabla3[[#This Row],[Close]],-6,0,7)),"")</f>
        <v>1766.5142822265586</v>
      </c>
      <c r="L1274" s="2">
        <f ca="1">IFERROR(_xlfn.STDEV.S(OFFSET(Tabla3[[#This Row],[Close]],-29,0,30)),"")</f>
        <v>40.687994203952442</v>
      </c>
    </row>
    <row r="1275" spans="1:12" x14ac:dyDescent="0.3">
      <c r="A1275" s="1">
        <v>44258</v>
      </c>
      <c r="B1275" s="3">
        <f>YEAR(Tabla3[[#This Row],[Date]])</f>
        <v>2021</v>
      </c>
      <c r="C1275" s="1" t="str">
        <f>+TEXT(Tabla3[[#This Row],[Date]],"mmm")</f>
        <v>mar</v>
      </c>
      <c r="D1275" s="2">
        <v>1715.30004882812</v>
      </c>
      <c r="E1275" s="2">
        <v>1715.30004882812</v>
      </c>
      <c r="F1275" s="2">
        <v>1732.40002441406</v>
      </c>
      <c r="G1275" s="2">
        <v>1703.5</v>
      </c>
      <c r="H1275" s="2">
        <v>1730</v>
      </c>
      <c r="I1275">
        <v>501</v>
      </c>
      <c r="J1275" s="2">
        <f ca="1">IFERROR((Tabla3[[#This Row],[Close]]-OFFSET(Tabla3[[#This Row],[Close]],-1,0))/OFFSET(Tabla3[[#This Row],[Close]],-1,0),"")</f>
        <v>-1.0270571235679675E-2</v>
      </c>
      <c r="K1275" s="2">
        <f ca="1">IFERROR(AVERAGE(OFFSET(Tabla3[[#This Row],[Close]],-6,0,7)),"")</f>
        <v>1753.4571533203086</v>
      </c>
      <c r="L1275" s="2">
        <f ca="1">IFERROR(_xlfn.STDEV.S(OFFSET(Tabla3[[#This Row],[Close]],-29,0,30)),"")</f>
        <v>44.182342185708606</v>
      </c>
    </row>
    <row r="1276" spans="1:12" x14ac:dyDescent="0.3">
      <c r="A1276" s="1">
        <v>44259</v>
      </c>
      <c r="B1276" s="3">
        <f>YEAR(Tabla3[[#This Row],[Date]])</f>
        <v>2021</v>
      </c>
      <c r="C1276" s="1" t="str">
        <f>+TEXT(Tabla3[[#This Row],[Date]],"mmm")</f>
        <v>mar</v>
      </c>
      <c r="D1276" s="2">
        <v>1700.19995117187</v>
      </c>
      <c r="E1276" s="2">
        <v>1700.19995117187</v>
      </c>
      <c r="F1276" s="2">
        <v>1717.40002441406</v>
      </c>
      <c r="G1276" s="2">
        <v>1700.19995117187</v>
      </c>
      <c r="H1276" s="2">
        <v>1706.5</v>
      </c>
      <c r="I1276">
        <v>521</v>
      </c>
      <c r="J1276" s="2">
        <f ca="1">IFERROR((Tabla3[[#This Row],[Close]]-OFFSET(Tabla3[[#This Row],[Close]],-1,0))/OFFSET(Tabla3[[#This Row],[Close]],-1,0),"")</f>
        <v>-8.8031814996835517E-3</v>
      </c>
      <c r="K1276" s="2">
        <f ca="1">IFERROR(AVERAGE(OFFSET(Tabla3[[#This Row],[Close]],-6,0,7)),"")</f>
        <v>1738.5714285714241</v>
      </c>
      <c r="L1276" s="2">
        <f ca="1">IFERROR(_xlfn.STDEV.S(OFFSET(Tabla3[[#This Row],[Close]],-29,0,30)),"")</f>
        <v>47.201278258284695</v>
      </c>
    </row>
    <row r="1277" spans="1:12" x14ac:dyDescent="0.3">
      <c r="A1277" s="1">
        <v>44260</v>
      </c>
      <c r="B1277" s="3">
        <f>YEAR(Tabla3[[#This Row],[Date]])</f>
        <v>2021</v>
      </c>
      <c r="C1277" s="1" t="str">
        <f>+TEXT(Tabla3[[#This Row],[Date]],"mmm")</f>
        <v>mar</v>
      </c>
      <c r="D1277" s="2">
        <v>1698</v>
      </c>
      <c r="E1277" s="2">
        <v>1698</v>
      </c>
      <c r="F1277" s="2">
        <v>1701</v>
      </c>
      <c r="G1277" s="2">
        <v>1685</v>
      </c>
      <c r="H1277" s="2">
        <v>1690.59997558593</v>
      </c>
      <c r="I1277">
        <v>302</v>
      </c>
      <c r="J1277" s="2">
        <f ca="1">IFERROR((Tabla3[[#This Row],[Close]]-OFFSET(Tabla3[[#This Row],[Close]],-1,0))/OFFSET(Tabla3[[#This Row],[Close]],-1,0),"")</f>
        <v>-1.2939367339433647E-3</v>
      </c>
      <c r="K1277" s="2">
        <f ca="1">IFERROR(AVERAGE(OFFSET(Tabla3[[#This Row],[Close]],-6,0,7)),"")</f>
        <v>1724.5142822265586</v>
      </c>
      <c r="L1277" s="2">
        <f ca="1">IFERROR(_xlfn.STDEV.S(OFFSET(Tabla3[[#This Row],[Close]],-29,0,30)),"")</f>
        <v>49.584503356003893</v>
      </c>
    </row>
    <row r="1278" spans="1:12" x14ac:dyDescent="0.3">
      <c r="A1278" s="1">
        <v>44263</v>
      </c>
      <c r="B1278" s="3">
        <f>YEAR(Tabla3[[#This Row],[Date]])</f>
        <v>2021</v>
      </c>
      <c r="C1278" s="1" t="str">
        <f>+TEXT(Tabla3[[#This Row],[Date]],"mmm")</f>
        <v>mar</v>
      </c>
      <c r="D1278" s="2">
        <v>1677.69995117187</v>
      </c>
      <c r="E1278" s="2">
        <v>1677.69995117187</v>
      </c>
      <c r="F1278" s="2">
        <v>1705.40002441406</v>
      </c>
      <c r="G1278" s="2">
        <v>1673.69995117187</v>
      </c>
      <c r="H1278" s="2">
        <v>1704.69995117187</v>
      </c>
      <c r="I1278">
        <v>1290</v>
      </c>
      <c r="J1278" s="2">
        <f ca="1">IFERROR((Tabla3[[#This Row],[Close]]-OFFSET(Tabla3[[#This Row],[Close]],-1,0))/OFFSET(Tabla3[[#This Row],[Close]],-1,0),"")</f>
        <v>-1.1955270216802122E-2</v>
      </c>
      <c r="K1278" s="2">
        <f ca="1">IFERROR(AVERAGE(OFFSET(Tabla3[[#This Row],[Close]],-6,0,7)),"")</f>
        <v>1710.6999860491028</v>
      </c>
      <c r="L1278" s="2">
        <f ca="1">IFERROR(_xlfn.STDEV.S(OFFSET(Tabla3[[#This Row],[Close]],-29,0,30)),"")</f>
        <v>53.074618290499863</v>
      </c>
    </row>
    <row r="1279" spans="1:12" x14ac:dyDescent="0.3">
      <c r="A1279" s="1">
        <v>44264</v>
      </c>
      <c r="B1279" s="3">
        <f>YEAR(Tabla3[[#This Row],[Date]])</f>
        <v>2021</v>
      </c>
      <c r="C1279" s="1" t="str">
        <f>+TEXT(Tabla3[[#This Row],[Date]],"mmm")</f>
        <v>mar</v>
      </c>
      <c r="D1279" s="2">
        <v>1716.59997558593</v>
      </c>
      <c r="E1279" s="2">
        <v>1716.59997558593</v>
      </c>
      <c r="F1279" s="2">
        <v>1717.5</v>
      </c>
      <c r="G1279" s="2">
        <v>1685.19995117187</v>
      </c>
      <c r="H1279" s="2">
        <v>1686.19995117187</v>
      </c>
      <c r="I1279">
        <v>335</v>
      </c>
      <c r="J1279" s="2">
        <f ca="1">IFERROR((Tabla3[[#This Row],[Close]]-OFFSET(Tabla3[[#This Row],[Close]],-1,0))/OFFSET(Tabla3[[#This Row],[Close]],-1,0),"")</f>
        <v>2.3186520561610802E-2</v>
      </c>
      <c r="K1279" s="2">
        <f ca="1">IFERROR(AVERAGE(OFFSET(Tabla3[[#This Row],[Close]],-6,0,7)),"")</f>
        <v>1709.0571289062457</v>
      </c>
      <c r="L1279" s="2">
        <f ca="1">IFERROR(_xlfn.STDEV.S(OFFSET(Tabla3[[#This Row],[Close]],-29,0,30)),"")</f>
        <v>53.509972723163322</v>
      </c>
    </row>
    <row r="1280" spans="1:12" x14ac:dyDescent="0.3">
      <c r="A1280" s="1">
        <v>44265</v>
      </c>
      <c r="B1280" s="3">
        <f>YEAR(Tabla3[[#This Row],[Date]])</f>
        <v>2021</v>
      </c>
      <c r="C1280" s="1" t="str">
        <f>+TEXT(Tabla3[[#This Row],[Date]],"mmm")</f>
        <v>mar</v>
      </c>
      <c r="D1280" s="2">
        <v>1721.5</v>
      </c>
      <c r="E1280" s="2">
        <v>1721.5</v>
      </c>
      <c r="F1280" s="2">
        <v>1722.90002441406</v>
      </c>
      <c r="G1280" s="2">
        <v>1711</v>
      </c>
      <c r="H1280" s="2">
        <v>1713.59997558593</v>
      </c>
      <c r="I1280">
        <v>412</v>
      </c>
      <c r="J1280" s="2">
        <f ca="1">IFERROR((Tabla3[[#This Row],[Close]]-OFFSET(Tabla3[[#This Row],[Close]],-1,0))/OFFSET(Tabla3[[#This Row],[Close]],-1,0),"")</f>
        <v>2.854494048561005E-3</v>
      </c>
      <c r="K1280" s="2">
        <f ca="1">IFERROR(AVERAGE(OFFSET(Tabla3[[#This Row],[Close]],-6,0,7)),"")</f>
        <v>1708.9142717633883</v>
      </c>
      <c r="L1280" s="2">
        <f ca="1">IFERROR(_xlfn.STDEV.S(OFFSET(Tabla3[[#This Row],[Close]],-29,0,30)),"")</f>
        <v>53.514692743904192</v>
      </c>
    </row>
    <row r="1281" spans="1:12" x14ac:dyDescent="0.3">
      <c r="A1281" s="1">
        <v>44266</v>
      </c>
      <c r="B1281" s="3">
        <f>YEAR(Tabla3[[#This Row],[Date]])</f>
        <v>2021</v>
      </c>
      <c r="C1281" s="1" t="str">
        <f>+TEXT(Tabla3[[#This Row],[Date]],"mmm")</f>
        <v>mar</v>
      </c>
      <c r="D1281" s="2">
        <v>1722.30004882812</v>
      </c>
      <c r="E1281" s="2">
        <v>1722.30004882812</v>
      </c>
      <c r="F1281" s="2">
        <v>1737.5</v>
      </c>
      <c r="G1281" s="2">
        <v>1720.19995117187</v>
      </c>
      <c r="H1281" s="2">
        <v>1725.59997558593</v>
      </c>
      <c r="I1281">
        <v>18</v>
      </c>
      <c r="J1281" s="2">
        <f ca="1">IFERROR((Tabla3[[#This Row],[Close]]-OFFSET(Tabla3[[#This Row],[Close]],-1,0))/OFFSET(Tabla3[[#This Row],[Close]],-1,0),"")</f>
        <v>4.6473937154806725E-4</v>
      </c>
      <c r="K1281" s="2">
        <f ca="1">IFERROR(AVERAGE(OFFSET(Tabla3[[#This Row],[Close]],-6,0,7)),"")</f>
        <v>1707.3714250837015</v>
      </c>
      <c r="L1281" s="2">
        <f ca="1">IFERROR(_xlfn.STDEV.S(OFFSET(Tabla3[[#This Row],[Close]],-29,0,30)),"")</f>
        <v>53.38497523464185</v>
      </c>
    </row>
    <row r="1282" spans="1:12" x14ac:dyDescent="0.3">
      <c r="A1282" s="1">
        <v>44267</v>
      </c>
      <c r="B1282" s="3">
        <f>YEAR(Tabla3[[#This Row],[Date]])</f>
        <v>2021</v>
      </c>
      <c r="C1282" s="1" t="str">
        <f>+TEXT(Tabla3[[#This Row],[Date]],"mmm")</f>
        <v>mar</v>
      </c>
      <c r="D1282" s="2">
        <v>1719.5</v>
      </c>
      <c r="E1282" s="2">
        <v>1719.5</v>
      </c>
      <c r="F1282" s="2">
        <v>1722.5</v>
      </c>
      <c r="G1282" s="2">
        <v>1699</v>
      </c>
      <c r="H1282" s="2">
        <v>1715.90002441406</v>
      </c>
      <c r="I1282">
        <v>80</v>
      </c>
      <c r="J1282" s="2">
        <f ca="1">IFERROR((Tabla3[[#This Row],[Close]]-OFFSET(Tabla3[[#This Row],[Close]],-1,0))/OFFSET(Tabla3[[#This Row],[Close]],-1,0),"")</f>
        <v>-1.6257613358515522E-3</v>
      </c>
      <c r="K1282" s="2">
        <f ca="1">IFERROR(AVERAGE(OFFSET(Tabla3[[#This Row],[Close]],-6,0,7)),"")</f>
        <v>1707.9714181082556</v>
      </c>
      <c r="L1282" s="2">
        <f ca="1">IFERROR(_xlfn.STDEV.S(OFFSET(Tabla3[[#This Row],[Close]],-29,0,30)),"")</f>
        <v>53.327075065513519</v>
      </c>
    </row>
    <row r="1283" spans="1:12" x14ac:dyDescent="0.3">
      <c r="A1283" s="1">
        <v>44270</v>
      </c>
      <c r="B1283" s="3">
        <f>YEAR(Tabla3[[#This Row],[Date]])</f>
        <v>2021</v>
      </c>
      <c r="C1283" s="1" t="str">
        <f>+TEXT(Tabla3[[#This Row],[Date]],"mmm")</f>
        <v>mar</v>
      </c>
      <c r="D1283" s="2">
        <v>1728.90002441406</v>
      </c>
      <c r="E1283" s="2">
        <v>1728.90002441406</v>
      </c>
      <c r="F1283" s="2">
        <v>1731.90002441406</v>
      </c>
      <c r="G1283" s="2">
        <v>1722.80004882812</v>
      </c>
      <c r="H1283" s="2">
        <v>1729.5</v>
      </c>
      <c r="I1283">
        <v>147</v>
      </c>
      <c r="J1283" s="2">
        <f ca="1">IFERROR((Tabla3[[#This Row],[Close]]-OFFSET(Tabla3[[#This Row],[Close]],-1,0))/OFFSET(Tabla3[[#This Row],[Close]],-1,0),"")</f>
        <v>5.4667196359755735E-3</v>
      </c>
      <c r="K1283" s="2">
        <f ca="1">IFERROR(AVERAGE(OFFSET(Tabla3[[#This Row],[Close]],-6,0,7)),"")</f>
        <v>1712.0714285714257</v>
      </c>
      <c r="L1283" s="2">
        <f ca="1">IFERROR(_xlfn.STDEV.S(OFFSET(Tabla3[[#This Row],[Close]],-29,0,30)),"")</f>
        <v>52.236152461969787</v>
      </c>
    </row>
    <row r="1284" spans="1:12" x14ac:dyDescent="0.3">
      <c r="A1284" s="1">
        <v>44271</v>
      </c>
      <c r="B1284" s="3">
        <f>YEAR(Tabla3[[#This Row],[Date]])</f>
        <v>2021</v>
      </c>
      <c r="C1284" s="1" t="str">
        <f>+TEXT(Tabla3[[#This Row],[Date]],"mmm")</f>
        <v>mar</v>
      </c>
      <c r="D1284" s="2">
        <v>1730.59997558593</v>
      </c>
      <c r="E1284" s="2">
        <v>1730.59997558593</v>
      </c>
      <c r="F1284" s="2">
        <v>1733.90002441406</v>
      </c>
      <c r="G1284" s="2">
        <v>1726</v>
      </c>
      <c r="H1284" s="2">
        <v>1732.30004882812</v>
      </c>
      <c r="I1284">
        <v>729</v>
      </c>
      <c r="J1284" s="2">
        <f ca="1">IFERROR((Tabla3[[#This Row],[Close]]-OFFSET(Tabla3[[#This Row],[Close]],-1,0))/OFFSET(Tabla3[[#This Row],[Close]],-1,0),"")</f>
        <v>9.8325591293003012E-4</v>
      </c>
      <c r="K1284" s="2">
        <f ca="1">IFERROR(AVERAGE(OFFSET(Tabla3[[#This Row],[Close]],-6,0,7)),"")</f>
        <v>1716.7285679408444</v>
      </c>
      <c r="L1284" s="2">
        <f ca="1">IFERROR(_xlfn.STDEV.S(OFFSET(Tabla3[[#This Row],[Close]],-29,0,30)),"")</f>
        <v>49.965289486250832</v>
      </c>
    </row>
    <row r="1285" spans="1:12" x14ac:dyDescent="0.3">
      <c r="A1285" s="1">
        <v>44272</v>
      </c>
      <c r="B1285" s="3">
        <f>YEAR(Tabla3[[#This Row],[Date]])</f>
        <v>2021</v>
      </c>
      <c r="C1285" s="1" t="str">
        <f>+TEXT(Tabla3[[#This Row],[Date]],"mmm")</f>
        <v>mar</v>
      </c>
      <c r="D1285" s="2">
        <v>1726.80004882812</v>
      </c>
      <c r="E1285" s="2">
        <v>1726.80004882812</v>
      </c>
      <c r="F1285" s="2">
        <v>1750.09997558593</v>
      </c>
      <c r="G1285" s="2">
        <v>1725.59997558593</v>
      </c>
      <c r="H1285" s="2">
        <v>1735.30004882812</v>
      </c>
      <c r="I1285">
        <v>488</v>
      </c>
      <c r="J1285" s="2">
        <f ca="1">IFERROR((Tabla3[[#This Row],[Close]]-OFFSET(Tabla3[[#This Row],[Close]],-1,0))/OFFSET(Tabla3[[#This Row],[Close]],-1,0),"")</f>
        <v>-2.1957279622192623E-3</v>
      </c>
      <c r="K1285" s="2">
        <f ca="1">IFERROR(AVERAGE(OFFSET(Tabla3[[#This Row],[Close]],-6,0,7)),"")</f>
        <v>1723.7428676060229</v>
      </c>
      <c r="L1285" s="2">
        <f ca="1">IFERROR(_xlfn.STDEV.S(OFFSET(Tabla3[[#This Row],[Close]],-29,0,30)),"")</f>
        <v>49.048332178384932</v>
      </c>
    </row>
    <row r="1286" spans="1:12" x14ac:dyDescent="0.3">
      <c r="A1286" s="1">
        <v>44273</v>
      </c>
      <c r="B1286" s="3">
        <f>YEAR(Tabla3[[#This Row],[Date]])</f>
        <v>2021</v>
      </c>
      <c r="C1286" s="1" t="str">
        <f>+TEXT(Tabla3[[#This Row],[Date]],"mmm")</f>
        <v>mar</v>
      </c>
      <c r="D1286" s="2">
        <v>1732.19995117187</v>
      </c>
      <c r="E1286" s="2">
        <v>1732.19995117187</v>
      </c>
      <c r="F1286" s="2">
        <v>1750.30004882812</v>
      </c>
      <c r="G1286" s="2">
        <v>1721.80004882812</v>
      </c>
      <c r="H1286" s="2">
        <v>1745.80004882812</v>
      </c>
      <c r="I1286">
        <v>138</v>
      </c>
      <c r="J1286" s="2">
        <f ca="1">IFERROR((Tabla3[[#This Row],[Close]]-OFFSET(Tabla3[[#This Row],[Close]],-1,0))/OFFSET(Tabla3[[#This Row],[Close]],-1,0),"")</f>
        <v>3.1271150052460351E-3</v>
      </c>
      <c r="K1286" s="2">
        <f ca="1">IFERROR(AVERAGE(OFFSET(Tabla3[[#This Row],[Close]],-6,0,7)),"")</f>
        <v>1725.9714355468711</v>
      </c>
      <c r="L1286" s="2">
        <f ca="1">IFERROR(_xlfn.STDEV.S(OFFSET(Tabla3[[#This Row],[Close]],-29,0,30)),"")</f>
        <v>47.647570363972115</v>
      </c>
    </row>
    <row r="1287" spans="1:12" x14ac:dyDescent="0.3">
      <c r="A1287" s="1">
        <v>44274</v>
      </c>
      <c r="B1287" s="3">
        <f>YEAR(Tabla3[[#This Row],[Date]])</f>
        <v>2021</v>
      </c>
      <c r="C1287" s="1" t="str">
        <f>+TEXT(Tabla3[[#This Row],[Date]],"mmm")</f>
        <v>mar</v>
      </c>
      <c r="D1287" s="2">
        <v>1741.40002441406</v>
      </c>
      <c r="E1287" s="2">
        <v>1741.40002441406</v>
      </c>
      <c r="F1287" s="2">
        <v>1742.19995117187</v>
      </c>
      <c r="G1287" s="2">
        <v>1733.59997558593</v>
      </c>
      <c r="H1287" s="2">
        <v>1742.19995117187</v>
      </c>
      <c r="I1287">
        <v>13</v>
      </c>
      <c r="J1287" s="2">
        <f ca="1">IFERROR((Tabla3[[#This Row],[Close]]-OFFSET(Tabla3[[#This Row],[Close]],-1,0))/OFFSET(Tabla3[[#This Row],[Close]],-1,0),"")</f>
        <v>5.3112074249661283E-3</v>
      </c>
      <c r="K1287" s="2">
        <f ca="1">IFERROR(AVERAGE(OFFSET(Tabla3[[#This Row],[Close]],-6,0,7)),"")</f>
        <v>1728.8142961774515</v>
      </c>
      <c r="L1287" s="2">
        <f ca="1">IFERROR(_xlfn.STDEV.S(OFFSET(Tabla3[[#This Row],[Close]],-29,0,30)),"")</f>
        <v>47.473711075354252</v>
      </c>
    </row>
    <row r="1288" spans="1:12" x14ac:dyDescent="0.3">
      <c r="A1288" s="1">
        <v>44277</v>
      </c>
      <c r="B1288" s="3">
        <f>YEAR(Tabla3[[#This Row],[Date]])</f>
        <v>2021</v>
      </c>
      <c r="C1288" s="1" t="str">
        <f>+TEXT(Tabla3[[#This Row],[Date]],"mmm")</f>
        <v>mar</v>
      </c>
      <c r="D1288" s="2">
        <v>1737.80004882812</v>
      </c>
      <c r="E1288" s="2">
        <v>1737.80004882812</v>
      </c>
      <c r="F1288" s="2">
        <v>1737.80004882812</v>
      </c>
      <c r="G1288" s="2">
        <v>1737.80004882812</v>
      </c>
      <c r="H1288" s="2">
        <v>1737.80004882812</v>
      </c>
      <c r="I1288">
        <v>51</v>
      </c>
      <c r="J1288" s="2">
        <f ca="1">IFERROR((Tabla3[[#This Row],[Close]]-OFFSET(Tabla3[[#This Row],[Close]],-1,0))/OFFSET(Tabla3[[#This Row],[Close]],-1,0),"")</f>
        <v>-2.0672881218956616E-3</v>
      </c>
      <c r="K1288" s="2">
        <f ca="1">IFERROR(AVERAGE(OFFSET(Tabla3[[#This Row],[Close]],-6,0,7)),"")</f>
        <v>1731.0285818917371</v>
      </c>
      <c r="L1288" s="2">
        <f ca="1">IFERROR(_xlfn.STDEV.S(OFFSET(Tabla3[[#This Row],[Close]],-29,0,30)),"")</f>
        <v>46.602453486800627</v>
      </c>
    </row>
    <row r="1289" spans="1:12" x14ac:dyDescent="0.3">
      <c r="A1289" s="1">
        <v>44278</v>
      </c>
      <c r="B1289" s="3">
        <f>YEAR(Tabla3[[#This Row],[Date]])</f>
        <v>2021</v>
      </c>
      <c r="C1289" s="1" t="str">
        <f>+TEXT(Tabla3[[#This Row],[Date]],"mmm")</f>
        <v>mar</v>
      </c>
      <c r="D1289" s="2">
        <v>1724.69995117187</v>
      </c>
      <c r="E1289" s="2">
        <v>1724.69995117187</v>
      </c>
      <c r="F1289" s="2">
        <v>1724.69995117187</v>
      </c>
      <c r="G1289" s="2">
        <v>1724.69995117187</v>
      </c>
      <c r="H1289" s="2">
        <v>1724.69995117187</v>
      </c>
      <c r="I1289">
        <v>6</v>
      </c>
      <c r="J1289" s="2">
        <f ca="1">IFERROR((Tabla3[[#This Row],[Close]]-OFFSET(Tabla3[[#This Row],[Close]],-1,0))/OFFSET(Tabla3[[#This Row],[Close]],-1,0),"")</f>
        <v>-7.5383227576060951E-3</v>
      </c>
      <c r="K1289" s="2">
        <f ca="1">IFERROR(AVERAGE(OFFSET(Tabla3[[#This Row],[Close]],-6,0,7)),"")</f>
        <v>1731.7714320591472</v>
      </c>
      <c r="L1289" s="2">
        <f ca="1">IFERROR(_xlfn.STDEV.S(OFFSET(Tabla3[[#This Row],[Close]],-29,0,30)),"")</f>
        <v>44.723261042712572</v>
      </c>
    </row>
    <row r="1290" spans="1:12" x14ac:dyDescent="0.3">
      <c r="A1290" s="1">
        <v>44279</v>
      </c>
      <c r="B1290" s="3">
        <f>YEAR(Tabla3[[#This Row],[Date]])</f>
        <v>2021</v>
      </c>
      <c r="C1290" s="1" t="str">
        <f>+TEXT(Tabla3[[#This Row],[Date]],"mmm")</f>
        <v>mar</v>
      </c>
      <c r="D1290" s="2">
        <v>1732.90002441406</v>
      </c>
      <c r="E1290" s="2">
        <v>1732.90002441406</v>
      </c>
      <c r="F1290" s="2">
        <v>1732.90002441406</v>
      </c>
      <c r="G1290" s="2">
        <v>1727.5</v>
      </c>
      <c r="H1290" s="2">
        <v>1727.5</v>
      </c>
      <c r="I1290">
        <v>26</v>
      </c>
      <c r="J1290" s="2">
        <f ca="1">IFERROR((Tabla3[[#This Row],[Close]]-OFFSET(Tabla3[[#This Row],[Close]],-1,0))/OFFSET(Tabla3[[#This Row],[Close]],-1,0),"")</f>
        <v>4.7544926505148641E-3</v>
      </c>
      <c r="K1290" s="2">
        <f ca="1">IFERROR(AVERAGE(OFFSET(Tabla3[[#This Row],[Close]],-6,0,7)),"")</f>
        <v>1732.3428606305756</v>
      </c>
      <c r="L1290" s="2">
        <f ca="1">IFERROR(_xlfn.STDEV.S(OFFSET(Tabla3[[#This Row],[Close]],-29,0,30)),"")</f>
        <v>42.078562715815508</v>
      </c>
    </row>
    <row r="1291" spans="1:12" x14ac:dyDescent="0.3">
      <c r="A1291" s="1">
        <v>44280</v>
      </c>
      <c r="B1291" s="3">
        <f>YEAR(Tabla3[[#This Row],[Date]])</f>
        <v>2021</v>
      </c>
      <c r="C1291" s="1" t="str">
        <f>+TEXT(Tabla3[[#This Row],[Date]],"mmm")</f>
        <v>mar</v>
      </c>
      <c r="D1291" s="2">
        <v>1724.90002441406</v>
      </c>
      <c r="E1291" s="2">
        <v>1724.90002441406</v>
      </c>
      <c r="F1291" s="2">
        <v>1733.19995117187</v>
      </c>
      <c r="G1291" s="2">
        <v>1724.5</v>
      </c>
      <c r="H1291" s="2">
        <v>1732.69995117187</v>
      </c>
      <c r="I1291">
        <v>15</v>
      </c>
      <c r="J1291" s="2">
        <f ca="1">IFERROR((Tabla3[[#This Row],[Close]]-OFFSET(Tabla3[[#This Row],[Close]],-1,0))/OFFSET(Tabla3[[#This Row],[Close]],-1,0),"")</f>
        <v>-4.6165386850317664E-3</v>
      </c>
      <c r="K1291" s="2">
        <f ca="1">IFERROR(AVERAGE(OFFSET(Tabla3[[#This Row],[Close]],-6,0,7)),"")</f>
        <v>1731.5285818917371</v>
      </c>
      <c r="L1291" s="2">
        <f ca="1">IFERROR(_xlfn.STDEV.S(OFFSET(Tabla3[[#This Row],[Close]],-29,0,30)),"")</f>
        <v>38.639255319443585</v>
      </c>
    </row>
    <row r="1292" spans="1:12" x14ac:dyDescent="0.3">
      <c r="A1292" s="1">
        <v>44281</v>
      </c>
      <c r="B1292" s="3">
        <f>YEAR(Tabla3[[#This Row],[Date]])</f>
        <v>2021</v>
      </c>
      <c r="C1292" s="1" t="str">
        <f>+TEXT(Tabla3[[#This Row],[Date]],"mmm")</f>
        <v>mar</v>
      </c>
      <c r="D1292" s="2">
        <v>1732.19995117187</v>
      </c>
      <c r="E1292" s="2">
        <v>1732.19995117187</v>
      </c>
      <c r="F1292" s="2">
        <v>1732.19995117187</v>
      </c>
      <c r="G1292" s="2">
        <v>1721.30004882812</v>
      </c>
      <c r="H1292" s="2">
        <v>1721.30004882812</v>
      </c>
      <c r="I1292">
        <v>33</v>
      </c>
      <c r="J1292" s="2">
        <f ca="1">IFERROR((Tabla3[[#This Row],[Close]]-OFFSET(Tabla3[[#This Row],[Close]],-1,0))/OFFSET(Tabla3[[#This Row],[Close]],-1,0),"")</f>
        <v>4.2320868772030701E-3</v>
      </c>
      <c r="K1292" s="2">
        <f ca="1">IFERROR(AVERAGE(OFFSET(Tabla3[[#This Row],[Close]],-6,0,7)),"")</f>
        <v>1732.2999965122729</v>
      </c>
      <c r="L1292" s="2">
        <f ca="1">IFERROR(_xlfn.STDEV.S(OFFSET(Tabla3[[#This Row],[Close]],-29,0,30)),"")</f>
        <v>35.710095015926626</v>
      </c>
    </row>
    <row r="1293" spans="1:12" x14ac:dyDescent="0.3">
      <c r="A1293" s="1">
        <v>44284</v>
      </c>
      <c r="B1293" s="3">
        <f>YEAR(Tabla3[[#This Row],[Date]])</f>
        <v>2021</v>
      </c>
      <c r="C1293" s="1" t="str">
        <f>+TEXT(Tabla3[[#This Row],[Date]],"mmm")</f>
        <v>mar</v>
      </c>
      <c r="D1293" s="2">
        <v>1712.09997558593</v>
      </c>
      <c r="E1293" s="2">
        <v>1712.09997558593</v>
      </c>
      <c r="F1293" s="2">
        <v>1712.09997558593</v>
      </c>
      <c r="G1293" s="2">
        <v>1712.09997558593</v>
      </c>
      <c r="H1293" s="2">
        <v>1712.09997558593</v>
      </c>
      <c r="I1293">
        <v>135457</v>
      </c>
      <c r="J1293" s="2">
        <f ca="1">IFERROR((Tabla3[[#This Row],[Close]]-OFFSET(Tabla3[[#This Row],[Close]],-1,0))/OFFSET(Tabla3[[#This Row],[Close]],-1,0),"")</f>
        <v>-1.1603727140358098E-2</v>
      </c>
      <c r="K1293" s="2">
        <f ca="1">IFERROR(AVERAGE(OFFSET(Tabla3[[#This Row],[Close]],-6,0,7)),"")</f>
        <v>1729.428571428567</v>
      </c>
      <c r="L1293" s="2">
        <f ca="1">IFERROR(_xlfn.STDEV.S(OFFSET(Tabla3[[#This Row],[Close]],-29,0,30)),"")</f>
        <v>32.876548441616023</v>
      </c>
    </row>
    <row r="1294" spans="1:12" x14ac:dyDescent="0.3">
      <c r="A1294" s="1">
        <v>44285</v>
      </c>
      <c r="B1294" s="3">
        <f>YEAR(Tabla3[[#This Row],[Date]])</f>
        <v>2021</v>
      </c>
      <c r="C1294" s="1" t="str">
        <f>+TEXT(Tabla3[[#This Row],[Date]],"mmm")</f>
        <v>mar</v>
      </c>
      <c r="D1294" s="2">
        <v>1683.90002441406</v>
      </c>
      <c r="E1294" s="2">
        <v>1683.90002441406</v>
      </c>
      <c r="F1294" s="2">
        <v>1712.59997558593</v>
      </c>
      <c r="G1294" s="2">
        <v>1676.5</v>
      </c>
      <c r="H1294" s="2">
        <v>1711</v>
      </c>
      <c r="I1294">
        <v>25316</v>
      </c>
      <c r="J1294" s="2">
        <f ca="1">IFERROR((Tabla3[[#This Row],[Close]]-OFFSET(Tabla3[[#This Row],[Close]],-1,0))/OFFSET(Tabla3[[#This Row],[Close]],-1,0),"")</f>
        <v>-1.6470972241103596E-2</v>
      </c>
      <c r="K1294" s="2">
        <f ca="1">IFERROR(AVERAGE(OFFSET(Tabla3[[#This Row],[Close]],-6,0,7)),"")</f>
        <v>1721.2142857142815</v>
      </c>
      <c r="L1294" s="2">
        <f ca="1">IFERROR(_xlfn.STDEV.S(OFFSET(Tabla3[[#This Row],[Close]],-29,0,30)),"")</f>
        <v>32.500263387441919</v>
      </c>
    </row>
    <row r="1295" spans="1:12" x14ac:dyDescent="0.3">
      <c r="A1295" s="1">
        <v>44286</v>
      </c>
      <c r="B1295" s="3">
        <f>YEAR(Tabla3[[#This Row],[Date]])</f>
        <v>2021</v>
      </c>
      <c r="C1295" s="1" t="str">
        <f>+TEXT(Tabla3[[#This Row],[Date]],"mmm")</f>
        <v>mar</v>
      </c>
      <c r="D1295" s="2">
        <v>1713.80004882812</v>
      </c>
      <c r="E1295" s="2">
        <v>1713.80004882812</v>
      </c>
      <c r="F1295" s="2">
        <v>1713.80004882812</v>
      </c>
      <c r="G1295" s="2">
        <v>1676.5</v>
      </c>
      <c r="H1295" s="2">
        <v>1683.69995117187</v>
      </c>
      <c r="I1295">
        <v>762</v>
      </c>
      <c r="J1295" s="2">
        <f ca="1">IFERROR((Tabla3[[#This Row],[Close]]-OFFSET(Tabla3[[#This Row],[Close]],-1,0))/OFFSET(Tabla3[[#This Row],[Close]],-1,0),"")</f>
        <v>1.7756413077114949E-2</v>
      </c>
      <c r="K1295" s="2">
        <f ca="1">IFERROR(AVERAGE(OFFSET(Tabla3[[#This Row],[Close]],-6,0,7)),"")</f>
        <v>1717.7857142857101</v>
      </c>
      <c r="L1295" s="2">
        <f ca="1">IFERROR(_xlfn.STDEV.S(OFFSET(Tabla3[[#This Row],[Close]],-29,0,30)),"")</f>
        <v>32.016892888930393</v>
      </c>
    </row>
    <row r="1296" spans="1:12" x14ac:dyDescent="0.3">
      <c r="A1296" s="1">
        <v>44287</v>
      </c>
      <c r="B1296" s="3">
        <f>YEAR(Tabla3[[#This Row],[Date]])</f>
        <v>2021</v>
      </c>
      <c r="C1296" s="1" t="str">
        <f>+TEXT(Tabla3[[#This Row],[Date]],"mmm")</f>
        <v>abr</v>
      </c>
      <c r="D1296" s="2">
        <v>1726.5</v>
      </c>
      <c r="E1296" s="2">
        <v>1726.5</v>
      </c>
      <c r="F1296" s="2">
        <v>1728.80004882812</v>
      </c>
      <c r="G1296" s="2">
        <v>1706.40002441406</v>
      </c>
      <c r="H1296" s="2">
        <v>1706.80004882812</v>
      </c>
      <c r="I1296">
        <v>720</v>
      </c>
      <c r="J1296" s="2">
        <f ca="1">IFERROR((Tabla3[[#This Row],[Close]]-OFFSET(Tabla3[[#This Row],[Close]],-1,0))/OFFSET(Tabla3[[#This Row],[Close]],-1,0),"")</f>
        <v>7.4104042537308287E-3</v>
      </c>
      <c r="K1296" s="2">
        <f ca="1">IFERROR(AVERAGE(OFFSET(Tabla3[[#This Row],[Close]],-6,0,7)),"")</f>
        <v>1718.0428641183</v>
      </c>
      <c r="L1296" s="2">
        <f ca="1">IFERROR(_xlfn.STDEV.S(OFFSET(Tabla3[[#This Row],[Close]],-29,0,30)),"")</f>
        <v>31.139686451545263</v>
      </c>
    </row>
    <row r="1297" spans="1:12" x14ac:dyDescent="0.3">
      <c r="A1297" s="1">
        <v>44291</v>
      </c>
      <c r="B1297" s="3">
        <f>YEAR(Tabla3[[#This Row],[Date]])</f>
        <v>2021</v>
      </c>
      <c r="C1297" s="1" t="str">
        <f>+TEXT(Tabla3[[#This Row],[Date]],"mmm")</f>
        <v>abr</v>
      </c>
      <c r="D1297" s="2">
        <v>1727</v>
      </c>
      <c r="E1297" s="2">
        <v>1727</v>
      </c>
      <c r="F1297" s="2">
        <v>1729.69995117187</v>
      </c>
      <c r="G1297" s="2">
        <v>1721.90002441406</v>
      </c>
      <c r="H1297" s="2">
        <v>1727.90002441406</v>
      </c>
      <c r="I1297">
        <v>275</v>
      </c>
      <c r="J1297" s="2">
        <f ca="1">IFERROR((Tabla3[[#This Row],[Close]]-OFFSET(Tabla3[[#This Row],[Close]],-1,0))/OFFSET(Tabla3[[#This Row],[Close]],-1,0),"")</f>
        <v>2.8960324355632781E-4</v>
      </c>
      <c r="K1297" s="2">
        <f ca="1">IFERROR(AVERAGE(OFFSET(Tabla3[[#This Row],[Close]],-6,0,7)),"")</f>
        <v>1717.2000034877201</v>
      </c>
      <c r="L1297" s="2">
        <f ca="1">IFERROR(_xlfn.STDEV.S(OFFSET(Tabla3[[#This Row],[Close]],-29,0,30)),"")</f>
        <v>30.029755685486407</v>
      </c>
    </row>
    <row r="1298" spans="1:12" x14ac:dyDescent="0.3">
      <c r="A1298" s="1">
        <v>44292</v>
      </c>
      <c r="B1298" s="3">
        <f>YEAR(Tabla3[[#This Row],[Date]])</f>
        <v>2021</v>
      </c>
      <c r="C1298" s="1" t="str">
        <f>+TEXT(Tabla3[[#This Row],[Date]],"mmm")</f>
        <v>abr</v>
      </c>
      <c r="D1298" s="2">
        <v>1741.5</v>
      </c>
      <c r="E1298" s="2">
        <v>1741.5</v>
      </c>
      <c r="F1298" s="2">
        <v>1744.80004882812</v>
      </c>
      <c r="G1298" s="2">
        <v>1726.90002441406</v>
      </c>
      <c r="H1298" s="2">
        <v>1726.90002441406</v>
      </c>
      <c r="I1298">
        <v>890</v>
      </c>
      <c r="J1298" s="2">
        <f ca="1">IFERROR((Tabla3[[#This Row],[Close]]-OFFSET(Tabla3[[#This Row],[Close]],-1,0))/OFFSET(Tabla3[[#This Row],[Close]],-1,0),"")</f>
        <v>8.3960625361899251E-3</v>
      </c>
      <c r="K1298" s="2">
        <f ca="1">IFERROR(AVERAGE(OFFSET(Tabla3[[#This Row],[Close]],-6,0,7)),"")</f>
        <v>1719.5714285714257</v>
      </c>
      <c r="L1298" s="2">
        <f ca="1">IFERROR(_xlfn.STDEV.S(OFFSET(Tabla3[[#This Row],[Close]],-29,0,30)),"")</f>
        <v>26.466221589121758</v>
      </c>
    </row>
    <row r="1299" spans="1:12" x14ac:dyDescent="0.3">
      <c r="A1299" s="1">
        <v>44293</v>
      </c>
      <c r="B1299" s="3">
        <f>YEAR(Tabla3[[#This Row],[Date]])</f>
        <v>2021</v>
      </c>
      <c r="C1299" s="1" t="str">
        <f>+TEXT(Tabla3[[#This Row],[Date]],"mmm")</f>
        <v>abr</v>
      </c>
      <c r="D1299" s="2">
        <v>1740.09997558593</v>
      </c>
      <c r="E1299" s="2">
        <v>1740.09997558593</v>
      </c>
      <c r="F1299" s="2">
        <v>1742.69995117187</v>
      </c>
      <c r="G1299" s="2">
        <v>1733.69995117187</v>
      </c>
      <c r="H1299" s="2">
        <v>1742.69995117187</v>
      </c>
      <c r="I1299">
        <v>557</v>
      </c>
      <c r="J1299" s="2">
        <f ca="1">IFERROR((Tabla3[[#This Row],[Close]]-OFFSET(Tabla3[[#This Row],[Close]],-1,0))/OFFSET(Tabla3[[#This Row],[Close]],-1,0),"")</f>
        <v>-8.0391869886305102E-4</v>
      </c>
      <c r="K1299" s="2">
        <f ca="1">IFERROR(AVERAGE(OFFSET(Tabla3[[#This Row],[Close]],-6,0,7)),"")</f>
        <v>1720.7000034877201</v>
      </c>
      <c r="L1299" s="2">
        <f ca="1">IFERROR(_xlfn.STDEV.S(OFFSET(Tabla3[[#This Row],[Close]],-29,0,30)),"")</f>
        <v>22.372904752139032</v>
      </c>
    </row>
    <row r="1300" spans="1:12" x14ac:dyDescent="0.3">
      <c r="A1300" s="1">
        <v>44294</v>
      </c>
      <c r="B1300" s="3">
        <f>YEAR(Tabla3[[#This Row],[Date]])</f>
        <v>2021</v>
      </c>
      <c r="C1300" s="1" t="str">
        <f>+TEXT(Tabla3[[#This Row],[Date]],"mmm")</f>
        <v>abr</v>
      </c>
      <c r="D1300" s="2">
        <v>1756.80004882812</v>
      </c>
      <c r="E1300" s="2">
        <v>1756.80004882812</v>
      </c>
      <c r="F1300" s="2">
        <v>1758</v>
      </c>
      <c r="G1300" s="2">
        <v>1734.59997558593</v>
      </c>
      <c r="H1300" s="2">
        <v>1736</v>
      </c>
      <c r="I1300">
        <v>1298</v>
      </c>
      <c r="J1300" s="2">
        <f ca="1">IFERROR((Tabla3[[#This Row],[Close]]-OFFSET(Tabla3[[#This Row],[Close]],-1,0))/OFFSET(Tabla3[[#This Row],[Close]],-1,0),"")</f>
        <v>9.5971918145488846E-3</v>
      </c>
      <c r="K1300" s="2">
        <f ca="1">IFERROR(AVERAGE(OFFSET(Tabla3[[#This Row],[Close]],-6,0,7)),"")</f>
        <v>1727.0857282366044</v>
      </c>
      <c r="L1300" s="2">
        <f ca="1">IFERROR(_xlfn.STDEV.S(OFFSET(Tabla3[[#This Row],[Close]],-29,0,30)),"")</f>
        <v>18.995210683948773</v>
      </c>
    </row>
    <row r="1301" spans="1:12" x14ac:dyDescent="0.3">
      <c r="A1301" s="1">
        <v>44295</v>
      </c>
      <c r="B1301" s="3">
        <f>YEAR(Tabla3[[#This Row],[Date]])</f>
        <v>2021</v>
      </c>
      <c r="C1301" s="1" t="str">
        <f>+TEXT(Tabla3[[#This Row],[Date]],"mmm")</f>
        <v>abr</v>
      </c>
      <c r="D1301" s="2">
        <v>1743.30004882812</v>
      </c>
      <c r="E1301" s="2">
        <v>1743.30004882812</v>
      </c>
      <c r="F1301" s="2">
        <v>1750.80004882812</v>
      </c>
      <c r="G1301" s="2">
        <v>1733.30004882812</v>
      </c>
      <c r="H1301" s="2">
        <v>1750.80004882812</v>
      </c>
      <c r="I1301">
        <v>484</v>
      </c>
      <c r="J1301" s="2">
        <f ca="1">IFERROR((Tabla3[[#This Row],[Close]]-OFFSET(Tabla3[[#This Row],[Close]],-1,0))/OFFSET(Tabla3[[#This Row],[Close]],-1,0),"")</f>
        <v>-7.6844260159289191E-3</v>
      </c>
      <c r="K1301" s="2">
        <f ca="1">IFERROR(AVERAGE(OFFSET(Tabla3[[#This Row],[Close]],-6,0,7)),"")</f>
        <v>1735.5714460100412</v>
      </c>
      <c r="L1301" s="2">
        <f ca="1">IFERROR(_xlfn.STDEV.S(OFFSET(Tabla3[[#This Row],[Close]],-29,0,30)),"")</f>
        <v>16.929998584430461</v>
      </c>
    </row>
    <row r="1302" spans="1:12" x14ac:dyDescent="0.3">
      <c r="A1302" s="1">
        <v>44298</v>
      </c>
      <c r="B1302" s="3">
        <f>YEAR(Tabla3[[#This Row],[Date]])</f>
        <v>2021</v>
      </c>
      <c r="C1302" s="1" t="str">
        <f>+TEXT(Tabla3[[#This Row],[Date]],"mmm")</f>
        <v>abr</v>
      </c>
      <c r="D1302" s="2">
        <v>1731.19995117187</v>
      </c>
      <c r="E1302" s="2">
        <v>1731.19995117187</v>
      </c>
      <c r="F1302" s="2">
        <v>1740.80004882812</v>
      </c>
      <c r="G1302" s="2">
        <v>1726.69995117187</v>
      </c>
      <c r="H1302" s="2">
        <v>1740.80004882812</v>
      </c>
      <c r="I1302">
        <v>40</v>
      </c>
      <c r="J1302" s="2">
        <f ca="1">IFERROR((Tabla3[[#This Row],[Close]]-OFFSET(Tabla3[[#This Row],[Close]],-1,0))/OFFSET(Tabla3[[#This Row],[Close]],-1,0),"")</f>
        <v>-6.9409151134848645E-3</v>
      </c>
      <c r="K1302" s="2">
        <f ca="1">IFERROR(AVERAGE(OFFSET(Tabla3[[#This Row],[Close]],-6,0,7)),"")</f>
        <v>1738.0571463448628</v>
      </c>
      <c r="L1302" s="2">
        <f ca="1">IFERROR(_xlfn.STDEV.S(OFFSET(Tabla3[[#This Row],[Close]],-29,0,30)),"")</f>
        <v>16.966947433321877</v>
      </c>
    </row>
    <row r="1303" spans="1:12" x14ac:dyDescent="0.3">
      <c r="A1303" s="1">
        <v>44299</v>
      </c>
      <c r="B1303" s="3">
        <f>YEAR(Tabla3[[#This Row],[Date]])</f>
        <v>2021</v>
      </c>
      <c r="C1303" s="1" t="str">
        <f>+TEXT(Tabla3[[#This Row],[Date]],"mmm")</f>
        <v>abr</v>
      </c>
      <c r="D1303" s="2">
        <v>1746.19995117187</v>
      </c>
      <c r="E1303" s="2">
        <v>1746.19995117187</v>
      </c>
      <c r="F1303" s="2">
        <v>1746.90002441406</v>
      </c>
      <c r="G1303" s="2">
        <v>1722.09997558593</v>
      </c>
      <c r="H1303" s="2">
        <v>1733.80004882812</v>
      </c>
      <c r="I1303">
        <v>367</v>
      </c>
      <c r="J1303" s="2">
        <f ca="1">IFERROR((Tabla3[[#This Row],[Close]]-OFFSET(Tabla3[[#This Row],[Close]],-1,0))/OFFSET(Tabla3[[#This Row],[Close]],-1,0),"")</f>
        <v>8.6645104107392797E-3</v>
      </c>
      <c r="K1303" s="2">
        <f ca="1">IFERROR(AVERAGE(OFFSET(Tabla3[[#This Row],[Close]],-6,0,7)),"")</f>
        <v>1740.8714250837013</v>
      </c>
      <c r="L1303" s="2">
        <f ca="1">IFERROR(_xlfn.STDEV.S(OFFSET(Tabla3[[#This Row],[Close]],-29,0,30)),"")</f>
        <v>17.447193893221524</v>
      </c>
    </row>
    <row r="1304" spans="1:12" x14ac:dyDescent="0.3">
      <c r="A1304" s="1">
        <v>44300</v>
      </c>
      <c r="B1304" s="3">
        <f>YEAR(Tabla3[[#This Row],[Date]])</f>
        <v>2021</v>
      </c>
      <c r="C1304" s="1" t="str">
        <f>+TEXT(Tabla3[[#This Row],[Date]],"mmm")</f>
        <v>abr</v>
      </c>
      <c r="D1304" s="2">
        <v>1734.90002441406</v>
      </c>
      <c r="E1304" s="2">
        <v>1734.90002441406</v>
      </c>
      <c r="F1304" s="2">
        <v>1745.90002441406</v>
      </c>
      <c r="G1304" s="2">
        <v>1732.69995117187</v>
      </c>
      <c r="H1304" s="2">
        <v>1741.30004882812</v>
      </c>
      <c r="I1304">
        <v>1037</v>
      </c>
      <c r="J1304" s="2">
        <f ca="1">IFERROR((Tabla3[[#This Row],[Close]]-OFFSET(Tabla3[[#This Row],[Close]],-1,0))/OFFSET(Tabla3[[#This Row],[Close]],-1,0),"")</f>
        <v>-6.4711528311672721E-3</v>
      </c>
      <c r="K1304" s="2">
        <f ca="1">IFERROR(AVERAGE(OFFSET(Tabla3[[#This Row],[Close]],-6,0,7)),"")</f>
        <v>1741.9999999999957</v>
      </c>
      <c r="L1304" s="2">
        <f ca="1">IFERROR(_xlfn.STDEV.S(OFFSET(Tabla3[[#This Row],[Close]],-29,0,30)),"")</f>
        <v>17.480378730743343</v>
      </c>
    </row>
    <row r="1305" spans="1:12" x14ac:dyDescent="0.3">
      <c r="A1305" s="1">
        <v>44301</v>
      </c>
      <c r="B1305" s="3">
        <f>YEAR(Tabla3[[#This Row],[Date]])</f>
        <v>2021</v>
      </c>
      <c r="C1305" s="1" t="str">
        <f>+TEXT(Tabla3[[#This Row],[Date]],"mmm")</f>
        <v>abr</v>
      </c>
      <c r="D1305" s="2">
        <v>1765.40002441406</v>
      </c>
      <c r="E1305" s="2">
        <v>1765.40002441406</v>
      </c>
      <c r="F1305" s="2">
        <v>1767.90002441406</v>
      </c>
      <c r="G1305" s="2">
        <v>1740.09997558593</v>
      </c>
      <c r="H1305" s="2">
        <v>1740.09997558593</v>
      </c>
      <c r="I1305">
        <v>368</v>
      </c>
      <c r="J1305" s="2">
        <f ca="1">IFERROR((Tabla3[[#This Row],[Close]]-OFFSET(Tabla3[[#This Row],[Close]],-1,0))/OFFSET(Tabla3[[#This Row],[Close]],-1,0),"")</f>
        <v>1.7580263744765914E-2</v>
      </c>
      <c r="K1305" s="2">
        <f ca="1">IFERROR(AVERAGE(OFFSET(Tabla3[[#This Row],[Close]],-6,0,7)),"")</f>
        <v>1745.4142892020043</v>
      </c>
      <c r="L1305" s="2">
        <f ca="1">IFERROR(_xlfn.STDEV.S(OFFSET(Tabla3[[#This Row],[Close]],-29,0,30)),"")</f>
        <v>18.888492574106124</v>
      </c>
    </row>
    <row r="1306" spans="1:12" x14ac:dyDescent="0.3">
      <c r="A1306" s="1">
        <v>44302</v>
      </c>
      <c r="B1306" s="3">
        <f>YEAR(Tabla3[[#This Row],[Date]])</f>
        <v>2021</v>
      </c>
      <c r="C1306" s="1" t="str">
        <f>+TEXT(Tabla3[[#This Row],[Date]],"mmm")</f>
        <v>abr</v>
      </c>
      <c r="D1306" s="2">
        <v>1779</v>
      </c>
      <c r="E1306" s="2">
        <v>1779</v>
      </c>
      <c r="F1306" s="2">
        <v>1779.5</v>
      </c>
      <c r="G1306" s="2">
        <v>1770.09997558593</v>
      </c>
      <c r="H1306" s="2">
        <v>1770.40002441406</v>
      </c>
      <c r="I1306">
        <v>625</v>
      </c>
      <c r="J1306" s="2">
        <f ca="1">IFERROR((Tabla3[[#This Row],[Close]]-OFFSET(Tabla3[[#This Row],[Close]],-1,0))/OFFSET(Tabla3[[#This Row],[Close]],-1,0),"")</f>
        <v>7.703622633886539E-3</v>
      </c>
      <c r="K1306" s="2">
        <f ca="1">IFERROR(AVERAGE(OFFSET(Tabla3[[#This Row],[Close]],-6,0,7)),"")</f>
        <v>1750.9714355468716</v>
      </c>
      <c r="L1306" s="2">
        <f ca="1">IFERROR(_xlfn.STDEV.S(OFFSET(Tabla3[[#This Row],[Close]],-29,0,30)),"")</f>
        <v>20.53222344938791</v>
      </c>
    </row>
    <row r="1307" spans="1:12" x14ac:dyDescent="0.3">
      <c r="A1307" s="1">
        <v>44305</v>
      </c>
      <c r="B1307" s="3">
        <f>YEAR(Tabla3[[#This Row],[Date]])</f>
        <v>2021</v>
      </c>
      <c r="C1307" s="1" t="str">
        <f>+TEXT(Tabla3[[#This Row],[Date]],"mmm")</f>
        <v>abr</v>
      </c>
      <c r="D1307" s="2">
        <v>1769.40002441406</v>
      </c>
      <c r="E1307" s="2">
        <v>1769.40002441406</v>
      </c>
      <c r="F1307" s="2">
        <v>1788.5</v>
      </c>
      <c r="G1307" s="2">
        <v>1769.40002441406</v>
      </c>
      <c r="H1307" s="2">
        <v>1782.09997558593</v>
      </c>
      <c r="I1307">
        <v>144</v>
      </c>
      <c r="J1307" s="2">
        <f ca="1">IFERROR((Tabla3[[#This Row],[Close]]-OFFSET(Tabla3[[#This Row],[Close]],-1,0))/OFFSET(Tabla3[[#This Row],[Close]],-1,0),"")</f>
        <v>-5.3962763271163585E-3</v>
      </c>
      <c r="K1307" s="2">
        <f ca="1">IFERROR(AVERAGE(OFFSET(Tabla3[[#This Row],[Close]],-6,0,7)),"")</f>
        <v>1752.7714320591488</v>
      </c>
      <c r="L1307" s="2">
        <f ca="1">IFERROR(_xlfn.STDEV.S(OFFSET(Tabla3[[#This Row],[Close]],-29,0,30)),"")</f>
        <v>20.950064852005465</v>
      </c>
    </row>
    <row r="1308" spans="1:12" x14ac:dyDescent="0.3">
      <c r="A1308" s="1">
        <v>44306</v>
      </c>
      <c r="B1308" s="3">
        <f>YEAR(Tabla3[[#This Row],[Date]])</f>
        <v>2021</v>
      </c>
      <c r="C1308" s="1" t="str">
        <f>+TEXT(Tabla3[[#This Row],[Date]],"mmm")</f>
        <v>abr</v>
      </c>
      <c r="D1308" s="2">
        <v>1777.30004882812</v>
      </c>
      <c r="E1308" s="2">
        <v>1777.30004882812</v>
      </c>
      <c r="F1308" s="2">
        <v>1777.30004882812</v>
      </c>
      <c r="G1308" s="2">
        <v>1765.5</v>
      </c>
      <c r="H1308" s="2">
        <v>1769.30004882812</v>
      </c>
      <c r="I1308">
        <v>1464</v>
      </c>
      <c r="J1308" s="2">
        <f ca="1">IFERROR((Tabla3[[#This Row],[Close]]-OFFSET(Tabla3[[#This Row],[Close]],-1,0))/OFFSET(Tabla3[[#This Row],[Close]],-1,0),"")</f>
        <v>4.4648040607301936E-3</v>
      </c>
      <c r="K1308" s="2">
        <f ca="1">IFERROR(AVERAGE(OFFSET(Tabla3[[#This Row],[Close]],-6,0,7)),"")</f>
        <v>1757.6285749162914</v>
      </c>
      <c r="L1308" s="2">
        <f ca="1">IFERROR(_xlfn.STDEV.S(OFFSET(Tabla3[[#This Row],[Close]],-29,0,30)),"")</f>
        <v>20.022980977089901</v>
      </c>
    </row>
    <row r="1309" spans="1:12" x14ac:dyDescent="0.3">
      <c r="A1309" s="1">
        <v>44307</v>
      </c>
      <c r="B1309" s="3">
        <f>YEAR(Tabla3[[#This Row],[Date]])</f>
        <v>2021</v>
      </c>
      <c r="C1309" s="1" t="str">
        <f>+TEXT(Tabla3[[#This Row],[Date]],"mmm")</f>
        <v>abr</v>
      </c>
      <c r="D1309" s="2">
        <v>1792.30004882812</v>
      </c>
      <c r="E1309" s="2">
        <v>1792.30004882812</v>
      </c>
      <c r="F1309" s="2">
        <v>1794.09997558593</v>
      </c>
      <c r="G1309" s="2">
        <v>1777.69995117187</v>
      </c>
      <c r="H1309" s="2">
        <v>1783</v>
      </c>
      <c r="I1309">
        <v>250</v>
      </c>
      <c r="J1309" s="2">
        <f ca="1">IFERROR((Tabla3[[#This Row],[Close]]-OFFSET(Tabla3[[#This Row],[Close]],-1,0))/OFFSET(Tabla3[[#This Row],[Close]],-1,0),"")</f>
        <v>8.4397679558330038E-3</v>
      </c>
      <c r="K1309" s="2">
        <f ca="1">IFERROR(AVERAGE(OFFSET(Tabla3[[#This Row],[Close]],-6,0,7)),"")</f>
        <v>1766.3571602957556</v>
      </c>
      <c r="L1309" s="2">
        <f ca="1">IFERROR(_xlfn.STDEV.S(OFFSET(Tabla3[[#This Row],[Close]],-29,0,30)),"")</f>
        <v>22.304572210334708</v>
      </c>
    </row>
    <row r="1310" spans="1:12" x14ac:dyDescent="0.3">
      <c r="A1310" s="1">
        <v>44308</v>
      </c>
      <c r="B1310" s="3">
        <f>YEAR(Tabla3[[#This Row],[Date]])</f>
        <v>2021</v>
      </c>
      <c r="C1310" s="1" t="str">
        <f>+TEXT(Tabla3[[#This Row],[Date]],"mmm")</f>
        <v>abr</v>
      </c>
      <c r="D1310" s="2">
        <v>1781.19995117187</v>
      </c>
      <c r="E1310" s="2">
        <v>1781.19995117187</v>
      </c>
      <c r="F1310" s="2">
        <v>1794.19995117187</v>
      </c>
      <c r="G1310" s="2">
        <v>1779.5</v>
      </c>
      <c r="H1310" s="2">
        <v>1794.19995117187</v>
      </c>
      <c r="I1310">
        <v>159</v>
      </c>
      <c r="J1310" s="2">
        <f ca="1">IFERROR((Tabla3[[#This Row],[Close]]-OFFSET(Tabla3[[#This Row],[Close]],-1,0))/OFFSET(Tabla3[[#This Row],[Close]],-1,0),"")</f>
        <v>-6.1932139451247037E-3</v>
      </c>
      <c r="K1310" s="2">
        <f ca="1">IFERROR(AVERAGE(OFFSET(Tabla3[[#This Row],[Close]],-6,0,7)),"")</f>
        <v>1771.3571602957556</v>
      </c>
      <c r="L1310" s="2">
        <f ca="1">IFERROR(_xlfn.STDEV.S(OFFSET(Tabla3[[#This Row],[Close]],-29,0,30)),"")</f>
        <v>23.486191198243876</v>
      </c>
    </row>
    <row r="1311" spans="1:12" x14ac:dyDescent="0.3">
      <c r="A1311" s="1">
        <v>44309</v>
      </c>
      <c r="B1311" s="3">
        <f>YEAR(Tabla3[[#This Row],[Date]])</f>
        <v>2021</v>
      </c>
      <c r="C1311" s="1" t="str">
        <f>+TEXT(Tabla3[[#This Row],[Date]],"mmm")</f>
        <v>abr</v>
      </c>
      <c r="D1311" s="2">
        <v>1777</v>
      </c>
      <c r="E1311" s="2">
        <v>1777</v>
      </c>
      <c r="F1311" s="2">
        <v>1794.5</v>
      </c>
      <c r="G1311" s="2">
        <v>1772</v>
      </c>
      <c r="H1311" s="2">
        <v>1786.09997558593</v>
      </c>
      <c r="I1311">
        <v>332</v>
      </c>
      <c r="J1311" s="2">
        <f ca="1">IFERROR((Tabla3[[#This Row],[Close]]-OFFSET(Tabla3[[#This Row],[Close]],-1,0))/OFFSET(Tabla3[[#This Row],[Close]],-1,0),"")</f>
        <v>-2.3579335768041123E-3</v>
      </c>
      <c r="K1311" s="2">
        <f ca="1">IFERROR(AVERAGE(OFFSET(Tabla3[[#This Row],[Close]],-6,0,7)),"")</f>
        <v>1777.3714425223184</v>
      </c>
      <c r="L1311" s="2">
        <f ca="1">IFERROR(_xlfn.STDEV.S(OFFSET(Tabla3[[#This Row],[Close]],-29,0,30)),"")</f>
        <v>24.239867531587624</v>
      </c>
    </row>
    <row r="1312" spans="1:12" x14ac:dyDescent="0.3">
      <c r="A1312" s="1">
        <v>44312</v>
      </c>
      <c r="B1312" s="3">
        <f>YEAR(Tabla3[[#This Row],[Date]])</f>
        <v>2021</v>
      </c>
      <c r="C1312" s="1" t="str">
        <f>+TEXT(Tabla3[[#This Row],[Date]],"mmm")</f>
        <v>abr</v>
      </c>
      <c r="D1312" s="2">
        <v>1779.19995117187</v>
      </c>
      <c r="E1312" s="2">
        <v>1779.19995117187</v>
      </c>
      <c r="F1312" s="2">
        <v>1779.69995117187</v>
      </c>
      <c r="G1312" s="2">
        <v>1770.80004882812</v>
      </c>
      <c r="H1312" s="2">
        <v>1778</v>
      </c>
      <c r="I1312">
        <v>549</v>
      </c>
      <c r="J1312" s="2">
        <f ca="1">IFERROR((Tabla3[[#This Row],[Close]]-OFFSET(Tabla3[[#This Row],[Close]],-1,0))/OFFSET(Tabla3[[#This Row],[Close]],-1,0),"")</f>
        <v>1.2380141653742249E-3</v>
      </c>
      <c r="K1312" s="2">
        <f ca="1">IFERROR(AVERAGE(OFFSET(Tabla3[[#This Row],[Close]],-6,0,7)),"")</f>
        <v>1779.342860630577</v>
      </c>
      <c r="L1312" s="2">
        <f ca="1">IFERROR(_xlfn.STDEV.S(OFFSET(Tabla3[[#This Row],[Close]],-29,0,30)),"")</f>
        <v>24.854447285953544</v>
      </c>
    </row>
    <row r="1313" spans="1:12" x14ac:dyDescent="0.3">
      <c r="A1313" s="1">
        <v>44313</v>
      </c>
      <c r="B1313" s="3">
        <f>YEAR(Tabla3[[#This Row],[Date]])</f>
        <v>2021</v>
      </c>
      <c r="C1313" s="1" t="str">
        <f>+TEXT(Tabla3[[#This Row],[Date]],"mmm")</f>
        <v>abr</v>
      </c>
      <c r="D1313" s="2">
        <v>1778</v>
      </c>
      <c r="E1313" s="2">
        <v>1778</v>
      </c>
      <c r="F1313" s="2">
        <v>1782</v>
      </c>
      <c r="G1313" s="2">
        <v>1777.69995117187</v>
      </c>
      <c r="H1313" s="2">
        <v>1780</v>
      </c>
      <c r="I1313">
        <v>117</v>
      </c>
      <c r="J1313" s="2">
        <f ca="1">IFERROR((Tabla3[[#This Row],[Close]]-OFFSET(Tabla3[[#This Row],[Close]],-1,0))/OFFSET(Tabla3[[#This Row],[Close]],-1,0),"")</f>
        <v>-6.7443300629569487E-4</v>
      </c>
      <c r="K1313" s="2">
        <f ca="1">IFERROR(AVERAGE(OFFSET(Tabla3[[#This Row],[Close]],-6,0,7)),"")</f>
        <v>1779.2000034877199</v>
      </c>
      <c r="L1313" s="2">
        <f ca="1">IFERROR(_xlfn.STDEV.S(OFFSET(Tabla3[[#This Row],[Close]],-29,0,30)),"")</f>
        <v>25.501018449199403</v>
      </c>
    </row>
    <row r="1314" spans="1:12" x14ac:dyDescent="0.3">
      <c r="A1314" s="1">
        <v>44314</v>
      </c>
      <c r="B1314" s="3">
        <f>YEAR(Tabla3[[#This Row],[Date]])</f>
        <v>2021</v>
      </c>
      <c r="C1314" s="1" t="str">
        <f>+TEXT(Tabla3[[#This Row],[Date]],"mmm")</f>
        <v>abr</v>
      </c>
      <c r="D1314" s="2">
        <v>1773.19995117187</v>
      </c>
      <c r="E1314" s="2">
        <v>1773.19995117187</v>
      </c>
      <c r="F1314" s="2">
        <v>1774</v>
      </c>
      <c r="G1314" s="2">
        <v>1764.59997558593</v>
      </c>
      <c r="H1314" s="2">
        <v>1768.19995117187</v>
      </c>
      <c r="I1314">
        <v>756</v>
      </c>
      <c r="J1314" s="2">
        <f ca="1">IFERROR((Tabla3[[#This Row],[Close]]-OFFSET(Tabla3[[#This Row],[Close]],-1,0))/OFFSET(Tabla3[[#This Row],[Close]],-1,0),"")</f>
        <v>-2.6996900045725548E-3</v>
      </c>
      <c r="K1314" s="2">
        <f ca="1">IFERROR(AVERAGE(OFFSET(Tabla3[[#This Row],[Close]],-6,0,7)),"")</f>
        <v>1779.7428501674071</v>
      </c>
      <c r="L1314" s="2">
        <f ca="1">IFERROR(_xlfn.STDEV.S(OFFSET(Tabla3[[#This Row],[Close]],-29,0,30)),"")</f>
        <v>25.874815764449167</v>
      </c>
    </row>
    <row r="1315" spans="1:12" x14ac:dyDescent="0.3">
      <c r="A1315" s="1">
        <v>44315</v>
      </c>
      <c r="B1315" s="3">
        <f>YEAR(Tabla3[[#This Row],[Date]])</f>
        <v>2021</v>
      </c>
      <c r="C1315" s="1" t="str">
        <f>+TEXT(Tabla3[[#This Row],[Date]],"mmm")</f>
        <v>abr</v>
      </c>
      <c r="D1315" s="2">
        <v>1768.09997558593</v>
      </c>
      <c r="E1315" s="2">
        <v>1768.09997558593</v>
      </c>
      <c r="F1315" s="2">
        <v>1789</v>
      </c>
      <c r="G1315" s="2">
        <v>1758.59997558593</v>
      </c>
      <c r="H1315" s="2">
        <v>1781</v>
      </c>
      <c r="I1315">
        <v>196</v>
      </c>
      <c r="J1315" s="2">
        <f ca="1">IFERROR((Tabla3[[#This Row],[Close]]-OFFSET(Tabla3[[#This Row],[Close]],-1,0))/OFFSET(Tabla3[[#This Row],[Close]],-1,0),"")</f>
        <v>-2.876142412799829E-3</v>
      </c>
      <c r="K1315" s="2">
        <f ca="1">IFERROR(AVERAGE(OFFSET(Tabla3[[#This Row],[Close]],-6,0,7)),"")</f>
        <v>1778.4285539899515</v>
      </c>
      <c r="L1315" s="2">
        <f ca="1">IFERROR(_xlfn.STDEV.S(OFFSET(Tabla3[[#This Row],[Close]],-29,0,30)),"")</f>
        <v>25.912674155279863</v>
      </c>
    </row>
    <row r="1316" spans="1:12" x14ac:dyDescent="0.3">
      <c r="A1316" s="1">
        <v>44316</v>
      </c>
      <c r="B1316" s="3">
        <f>YEAR(Tabla3[[#This Row],[Date]])</f>
        <v>2021</v>
      </c>
      <c r="C1316" s="1" t="str">
        <f>+TEXT(Tabla3[[#This Row],[Date]],"mmm")</f>
        <v>abr</v>
      </c>
      <c r="D1316" s="2">
        <v>1767.30004882812</v>
      </c>
      <c r="E1316" s="2">
        <v>1767.30004882812</v>
      </c>
      <c r="F1316" s="2">
        <v>1771.80004882812</v>
      </c>
      <c r="G1316" s="2">
        <v>1763.90002441406</v>
      </c>
      <c r="H1316" s="2">
        <v>1771.80004882812</v>
      </c>
      <c r="I1316">
        <v>18</v>
      </c>
      <c r="J1316" s="2">
        <f ca="1">IFERROR((Tabla3[[#This Row],[Close]]-OFFSET(Tabla3[[#This Row],[Close]],-1,0))/OFFSET(Tabla3[[#This Row],[Close]],-1,0),"")</f>
        <v>-4.5242167799075474E-4</v>
      </c>
      <c r="K1316" s="2">
        <f ca="1">IFERROR(AVERAGE(OFFSET(Tabla3[[#This Row],[Close]],-6,0,7)),"")</f>
        <v>1774.8571254185229</v>
      </c>
      <c r="L1316" s="2">
        <f ca="1">IFERROR(_xlfn.STDEV.S(OFFSET(Tabla3[[#This Row],[Close]],-29,0,30)),"")</f>
        <v>25.992656121427217</v>
      </c>
    </row>
    <row r="1317" spans="1:12" x14ac:dyDescent="0.3">
      <c r="A1317" s="1">
        <v>44319</v>
      </c>
      <c r="B1317" s="3">
        <f>YEAR(Tabla3[[#This Row],[Date]])</f>
        <v>2021</v>
      </c>
      <c r="C1317" s="1" t="str">
        <f>+TEXT(Tabla3[[#This Row],[Date]],"mmm")</f>
        <v>may</v>
      </c>
      <c r="D1317" s="2">
        <v>1791.40002441406</v>
      </c>
      <c r="E1317" s="2">
        <v>1791.40002441406</v>
      </c>
      <c r="F1317" s="2">
        <v>1793</v>
      </c>
      <c r="G1317" s="2">
        <v>1788.5</v>
      </c>
      <c r="H1317" s="2">
        <v>1788.5</v>
      </c>
      <c r="I1317">
        <v>18</v>
      </c>
      <c r="J1317" s="2">
        <f ca="1">IFERROR((Tabla3[[#This Row],[Close]]-OFFSET(Tabla3[[#This Row],[Close]],-1,0))/OFFSET(Tabla3[[#This Row],[Close]],-1,0),"")</f>
        <v>1.3636606642952603E-2</v>
      </c>
      <c r="K1317" s="2">
        <f ca="1">IFERROR(AVERAGE(OFFSET(Tabla3[[#This Row],[Close]],-6,0,7)),"")</f>
        <v>1776.3142787388356</v>
      </c>
      <c r="L1317" s="2">
        <f ca="1">IFERROR(_xlfn.STDEV.S(OFFSET(Tabla3[[#This Row],[Close]],-29,0,30)),"")</f>
        <v>27.093449887704104</v>
      </c>
    </row>
    <row r="1318" spans="1:12" x14ac:dyDescent="0.3">
      <c r="A1318" s="1">
        <v>44320</v>
      </c>
      <c r="B1318" s="3">
        <f>YEAR(Tabla3[[#This Row],[Date]])</f>
        <v>2021</v>
      </c>
      <c r="C1318" s="1" t="str">
        <f>+TEXT(Tabla3[[#This Row],[Date]],"mmm")</f>
        <v>may</v>
      </c>
      <c r="D1318" s="2">
        <v>1775.80004882812</v>
      </c>
      <c r="E1318" s="2">
        <v>1775.80004882812</v>
      </c>
      <c r="F1318" s="2">
        <v>1788.5</v>
      </c>
      <c r="G1318" s="2">
        <v>1774.80004882812</v>
      </c>
      <c r="H1318" s="2">
        <v>1788.19995117187</v>
      </c>
      <c r="I1318">
        <v>182</v>
      </c>
      <c r="J1318" s="2">
        <f ca="1">IFERROR((Tabla3[[#This Row],[Close]]-OFFSET(Tabla3[[#This Row],[Close]],-1,0))/OFFSET(Tabla3[[#This Row],[Close]],-1,0),"")</f>
        <v>-8.7082591120553991E-3</v>
      </c>
      <c r="K1318" s="2">
        <f ca="1">IFERROR(AVERAGE(OFFSET(Tabla3[[#This Row],[Close]],-6,0,7)),"")</f>
        <v>1776.142857142853</v>
      </c>
      <c r="L1318" s="2">
        <f ca="1">IFERROR(_xlfn.STDEV.S(OFFSET(Tabla3[[#This Row],[Close]],-29,0,30)),"")</f>
        <v>27.376354786976574</v>
      </c>
    </row>
    <row r="1319" spans="1:12" x14ac:dyDescent="0.3">
      <c r="A1319" s="1">
        <v>44321</v>
      </c>
      <c r="B1319" s="3">
        <f>YEAR(Tabla3[[#This Row],[Date]])</f>
        <v>2021</v>
      </c>
      <c r="C1319" s="1" t="str">
        <f>+TEXT(Tabla3[[#This Row],[Date]],"mmm")</f>
        <v>may</v>
      </c>
      <c r="D1319" s="2">
        <v>1784.09997558593</v>
      </c>
      <c r="E1319" s="2">
        <v>1784.09997558593</v>
      </c>
      <c r="F1319" s="2">
        <v>1784.09997558593</v>
      </c>
      <c r="G1319" s="2">
        <v>1779.19995117187</v>
      </c>
      <c r="H1319" s="2">
        <v>1781.5</v>
      </c>
      <c r="I1319">
        <v>57</v>
      </c>
      <c r="J1319" s="2">
        <f ca="1">IFERROR((Tabla3[[#This Row],[Close]]-OFFSET(Tabla3[[#This Row],[Close]],-1,0))/OFFSET(Tabla3[[#This Row],[Close]],-1,0),"")</f>
        <v>4.6739083959859437E-3</v>
      </c>
      <c r="K1319" s="2">
        <f ca="1">IFERROR(AVERAGE(OFFSET(Tabla3[[#This Row],[Close]],-6,0,7)),"")</f>
        <v>1776.8428606305756</v>
      </c>
      <c r="L1319" s="2">
        <f ca="1">IFERROR(_xlfn.STDEV.S(OFFSET(Tabla3[[#This Row],[Close]],-29,0,30)),"")</f>
        <v>27.514915419835777</v>
      </c>
    </row>
    <row r="1320" spans="1:12" x14ac:dyDescent="0.3">
      <c r="A1320" s="1">
        <v>44322</v>
      </c>
      <c r="B1320" s="3">
        <f>YEAR(Tabla3[[#This Row],[Date]])</f>
        <v>2021</v>
      </c>
      <c r="C1320" s="1" t="str">
        <f>+TEXT(Tabla3[[#This Row],[Date]],"mmm")</f>
        <v>may</v>
      </c>
      <c r="D1320" s="2">
        <v>1815.5</v>
      </c>
      <c r="E1320" s="2">
        <v>1815.5</v>
      </c>
      <c r="F1320" s="2">
        <v>1815.5</v>
      </c>
      <c r="G1320" s="2">
        <v>1787.59997558593</v>
      </c>
      <c r="H1320" s="2">
        <v>1788.90002441406</v>
      </c>
      <c r="I1320">
        <v>13</v>
      </c>
      <c r="J1320" s="2">
        <f ca="1">IFERROR((Tabla3[[#This Row],[Close]]-OFFSET(Tabla3[[#This Row],[Close]],-1,0))/OFFSET(Tabla3[[#This Row],[Close]],-1,0),"")</f>
        <v>1.7599924244019835E-2</v>
      </c>
      <c r="K1320" s="2">
        <f ca="1">IFERROR(AVERAGE(OFFSET(Tabla3[[#This Row],[Close]],-6,0,7)),"")</f>
        <v>1782.2000034877185</v>
      </c>
      <c r="L1320" s="2">
        <f ca="1">IFERROR(_xlfn.STDEV.S(OFFSET(Tabla3[[#This Row],[Close]],-29,0,30)),"")</f>
        <v>29.444134721822067</v>
      </c>
    </row>
    <row r="1321" spans="1:12" x14ac:dyDescent="0.3">
      <c r="A1321" s="1">
        <v>44323</v>
      </c>
      <c r="B1321" s="3">
        <f>YEAR(Tabla3[[#This Row],[Date]])</f>
        <v>2021</v>
      </c>
      <c r="C1321" s="1" t="str">
        <f>+TEXT(Tabla3[[#This Row],[Date]],"mmm")</f>
        <v>may</v>
      </c>
      <c r="D1321" s="2">
        <v>1831.09997558593</v>
      </c>
      <c r="E1321" s="2">
        <v>1831.09997558593</v>
      </c>
      <c r="F1321" s="2">
        <v>1842.90002441406</v>
      </c>
      <c r="G1321" s="2">
        <v>1831.09997558593</v>
      </c>
      <c r="H1321" s="2">
        <v>1842.90002441406</v>
      </c>
      <c r="I1321">
        <v>2</v>
      </c>
      <c r="J1321" s="2">
        <f ca="1">IFERROR((Tabla3[[#This Row],[Close]]-OFFSET(Tabla3[[#This Row],[Close]],-1,0))/OFFSET(Tabla3[[#This Row],[Close]],-1,0),"")</f>
        <v>8.5926607468631219E-3</v>
      </c>
      <c r="K1321" s="2">
        <f ca="1">IFERROR(AVERAGE(OFFSET(Tabla3[[#This Row],[Close]],-6,0,7)),"")</f>
        <v>1790.47143554687</v>
      </c>
      <c r="L1321" s="2">
        <f ca="1">IFERROR(_xlfn.STDEV.S(OFFSET(Tabla3[[#This Row],[Close]],-29,0,30)),"")</f>
        <v>31.828049085911935</v>
      </c>
    </row>
    <row r="1322" spans="1:12" x14ac:dyDescent="0.3">
      <c r="A1322" s="1">
        <v>44326</v>
      </c>
      <c r="B1322" s="3">
        <f>YEAR(Tabla3[[#This Row],[Date]])</f>
        <v>2021</v>
      </c>
      <c r="C1322" s="1" t="str">
        <f>+TEXT(Tabla3[[#This Row],[Date]],"mmm")</f>
        <v>may</v>
      </c>
      <c r="D1322" s="2">
        <v>1837.5</v>
      </c>
      <c r="E1322" s="2">
        <v>1837.5</v>
      </c>
      <c r="F1322" s="2">
        <v>1845.59997558593</v>
      </c>
      <c r="G1322" s="2">
        <v>1835.40002441406</v>
      </c>
      <c r="H1322" s="2">
        <v>1835.59997558593</v>
      </c>
      <c r="I1322">
        <v>13</v>
      </c>
      <c r="J1322" s="2">
        <f ca="1">IFERROR((Tabla3[[#This Row],[Close]]-OFFSET(Tabla3[[#This Row],[Close]],-1,0))/OFFSET(Tabla3[[#This Row],[Close]],-1,0),"")</f>
        <v>3.4951802192133567E-3</v>
      </c>
      <c r="K1322" s="2">
        <f ca="1">IFERROR(AVERAGE(OFFSET(Tabla3[[#This Row],[Close]],-6,0,7)),"")</f>
        <v>1800.38572474888</v>
      </c>
      <c r="L1322" s="2">
        <f ca="1">IFERROR(_xlfn.STDEV.S(OFFSET(Tabla3[[#This Row],[Close]],-29,0,30)),"")</f>
        <v>34.380238994563435</v>
      </c>
    </row>
    <row r="1323" spans="1:12" x14ac:dyDescent="0.3">
      <c r="A1323" s="1">
        <v>44327</v>
      </c>
      <c r="B1323" s="3">
        <f>YEAR(Tabla3[[#This Row],[Date]])</f>
        <v>2021</v>
      </c>
      <c r="C1323" s="1" t="str">
        <f>+TEXT(Tabla3[[#This Row],[Date]],"mmm")</f>
        <v>may</v>
      </c>
      <c r="D1323" s="2">
        <v>1835.90002441406</v>
      </c>
      <c r="E1323" s="2">
        <v>1835.90002441406</v>
      </c>
      <c r="F1323" s="2">
        <v>1838.09997558593</v>
      </c>
      <c r="G1323" s="2">
        <v>1831.59997558593</v>
      </c>
      <c r="H1323" s="2">
        <v>1837.19995117187</v>
      </c>
      <c r="I1323">
        <v>420</v>
      </c>
      <c r="J1323" s="2">
        <f ca="1">IFERROR((Tabla3[[#This Row],[Close]]-OFFSET(Tabla3[[#This Row],[Close]],-1,0))/OFFSET(Tabla3[[#This Row],[Close]],-1,0),"")</f>
        <v>-8.7073501275646318E-4</v>
      </c>
      <c r="K1323" s="2">
        <f ca="1">IFERROR(AVERAGE(OFFSET(Tabla3[[#This Row],[Close]],-6,0,7)),"")</f>
        <v>1810.1857212611574</v>
      </c>
      <c r="L1323" s="2">
        <f ca="1">IFERROR(_xlfn.STDEV.S(OFFSET(Tabla3[[#This Row],[Close]],-29,0,30)),"")</f>
        <v>35.432005791925292</v>
      </c>
    </row>
    <row r="1324" spans="1:12" x14ac:dyDescent="0.3">
      <c r="A1324" s="1">
        <v>44328</v>
      </c>
      <c r="B1324" s="3">
        <f>YEAR(Tabla3[[#This Row],[Date]])</f>
        <v>2021</v>
      </c>
      <c r="C1324" s="1" t="str">
        <f>+TEXT(Tabla3[[#This Row],[Date]],"mmm")</f>
        <v>may</v>
      </c>
      <c r="D1324" s="2">
        <v>1822.59997558593</v>
      </c>
      <c r="E1324" s="2">
        <v>1822.59997558593</v>
      </c>
      <c r="F1324" s="2">
        <v>1825.19995117187</v>
      </c>
      <c r="G1324" s="2">
        <v>1821.69995117187</v>
      </c>
      <c r="H1324" s="2">
        <v>1825.19995117187</v>
      </c>
      <c r="I1324">
        <v>3</v>
      </c>
      <c r="J1324" s="2">
        <f ca="1">IFERROR((Tabla3[[#This Row],[Close]]-OFFSET(Tabla3[[#This Row],[Close]],-1,0))/OFFSET(Tabla3[[#This Row],[Close]],-1,0),"")</f>
        <v>-7.2444297898927278E-3</v>
      </c>
      <c r="K1324" s="2">
        <f ca="1">IFERROR(AVERAGE(OFFSET(Tabla3[[#This Row],[Close]],-6,0,7)),"")</f>
        <v>1814.642857142853</v>
      </c>
      <c r="L1324" s="2">
        <f ca="1">IFERROR(_xlfn.STDEV.S(OFFSET(Tabla3[[#This Row],[Close]],-29,0,30)),"")</f>
        <v>33.126377386461634</v>
      </c>
    </row>
    <row r="1325" spans="1:12" x14ac:dyDescent="0.3">
      <c r="A1325" s="1">
        <v>44329</v>
      </c>
      <c r="B1325" s="3">
        <f>YEAR(Tabla3[[#This Row],[Date]])</f>
        <v>2021</v>
      </c>
      <c r="C1325" s="1" t="str">
        <f>+TEXT(Tabla3[[#This Row],[Date]],"mmm")</f>
        <v>may</v>
      </c>
      <c r="D1325" s="2">
        <v>1823.80004882812</v>
      </c>
      <c r="E1325" s="2">
        <v>1823.80004882812</v>
      </c>
      <c r="F1325" s="2">
        <v>1826.80004882812</v>
      </c>
      <c r="G1325" s="2">
        <v>1814.09997558593</v>
      </c>
      <c r="H1325" s="2">
        <v>1814.69995117187</v>
      </c>
      <c r="I1325">
        <v>100</v>
      </c>
      <c r="J1325" s="2">
        <f ca="1">IFERROR((Tabla3[[#This Row],[Close]]-OFFSET(Tabla3[[#This Row],[Close]],-1,0))/OFFSET(Tabla3[[#This Row],[Close]],-1,0),"")</f>
        <v>6.5844028216021527E-4</v>
      </c>
      <c r="K1325" s="2">
        <f ca="1">IFERROR(AVERAGE(OFFSET(Tabla3[[#This Row],[Close]],-6,0,7)),"")</f>
        <v>1821.4999999999959</v>
      </c>
      <c r="L1325" s="2">
        <f ca="1">IFERROR(_xlfn.STDEV.S(OFFSET(Tabla3[[#This Row],[Close]],-29,0,30)),"")</f>
        <v>32.534840481635932</v>
      </c>
    </row>
    <row r="1326" spans="1:12" x14ac:dyDescent="0.3">
      <c r="A1326" s="1">
        <v>44330</v>
      </c>
      <c r="B1326" s="3">
        <f>YEAR(Tabla3[[#This Row],[Date]])</f>
        <v>2021</v>
      </c>
      <c r="C1326" s="1" t="str">
        <f>+TEXT(Tabla3[[#This Row],[Date]],"mmm")</f>
        <v>may</v>
      </c>
      <c r="D1326" s="2">
        <v>1837.90002441406</v>
      </c>
      <c r="E1326" s="2">
        <v>1837.90002441406</v>
      </c>
      <c r="F1326" s="2">
        <v>1842.90002441406</v>
      </c>
      <c r="G1326" s="2">
        <v>1824.5</v>
      </c>
      <c r="H1326" s="2">
        <v>1824.5</v>
      </c>
      <c r="I1326">
        <v>41</v>
      </c>
      <c r="J1326" s="2">
        <f ca="1">IFERROR((Tabla3[[#This Row],[Close]]-OFFSET(Tabla3[[#This Row],[Close]],-1,0))/OFFSET(Tabla3[[#This Row],[Close]],-1,0),"")</f>
        <v>7.7310972740679109E-3</v>
      </c>
      <c r="K1326" s="2">
        <f ca="1">IFERROR(AVERAGE(OFFSET(Tabla3[[#This Row],[Close]],-6,0,7)),"")</f>
        <v>1829.1857212611571</v>
      </c>
      <c r="L1326" s="2">
        <f ca="1">IFERROR(_xlfn.STDEV.S(OFFSET(Tabla3[[#This Row],[Close]],-29,0,30)),"")</f>
        <v>33.072341625766086</v>
      </c>
    </row>
    <row r="1327" spans="1:12" x14ac:dyDescent="0.3">
      <c r="A1327" s="1">
        <v>44333</v>
      </c>
      <c r="B1327" s="3">
        <f>YEAR(Tabla3[[#This Row],[Date]])</f>
        <v>2021</v>
      </c>
      <c r="C1327" s="1" t="str">
        <f>+TEXT(Tabla3[[#This Row],[Date]],"mmm")</f>
        <v>may</v>
      </c>
      <c r="D1327" s="2">
        <v>1867.5</v>
      </c>
      <c r="E1327" s="2">
        <v>1867.5</v>
      </c>
      <c r="F1327" s="2">
        <v>1867.5</v>
      </c>
      <c r="G1327" s="2">
        <v>1847.19995117187</v>
      </c>
      <c r="H1327" s="2">
        <v>1849.90002441406</v>
      </c>
      <c r="I1327">
        <v>13</v>
      </c>
      <c r="J1327" s="2">
        <f ca="1">IFERROR((Tabla3[[#This Row],[Close]]-OFFSET(Tabla3[[#This Row],[Close]],-1,0))/OFFSET(Tabla3[[#This Row],[Close]],-1,0),"")</f>
        <v>1.6105324115971299E-2</v>
      </c>
      <c r="K1327" s="2">
        <f ca="1">IFERROR(AVERAGE(OFFSET(Tabla3[[#This Row],[Close]],-6,0,7)),"")</f>
        <v>1836.6142926897287</v>
      </c>
      <c r="L1327" s="2">
        <f ca="1">IFERROR(_xlfn.STDEV.S(OFFSET(Tabla3[[#This Row],[Close]],-29,0,30)),"")</f>
        <v>35.261936510513216</v>
      </c>
    </row>
    <row r="1328" spans="1:12" x14ac:dyDescent="0.3">
      <c r="A1328" s="1">
        <v>44334</v>
      </c>
      <c r="B1328" s="3">
        <f>YEAR(Tabla3[[#This Row],[Date]])</f>
        <v>2021</v>
      </c>
      <c r="C1328" s="1" t="str">
        <f>+TEXT(Tabla3[[#This Row],[Date]],"mmm")</f>
        <v>may</v>
      </c>
      <c r="D1328" s="2">
        <v>1867.80004882812</v>
      </c>
      <c r="E1328" s="2">
        <v>1867.80004882812</v>
      </c>
      <c r="F1328" s="2">
        <v>1870.5</v>
      </c>
      <c r="G1328" s="2">
        <v>1867.80004882812</v>
      </c>
      <c r="H1328" s="2">
        <v>1870.5</v>
      </c>
      <c r="I1328">
        <v>3</v>
      </c>
      <c r="J1328" s="2">
        <f ca="1">IFERROR((Tabla3[[#This Row],[Close]]-OFFSET(Tabla3[[#This Row],[Close]],-1,0))/OFFSET(Tabla3[[#This Row],[Close]],-1,0),"")</f>
        <v>1.606687165301193E-4</v>
      </c>
      <c r="K1328" s="2">
        <f ca="1">IFERROR(AVERAGE(OFFSET(Tabla3[[#This Row],[Close]],-6,0,7)),"")</f>
        <v>1841.8571602957559</v>
      </c>
      <c r="L1328" s="2">
        <f ca="1">IFERROR(_xlfn.STDEV.S(OFFSET(Tabla3[[#This Row],[Close]],-29,0,30)),"")</f>
        <v>37.465066283716574</v>
      </c>
    </row>
    <row r="1329" spans="1:12" x14ac:dyDescent="0.3">
      <c r="A1329" s="1">
        <v>44335</v>
      </c>
      <c r="B1329" s="3">
        <f>YEAR(Tabla3[[#This Row],[Date]])</f>
        <v>2021</v>
      </c>
      <c r="C1329" s="1" t="str">
        <f>+TEXT(Tabla3[[#This Row],[Date]],"mmm")</f>
        <v>may</v>
      </c>
      <c r="D1329" s="2">
        <v>1881.30004882812</v>
      </c>
      <c r="E1329" s="2">
        <v>1881.30004882812</v>
      </c>
      <c r="F1329" s="2">
        <v>1884.90002441406</v>
      </c>
      <c r="G1329" s="2">
        <v>1863.59997558593</v>
      </c>
      <c r="H1329" s="2">
        <v>1866.40002441406</v>
      </c>
      <c r="I1329">
        <v>348</v>
      </c>
      <c r="J1329" s="2">
        <f ca="1">IFERROR((Tabla3[[#This Row],[Close]]-OFFSET(Tabla3[[#This Row],[Close]],-1,0))/OFFSET(Tabla3[[#This Row],[Close]],-1,0),"")</f>
        <v>7.2277543886295863E-3</v>
      </c>
      <c r="K1329" s="2">
        <f ca="1">IFERROR(AVERAGE(OFFSET(Tabla3[[#This Row],[Close]],-6,0,7)),"")</f>
        <v>1848.114310128344</v>
      </c>
      <c r="L1329" s="2">
        <f ca="1">IFERROR(_xlfn.STDEV.S(OFFSET(Tabla3[[#This Row],[Close]],-29,0,30)),"")</f>
        <v>39.97824565585266</v>
      </c>
    </row>
    <row r="1330" spans="1:12" x14ac:dyDescent="0.3">
      <c r="A1330" s="1">
        <v>44336</v>
      </c>
      <c r="B1330" s="3">
        <f>YEAR(Tabla3[[#This Row],[Date]])</f>
        <v>2021</v>
      </c>
      <c r="C1330" s="1" t="str">
        <f>+TEXT(Tabla3[[#This Row],[Date]],"mmm")</f>
        <v>may</v>
      </c>
      <c r="D1330" s="2">
        <v>1881.80004882812</v>
      </c>
      <c r="E1330" s="2">
        <v>1881.80004882812</v>
      </c>
      <c r="F1330" s="2">
        <v>1885</v>
      </c>
      <c r="G1330" s="2">
        <v>1864.80004882812</v>
      </c>
      <c r="H1330" s="2">
        <v>1865.5</v>
      </c>
      <c r="I1330">
        <v>85</v>
      </c>
      <c r="J1330" s="2">
        <f ca="1">IFERROR((Tabla3[[#This Row],[Close]]-OFFSET(Tabla3[[#This Row],[Close]],-1,0))/OFFSET(Tabla3[[#This Row],[Close]],-1,0),"")</f>
        <v>2.6577366024704824E-4</v>
      </c>
      <c r="K1330" s="2">
        <f ca="1">IFERROR(AVERAGE(OFFSET(Tabla3[[#This Row],[Close]],-6,0,7)),"")</f>
        <v>1854.6714564732099</v>
      </c>
      <c r="L1330" s="2">
        <f ca="1">IFERROR(_xlfn.STDEV.S(OFFSET(Tabla3[[#This Row],[Close]],-29,0,30)),"")</f>
        <v>42.502354425006459</v>
      </c>
    </row>
    <row r="1331" spans="1:12" x14ac:dyDescent="0.3">
      <c r="A1331" s="1">
        <v>44337</v>
      </c>
      <c r="B1331" s="3">
        <f>YEAR(Tabla3[[#This Row],[Date]])</f>
        <v>2021</v>
      </c>
      <c r="C1331" s="1" t="str">
        <f>+TEXT(Tabla3[[#This Row],[Date]],"mmm")</f>
        <v>may</v>
      </c>
      <c r="D1331" s="2">
        <v>1876.69995117187</v>
      </c>
      <c r="E1331" s="2">
        <v>1876.69995117187</v>
      </c>
      <c r="F1331" s="2">
        <v>1876.69995117187</v>
      </c>
      <c r="G1331" s="2">
        <v>1872.09997558593</v>
      </c>
      <c r="H1331" s="2">
        <v>1872.09997558593</v>
      </c>
      <c r="I1331">
        <v>5</v>
      </c>
      <c r="J1331" s="2">
        <f ca="1">IFERROR((Tabla3[[#This Row],[Close]]-OFFSET(Tabla3[[#This Row],[Close]],-1,0))/OFFSET(Tabla3[[#This Row],[Close]],-1,0),"")</f>
        <v>-2.7102229375677062E-3</v>
      </c>
      <c r="K1331" s="2">
        <f ca="1">IFERROR(AVERAGE(OFFSET(Tabla3[[#This Row],[Close]],-6,0,7)),"")</f>
        <v>1862.4000244140584</v>
      </c>
      <c r="L1331" s="2">
        <f ca="1">IFERROR(_xlfn.STDEV.S(OFFSET(Tabla3[[#This Row],[Close]],-29,0,30)),"")</f>
        <v>43.628530429425325</v>
      </c>
    </row>
    <row r="1332" spans="1:12" x14ac:dyDescent="0.3">
      <c r="A1332" s="1">
        <v>44340</v>
      </c>
      <c r="B1332" s="3">
        <f>YEAR(Tabla3[[#This Row],[Date]])</f>
        <v>2021</v>
      </c>
      <c r="C1332" s="1" t="str">
        <f>+TEXT(Tabla3[[#This Row],[Date]],"mmm")</f>
        <v>may</v>
      </c>
      <c r="D1332" s="2">
        <v>1884.59997558593</v>
      </c>
      <c r="E1332" s="2">
        <v>1884.59997558593</v>
      </c>
      <c r="F1332" s="2">
        <v>1884.59997558593</v>
      </c>
      <c r="G1332" s="2">
        <v>1882.09997558593</v>
      </c>
      <c r="H1332" s="2">
        <v>1882.09997558593</v>
      </c>
      <c r="I1332">
        <v>39</v>
      </c>
      <c r="J1332" s="2">
        <f ca="1">IFERROR((Tabla3[[#This Row],[Close]]-OFFSET(Tabla3[[#This Row],[Close]],-1,0))/OFFSET(Tabla3[[#This Row],[Close]],-1,0),"")</f>
        <v>4.2095298234152865E-3</v>
      </c>
      <c r="K1332" s="2">
        <f ca="1">IFERROR(AVERAGE(OFFSET(Tabla3[[#This Row],[Close]],-6,0,7)),"")</f>
        <v>1871.0857282366028</v>
      </c>
      <c r="L1332" s="2">
        <f ca="1">IFERROR(_xlfn.STDEV.S(OFFSET(Tabla3[[#This Row],[Close]],-29,0,30)),"")</f>
        <v>44.070441005754653</v>
      </c>
    </row>
    <row r="1333" spans="1:12" x14ac:dyDescent="0.3">
      <c r="A1333" s="1">
        <v>44341</v>
      </c>
      <c r="B1333" s="3">
        <f>YEAR(Tabla3[[#This Row],[Date]])</f>
        <v>2021</v>
      </c>
      <c r="C1333" s="1" t="str">
        <f>+TEXT(Tabla3[[#This Row],[Date]],"mmm")</f>
        <v>may</v>
      </c>
      <c r="D1333" s="2">
        <v>1898.09997558593</v>
      </c>
      <c r="E1333" s="2">
        <v>1898.09997558593</v>
      </c>
      <c r="F1333" s="2">
        <v>1898.09997558593</v>
      </c>
      <c r="G1333" s="2">
        <v>1882.5</v>
      </c>
      <c r="H1333" s="2">
        <v>1882.5</v>
      </c>
      <c r="I1333">
        <v>56</v>
      </c>
      <c r="J1333" s="2">
        <f ca="1">IFERROR((Tabla3[[#This Row],[Close]]-OFFSET(Tabla3[[#This Row],[Close]],-1,0))/OFFSET(Tabla3[[#This Row],[Close]],-1,0),"")</f>
        <v>7.1633238750323097E-3</v>
      </c>
      <c r="K1333" s="2">
        <f ca="1">IFERROR(AVERAGE(OFFSET(Tabla3[[#This Row],[Close]],-6,0,7)),"")</f>
        <v>1879.6857212611558</v>
      </c>
      <c r="L1333" s="2">
        <f ca="1">IFERROR(_xlfn.STDEV.S(OFFSET(Tabla3[[#This Row],[Close]],-29,0,30)),"")</f>
        <v>45.569247036710934</v>
      </c>
    </row>
    <row r="1334" spans="1:12" x14ac:dyDescent="0.3">
      <c r="A1334" s="1">
        <v>44342</v>
      </c>
      <c r="B1334" s="3">
        <f>YEAR(Tabla3[[#This Row],[Date]])</f>
        <v>2021</v>
      </c>
      <c r="C1334" s="1" t="str">
        <f>+TEXT(Tabla3[[#This Row],[Date]],"mmm")</f>
        <v>may</v>
      </c>
      <c r="D1334" s="2">
        <v>1901.30004882812</v>
      </c>
      <c r="E1334" s="2">
        <v>1901.30004882812</v>
      </c>
      <c r="F1334" s="2">
        <v>1901.30004882812</v>
      </c>
      <c r="G1334" s="2">
        <v>1901.30004882812</v>
      </c>
      <c r="H1334" s="2">
        <v>1901.30004882812</v>
      </c>
      <c r="I1334">
        <v>170526</v>
      </c>
      <c r="J1334" s="2">
        <f ca="1">IFERROR((Tabla3[[#This Row],[Close]]-OFFSET(Tabla3[[#This Row],[Close]],-1,0))/OFFSET(Tabla3[[#This Row],[Close]],-1,0),"")</f>
        <v>1.6859350315318144E-3</v>
      </c>
      <c r="K1334" s="2">
        <f ca="1">IFERROR(AVERAGE(OFFSET(Tabla3[[#This Row],[Close]],-6,0,7)),"")</f>
        <v>1884.5142996651728</v>
      </c>
      <c r="L1334" s="2">
        <f ca="1">IFERROR(_xlfn.STDEV.S(OFFSET(Tabla3[[#This Row],[Close]],-29,0,30)),"")</f>
        <v>46.004107029602544</v>
      </c>
    </row>
    <row r="1335" spans="1:12" x14ac:dyDescent="0.3">
      <c r="A1335" s="1">
        <v>44343</v>
      </c>
      <c r="B1335" s="3">
        <f>YEAR(Tabla3[[#This Row],[Date]])</f>
        <v>2021</v>
      </c>
      <c r="C1335" s="1" t="str">
        <f>+TEXT(Tabla3[[#This Row],[Date]],"mmm")</f>
        <v>may</v>
      </c>
      <c r="D1335" s="2">
        <v>1895.69995117187</v>
      </c>
      <c r="E1335" s="2">
        <v>1895.69995117187</v>
      </c>
      <c r="F1335" s="2">
        <v>1903.90002441406</v>
      </c>
      <c r="G1335" s="2">
        <v>1888.19995117187</v>
      </c>
      <c r="H1335" s="2">
        <v>1896.80004882812</v>
      </c>
      <c r="I1335">
        <v>35794</v>
      </c>
      <c r="J1335" s="2">
        <f ca="1">IFERROR((Tabla3[[#This Row],[Close]]-OFFSET(Tabla3[[#This Row],[Close]],-1,0))/OFFSET(Tabla3[[#This Row],[Close]],-1,0),"")</f>
        <v>-2.9454044666446313E-3</v>
      </c>
      <c r="K1335" s="2">
        <f ca="1">IFERROR(AVERAGE(OFFSET(Tabla3[[#This Row],[Close]],-6,0,7)),"")</f>
        <v>1888.4999999999943</v>
      </c>
      <c r="L1335" s="2">
        <f ca="1">IFERROR(_xlfn.STDEV.S(OFFSET(Tabla3[[#This Row],[Close]],-29,0,30)),"")</f>
        <v>47.06379993478803</v>
      </c>
    </row>
    <row r="1336" spans="1:12" x14ac:dyDescent="0.3">
      <c r="A1336" s="1">
        <v>44344</v>
      </c>
      <c r="B1336" s="3">
        <f>YEAR(Tabla3[[#This Row],[Date]])</f>
        <v>2021</v>
      </c>
      <c r="C1336" s="1" t="str">
        <f>+TEXT(Tabla3[[#This Row],[Date]],"mmm")</f>
        <v>may</v>
      </c>
      <c r="D1336" s="2">
        <v>1902.5</v>
      </c>
      <c r="E1336" s="2">
        <v>1902.5</v>
      </c>
      <c r="F1336" s="2">
        <v>1905.40002441406</v>
      </c>
      <c r="G1336" s="2">
        <v>1881.90002441406</v>
      </c>
      <c r="H1336" s="2">
        <v>1897.5</v>
      </c>
      <c r="I1336">
        <v>2415</v>
      </c>
      <c r="J1336" s="2">
        <f ca="1">IFERROR((Tabla3[[#This Row],[Close]]-OFFSET(Tabla3[[#This Row],[Close]],-1,0))/OFFSET(Tabla3[[#This Row],[Close]],-1,0),"")</f>
        <v>3.5870913136471822E-3</v>
      </c>
      <c r="K1336" s="2">
        <f ca="1">IFERROR(AVERAGE(OFFSET(Tabla3[[#This Row],[Close]],-6,0,7)),"")</f>
        <v>1891.52856445312</v>
      </c>
      <c r="L1336" s="2">
        <f ca="1">IFERROR(_xlfn.STDEV.S(OFFSET(Tabla3[[#This Row],[Close]],-29,0,30)),"")</f>
        <v>48.572892418365512</v>
      </c>
    </row>
    <row r="1337" spans="1:12" x14ac:dyDescent="0.3">
      <c r="A1337" s="1">
        <v>44348</v>
      </c>
      <c r="B1337" s="3">
        <f>YEAR(Tabla3[[#This Row],[Date]])</f>
        <v>2021</v>
      </c>
      <c r="C1337" s="1" t="str">
        <f>+TEXT(Tabla3[[#This Row],[Date]],"mmm")</f>
        <v>jun</v>
      </c>
      <c r="D1337" s="2">
        <v>1902.90002441406</v>
      </c>
      <c r="E1337" s="2">
        <v>1902.90002441406</v>
      </c>
      <c r="F1337" s="2">
        <v>1916.19995117187</v>
      </c>
      <c r="G1337" s="2">
        <v>1892.80004882812</v>
      </c>
      <c r="H1337" s="2">
        <v>1905.09997558593</v>
      </c>
      <c r="I1337">
        <v>640</v>
      </c>
      <c r="J1337" s="2">
        <f ca="1">IFERROR((Tabla3[[#This Row],[Close]]-OFFSET(Tabla3[[#This Row],[Close]],-1,0))/OFFSET(Tabla3[[#This Row],[Close]],-1,0),"")</f>
        <v>2.1026250410512425E-4</v>
      </c>
      <c r="K1337" s="2">
        <f ca="1">IFERROR(AVERAGE(OFFSET(Tabla3[[#This Row],[Close]],-6,0,7)),"")</f>
        <v>1894.5428466796827</v>
      </c>
      <c r="L1337" s="2">
        <f ca="1">IFERROR(_xlfn.STDEV.S(OFFSET(Tabla3[[#This Row],[Close]],-29,0,30)),"")</f>
        <v>49.331014471048604</v>
      </c>
    </row>
    <row r="1338" spans="1:12" x14ac:dyDescent="0.3">
      <c r="A1338" s="1">
        <v>44349</v>
      </c>
      <c r="B1338" s="3">
        <f>YEAR(Tabla3[[#This Row],[Date]])</f>
        <v>2021</v>
      </c>
      <c r="C1338" s="1" t="str">
        <f>+TEXT(Tabla3[[#This Row],[Date]],"mmm")</f>
        <v>jun</v>
      </c>
      <c r="D1338" s="2">
        <v>1907.5</v>
      </c>
      <c r="E1338" s="2">
        <v>1907.5</v>
      </c>
      <c r="F1338" s="2">
        <v>1908.80004882812</v>
      </c>
      <c r="G1338" s="2">
        <v>1896</v>
      </c>
      <c r="H1338" s="2">
        <v>1899.19995117187</v>
      </c>
      <c r="I1338">
        <v>1267</v>
      </c>
      <c r="J1338" s="2">
        <f ca="1">IFERROR((Tabla3[[#This Row],[Close]]-OFFSET(Tabla3[[#This Row],[Close]],-1,0))/OFFSET(Tabla3[[#This Row],[Close]],-1,0),"")</f>
        <v>2.4173501113682644E-3</v>
      </c>
      <c r="K1338" s="2">
        <f ca="1">IFERROR(AVERAGE(OFFSET(Tabla3[[#This Row],[Close]],-6,0,7)),"")</f>
        <v>1898.94285365513</v>
      </c>
      <c r="L1338" s="2">
        <f ca="1">IFERROR(_xlfn.STDEV.S(OFFSET(Tabla3[[#This Row],[Close]],-29,0,30)),"")</f>
        <v>50.225431462751537</v>
      </c>
    </row>
    <row r="1339" spans="1:12" x14ac:dyDescent="0.3">
      <c r="A1339" s="1">
        <v>44350</v>
      </c>
      <c r="B1339" s="3">
        <f>YEAR(Tabla3[[#This Row],[Date]])</f>
        <v>2021</v>
      </c>
      <c r="C1339" s="1" t="str">
        <f>+TEXT(Tabla3[[#This Row],[Date]],"mmm")</f>
        <v>jun</v>
      </c>
      <c r="D1339" s="2">
        <v>1871.19995117187</v>
      </c>
      <c r="E1339" s="2">
        <v>1871.19995117187</v>
      </c>
      <c r="F1339" s="2">
        <v>1908.80004882812</v>
      </c>
      <c r="G1339" s="2">
        <v>1865</v>
      </c>
      <c r="H1339" s="2">
        <v>1908.80004882812</v>
      </c>
      <c r="I1339">
        <v>1021</v>
      </c>
      <c r="J1339" s="2">
        <f ca="1">IFERROR((Tabla3[[#This Row],[Close]]-OFFSET(Tabla3[[#This Row],[Close]],-1,0))/OFFSET(Tabla3[[#This Row],[Close]],-1,0),"")</f>
        <v>-1.9030169765730014E-2</v>
      </c>
      <c r="K1339" s="2">
        <f ca="1">IFERROR(AVERAGE(OFFSET(Tabla3[[#This Row],[Close]],-6,0,7)),"")</f>
        <v>1897.0285644531214</v>
      </c>
      <c r="L1339" s="2">
        <f ca="1">IFERROR(_xlfn.STDEV.S(OFFSET(Tabla3[[#This Row],[Close]],-29,0,30)),"")</f>
        <v>49.996404205193784</v>
      </c>
    </row>
    <row r="1340" spans="1:12" x14ac:dyDescent="0.3">
      <c r="A1340" s="1">
        <v>44351</v>
      </c>
      <c r="B1340" s="3">
        <f>YEAR(Tabla3[[#This Row],[Date]])</f>
        <v>2021</v>
      </c>
      <c r="C1340" s="1" t="str">
        <f>+TEXT(Tabla3[[#This Row],[Date]],"mmm")</f>
        <v>jun</v>
      </c>
      <c r="D1340" s="2">
        <v>1889.80004882812</v>
      </c>
      <c r="E1340" s="2">
        <v>1889.80004882812</v>
      </c>
      <c r="F1340" s="2">
        <v>1895.5</v>
      </c>
      <c r="G1340" s="2">
        <v>1854</v>
      </c>
      <c r="H1340" s="2">
        <v>1869.30004882812</v>
      </c>
      <c r="I1340">
        <v>367</v>
      </c>
      <c r="J1340" s="2">
        <f ca="1">IFERROR((Tabla3[[#This Row],[Close]]-OFFSET(Tabla3[[#This Row],[Close]],-1,0))/OFFSET(Tabla3[[#This Row],[Close]],-1,0),"")</f>
        <v>9.9401978097537792E-3</v>
      </c>
      <c r="K1340" s="2">
        <f ca="1">IFERROR(AVERAGE(OFFSET(Tabla3[[#This Row],[Close]],-6,0,7)),"")</f>
        <v>1895.842860630577</v>
      </c>
      <c r="L1340" s="2">
        <f ca="1">IFERROR(_xlfn.STDEV.S(OFFSET(Tabla3[[#This Row],[Close]],-29,0,30)),"")</f>
        <v>49.72652782441088</v>
      </c>
    </row>
    <row r="1341" spans="1:12" x14ac:dyDescent="0.3">
      <c r="A1341" s="1">
        <v>44354</v>
      </c>
      <c r="B1341" s="3">
        <f>YEAR(Tabla3[[#This Row],[Date]])</f>
        <v>2021</v>
      </c>
      <c r="C1341" s="1" t="str">
        <f>+TEXT(Tabla3[[#This Row],[Date]],"mmm")</f>
        <v>jun</v>
      </c>
      <c r="D1341" s="2">
        <v>1896.80004882812</v>
      </c>
      <c r="E1341" s="2">
        <v>1896.80004882812</v>
      </c>
      <c r="F1341" s="2">
        <v>1899.69995117187</v>
      </c>
      <c r="G1341" s="2">
        <v>1883.19995117187</v>
      </c>
      <c r="H1341" s="2">
        <v>1890.5</v>
      </c>
      <c r="I1341">
        <v>87</v>
      </c>
      <c r="J1341" s="2">
        <f ca="1">IFERROR((Tabla3[[#This Row],[Close]]-OFFSET(Tabla3[[#This Row],[Close]],-1,0))/OFFSET(Tabla3[[#This Row],[Close]],-1,0),"")</f>
        <v>3.7040955757942518E-3</v>
      </c>
      <c r="K1341" s="2">
        <f ca="1">IFERROR(AVERAGE(OFFSET(Tabla3[[#This Row],[Close]],-6,0,7)),"")</f>
        <v>1895.2000034877199</v>
      </c>
      <c r="L1341" s="2">
        <f ca="1">IFERROR(_xlfn.STDEV.S(OFFSET(Tabla3[[#This Row],[Close]],-29,0,30)),"")</f>
        <v>49.225555391141825</v>
      </c>
    </row>
    <row r="1342" spans="1:12" x14ac:dyDescent="0.3">
      <c r="A1342" s="1">
        <v>44355</v>
      </c>
      <c r="B1342" s="3">
        <f>YEAR(Tabla3[[#This Row],[Date]])</f>
        <v>2021</v>
      </c>
      <c r="C1342" s="1" t="str">
        <f>+TEXT(Tabla3[[#This Row],[Date]],"mmm")</f>
        <v>jun</v>
      </c>
      <c r="D1342" s="2">
        <v>1892.19995117187</v>
      </c>
      <c r="E1342" s="2">
        <v>1892.19995117187</v>
      </c>
      <c r="F1342" s="2">
        <v>1902.90002441406</v>
      </c>
      <c r="G1342" s="2">
        <v>1890</v>
      </c>
      <c r="H1342" s="2">
        <v>1896.5</v>
      </c>
      <c r="I1342">
        <v>930</v>
      </c>
      <c r="J1342" s="2">
        <f ca="1">IFERROR((Tabla3[[#This Row],[Close]]-OFFSET(Tabla3[[#This Row],[Close]],-1,0))/OFFSET(Tabla3[[#This Row],[Close]],-1,0),"")</f>
        <v>-2.4251884952723561E-3</v>
      </c>
      <c r="K1342" s="2">
        <f ca="1">IFERROR(AVERAGE(OFFSET(Tabla3[[#This Row],[Close]],-6,0,7)),"")</f>
        <v>1894.7000034877199</v>
      </c>
      <c r="L1342" s="2">
        <f ca="1">IFERROR(_xlfn.STDEV.S(OFFSET(Tabla3[[#This Row],[Close]],-29,0,30)),"")</f>
        <v>48.340534738297791</v>
      </c>
    </row>
    <row r="1343" spans="1:12" x14ac:dyDescent="0.3">
      <c r="A1343" s="1">
        <v>44356</v>
      </c>
      <c r="B1343" s="3">
        <f>YEAR(Tabla3[[#This Row],[Date]])</f>
        <v>2021</v>
      </c>
      <c r="C1343" s="1" t="str">
        <f>+TEXT(Tabla3[[#This Row],[Date]],"mmm")</f>
        <v>jun</v>
      </c>
      <c r="D1343" s="2">
        <v>1893.19995117187</v>
      </c>
      <c r="E1343" s="2">
        <v>1893.19995117187</v>
      </c>
      <c r="F1343" s="2">
        <v>1897.69995117187</v>
      </c>
      <c r="G1343" s="2">
        <v>1889.19995117187</v>
      </c>
      <c r="H1343" s="2">
        <v>1894.90002441406</v>
      </c>
      <c r="I1343">
        <v>148</v>
      </c>
      <c r="J1343" s="2">
        <f ca="1">IFERROR((Tabla3[[#This Row],[Close]]-OFFSET(Tabla3[[#This Row],[Close]],-1,0))/OFFSET(Tabla3[[#This Row],[Close]],-1,0),"")</f>
        <v>5.2848537459304124E-4</v>
      </c>
      <c r="K1343" s="2">
        <f ca="1">IFERROR(AVERAGE(OFFSET(Tabla3[[#This Row],[Close]],-6,0,7)),"")</f>
        <v>1893.3714250837013</v>
      </c>
      <c r="L1343" s="2">
        <f ca="1">IFERROR(_xlfn.STDEV.S(OFFSET(Tabla3[[#This Row],[Close]],-29,0,30)),"")</f>
        <v>47.093174908338007</v>
      </c>
    </row>
    <row r="1344" spans="1:12" x14ac:dyDescent="0.3">
      <c r="A1344" s="1">
        <v>44357</v>
      </c>
      <c r="B1344" s="3">
        <f>YEAR(Tabla3[[#This Row],[Date]])</f>
        <v>2021</v>
      </c>
      <c r="C1344" s="1" t="str">
        <f>+TEXT(Tabla3[[#This Row],[Date]],"mmm")</f>
        <v>jun</v>
      </c>
      <c r="D1344" s="2">
        <v>1894.19995117187</v>
      </c>
      <c r="E1344" s="2">
        <v>1894.19995117187</v>
      </c>
      <c r="F1344" s="2">
        <v>1899.80004882812</v>
      </c>
      <c r="G1344" s="2">
        <v>1871.5</v>
      </c>
      <c r="H1344" s="2">
        <v>1887.69995117187</v>
      </c>
      <c r="I1344">
        <v>186</v>
      </c>
      <c r="J1344" s="2">
        <f ca="1">IFERROR((Tabla3[[#This Row],[Close]]-OFFSET(Tabla3[[#This Row],[Close]],-1,0))/OFFSET(Tabla3[[#This Row],[Close]],-1,0),"")</f>
        <v>5.2820622532818626E-4</v>
      </c>
      <c r="K1344" s="2">
        <f ca="1">IFERROR(AVERAGE(OFFSET(Tabla3[[#This Row],[Close]],-6,0,7)),"")</f>
        <v>1892.1285574776741</v>
      </c>
      <c r="L1344" s="2">
        <f ca="1">IFERROR(_xlfn.STDEV.S(OFFSET(Tabla3[[#This Row],[Close]],-29,0,30)),"")</f>
        <v>45.21092100340411</v>
      </c>
    </row>
    <row r="1345" spans="1:12" x14ac:dyDescent="0.3">
      <c r="A1345" s="1">
        <v>44358</v>
      </c>
      <c r="B1345" s="3">
        <f>YEAR(Tabla3[[#This Row],[Date]])</f>
        <v>2021</v>
      </c>
      <c r="C1345" s="1" t="str">
        <f>+TEXT(Tabla3[[#This Row],[Date]],"mmm")</f>
        <v>jun</v>
      </c>
      <c r="D1345" s="2">
        <v>1877.40002441406</v>
      </c>
      <c r="E1345" s="2">
        <v>1877.40002441406</v>
      </c>
      <c r="F1345" s="2">
        <v>1902.30004882812</v>
      </c>
      <c r="G1345" s="2">
        <v>1875.19995117187</v>
      </c>
      <c r="H1345" s="2">
        <v>1900.90002441406</v>
      </c>
      <c r="I1345">
        <v>349</v>
      </c>
      <c r="J1345" s="2">
        <f ca="1">IFERROR((Tabla3[[#This Row],[Close]]-OFFSET(Tabla3[[#This Row],[Close]],-1,0))/OFFSET(Tabla3[[#This Row],[Close]],-1,0),"")</f>
        <v>-8.8691411629572264E-3</v>
      </c>
      <c r="K1345" s="2">
        <f ca="1">IFERROR(AVERAGE(OFFSET(Tabla3[[#This Row],[Close]],-6,0,7)),"")</f>
        <v>1887.8285609653972</v>
      </c>
      <c r="L1345" s="2">
        <f ca="1">IFERROR(_xlfn.STDEV.S(OFFSET(Tabla3[[#This Row],[Close]],-29,0,30)),"")</f>
        <v>42.138035863991419</v>
      </c>
    </row>
    <row r="1346" spans="1:12" x14ac:dyDescent="0.3">
      <c r="A1346" s="1">
        <v>44361</v>
      </c>
      <c r="B1346" s="3">
        <f>YEAR(Tabla3[[#This Row],[Date]])</f>
        <v>2021</v>
      </c>
      <c r="C1346" s="1" t="str">
        <f>+TEXT(Tabla3[[#This Row],[Date]],"mmm")</f>
        <v>jun</v>
      </c>
      <c r="D1346" s="2">
        <v>1864</v>
      </c>
      <c r="E1346" s="2">
        <v>1864</v>
      </c>
      <c r="F1346" s="2">
        <v>1866.59997558593</v>
      </c>
      <c r="G1346" s="2">
        <v>1846.5</v>
      </c>
      <c r="H1346" s="2">
        <v>1866.19995117187</v>
      </c>
      <c r="I1346">
        <v>41</v>
      </c>
      <c r="J1346" s="2">
        <f ca="1">IFERROR((Tabla3[[#This Row],[Close]]-OFFSET(Tabla3[[#This Row],[Close]],-1,0))/OFFSET(Tabla3[[#This Row],[Close]],-1,0),"")</f>
        <v>-7.1375435388322059E-3</v>
      </c>
      <c r="K1346" s="2">
        <f ca="1">IFERROR(AVERAGE(OFFSET(Tabla3[[#This Row],[Close]],-6,0,7)),"")</f>
        <v>1886.7999965122729</v>
      </c>
      <c r="L1346" s="2">
        <f ca="1">IFERROR(_xlfn.STDEV.S(OFFSET(Tabla3[[#This Row],[Close]],-29,0,30)),"")</f>
        <v>38.31314622459805</v>
      </c>
    </row>
    <row r="1347" spans="1:12" x14ac:dyDescent="0.3">
      <c r="A1347" s="1">
        <v>44362</v>
      </c>
      <c r="B1347" s="3">
        <f>YEAR(Tabla3[[#This Row],[Date]])</f>
        <v>2021</v>
      </c>
      <c r="C1347" s="1" t="str">
        <f>+TEXT(Tabla3[[#This Row],[Date]],"mmm")</f>
        <v>jun</v>
      </c>
      <c r="D1347" s="2">
        <v>1854.5</v>
      </c>
      <c r="E1347" s="2">
        <v>1854.5</v>
      </c>
      <c r="F1347" s="2">
        <v>1867.19995117187</v>
      </c>
      <c r="G1347" s="2">
        <v>1854.40002441406</v>
      </c>
      <c r="H1347" s="2">
        <v>1866.40002441406</v>
      </c>
      <c r="I1347">
        <v>78</v>
      </c>
      <c r="J1347" s="2">
        <f ca="1">IFERROR((Tabla3[[#This Row],[Close]]-OFFSET(Tabla3[[#This Row],[Close]],-1,0))/OFFSET(Tabla3[[#This Row],[Close]],-1,0),"")</f>
        <v>-5.09656652360515E-3</v>
      </c>
      <c r="K1347" s="2">
        <f ca="1">IFERROR(AVERAGE(OFFSET(Tabla3[[#This Row],[Close]],-6,0,7)),"")</f>
        <v>1881.7571323939701</v>
      </c>
      <c r="L1347" s="2">
        <f ca="1">IFERROR(_xlfn.STDEV.S(OFFSET(Tabla3[[#This Row],[Close]],-29,0,30)),"")</f>
        <v>35.878670180099029</v>
      </c>
    </row>
    <row r="1348" spans="1:12" x14ac:dyDescent="0.3">
      <c r="A1348" s="1">
        <v>44363</v>
      </c>
      <c r="B1348" s="3">
        <f>YEAR(Tabla3[[#This Row],[Date]])</f>
        <v>2021</v>
      </c>
      <c r="C1348" s="1" t="str">
        <f>+TEXT(Tabla3[[#This Row],[Date]],"mmm")</f>
        <v>jun</v>
      </c>
      <c r="D1348" s="2">
        <v>1859.5</v>
      </c>
      <c r="E1348" s="2">
        <v>1859.5</v>
      </c>
      <c r="F1348" s="2">
        <v>1860.09997558593</v>
      </c>
      <c r="G1348" s="2">
        <v>1809.19995117187</v>
      </c>
      <c r="H1348" s="2">
        <v>1859.40002441406</v>
      </c>
      <c r="I1348">
        <v>117</v>
      </c>
      <c r="J1348" s="2">
        <f ca="1">IFERROR((Tabla3[[#This Row],[Close]]-OFFSET(Tabla3[[#This Row],[Close]],-1,0))/OFFSET(Tabla3[[#This Row],[Close]],-1,0),"")</f>
        <v>2.6961445133459154E-3</v>
      </c>
      <c r="K1348" s="2">
        <f ca="1">IFERROR(AVERAGE(OFFSET(Tabla3[[#This Row],[Close]],-6,0,7)),"")</f>
        <v>1876.4285539899527</v>
      </c>
      <c r="L1348" s="2">
        <f ca="1">IFERROR(_xlfn.STDEV.S(OFFSET(Tabla3[[#This Row],[Close]],-29,0,30)),"")</f>
        <v>31.669832195292308</v>
      </c>
    </row>
    <row r="1349" spans="1:12" x14ac:dyDescent="0.3">
      <c r="A1349" s="1">
        <v>44364</v>
      </c>
      <c r="B1349" s="3">
        <f>YEAR(Tabla3[[#This Row],[Date]])</f>
        <v>2021</v>
      </c>
      <c r="C1349" s="1" t="str">
        <f>+TEXT(Tabla3[[#This Row],[Date]],"mmm")</f>
        <v>jun</v>
      </c>
      <c r="D1349" s="2">
        <v>1773.80004882812</v>
      </c>
      <c r="E1349" s="2">
        <v>1773.80004882812</v>
      </c>
      <c r="F1349" s="2">
        <v>1823.30004882812</v>
      </c>
      <c r="G1349" s="2">
        <v>1769.59997558593</v>
      </c>
      <c r="H1349" s="2">
        <v>1811.80004882812</v>
      </c>
      <c r="I1349">
        <v>1135</v>
      </c>
      <c r="J1349" s="2">
        <f ca="1">IFERROR((Tabla3[[#This Row],[Close]]-OFFSET(Tabla3[[#This Row],[Close]],-1,0))/OFFSET(Tabla3[[#This Row],[Close]],-1,0),"")</f>
        <v>-4.6087631713837056E-2</v>
      </c>
      <c r="K1349" s="2">
        <f ca="1">IFERROR(AVERAGE(OFFSET(Tabla3[[#This Row],[Close]],-6,0,7)),"")</f>
        <v>1859.51428222656</v>
      </c>
      <c r="L1349" s="2">
        <f ca="1">IFERROR(_xlfn.STDEV.S(OFFSET(Tabla3[[#This Row],[Close]],-29,0,30)),"")</f>
        <v>32.654598659492905</v>
      </c>
    </row>
    <row r="1350" spans="1:12" x14ac:dyDescent="0.3">
      <c r="A1350" s="1">
        <v>44365</v>
      </c>
      <c r="B1350" s="3">
        <f>YEAR(Tabla3[[#This Row],[Date]])</f>
        <v>2021</v>
      </c>
      <c r="C1350" s="1" t="str">
        <f>+TEXT(Tabla3[[#This Row],[Date]],"mmm")</f>
        <v>jun</v>
      </c>
      <c r="D1350" s="2">
        <v>1767.90002441406</v>
      </c>
      <c r="E1350" s="2">
        <v>1767.90002441406</v>
      </c>
      <c r="F1350" s="2">
        <v>1792.40002441406</v>
      </c>
      <c r="G1350" s="2">
        <v>1767.90002441406</v>
      </c>
      <c r="H1350" s="2">
        <v>1775.69995117187</v>
      </c>
      <c r="I1350">
        <v>354</v>
      </c>
      <c r="J1350" s="2">
        <f ca="1">IFERROR((Tabla3[[#This Row],[Close]]-OFFSET(Tabla3[[#This Row],[Close]],-1,0))/OFFSET(Tabla3[[#This Row],[Close]],-1,0),"")</f>
        <v>-3.326206027538399E-3</v>
      </c>
      <c r="K1350" s="2">
        <f ca="1">IFERROR(AVERAGE(OFFSET(Tabla3[[#This Row],[Close]],-6,0,7)),"")</f>
        <v>1841.6142926897301</v>
      </c>
      <c r="L1350" s="2">
        <f ca="1">IFERROR(_xlfn.STDEV.S(OFFSET(Tabla3[[#This Row],[Close]],-29,0,30)),"")</f>
        <v>36.249684467933676</v>
      </c>
    </row>
    <row r="1351" spans="1:12" x14ac:dyDescent="0.3">
      <c r="A1351" s="1">
        <v>44368</v>
      </c>
      <c r="B1351" s="3">
        <f>YEAR(Tabla3[[#This Row],[Date]])</f>
        <v>2021</v>
      </c>
      <c r="C1351" s="1" t="str">
        <f>+TEXT(Tabla3[[#This Row],[Date]],"mmm")</f>
        <v>jun</v>
      </c>
      <c r="D1351" s="2">
        <v>1781.80004882812</v>
      </c>
      <c r="E1351" s="2">
        <v>1781.80004882812</v>
      </c>
      <c r="F1351" s="2">
        <v>1785.19995117187</v>
      </c>
      <c r="G1351" s="2">
        <v>1766.80004882812</v>
      </c>
      <c r="H1351" s="2">
        <v>1768.80004882812</v>
      </c>
      <c r="I1351">
        <v>38</v>
      </c>
      <c r="J1351" s="2">
        <f ca="1">IFERROR((Tabla3[[#This Row],[Close]]-OFFSET(Tabla3[[#This Row],[Close]],-1,0))/OFFSET(Tabla3[[#This Row],[Close]],-1,0),"")</f>
        <v>7.8624493591864294E-3</v>
      </c>
      <c r="K1351" s="2">
        <f ca="1">IFERROR(AVERAGE(OFFSET(Tabla3[[#This Row],[Close]],-6,0,7)),"")</f>
        <v>1825.5571637834801</v>
      </c>
      <c r="L1351" s="2">
        <f ca="1">IFERROR(_xlfn.STDEV.S(OFFSET(Tabla3[[#This Row],[Close]],-29,0,30)),"")</f>
        <v>38.922516645331491</v>
      </c>
    </row>
    <row r="1352" spans="1:12" x14ac:dyDescent="0.3">
      <c r="A1352" s="1">
        <v>44369</v>
      </c>
      <c r="B1352" s="3">
        <f>YEAR(Tabla3[[#This Row],[Date]])</f>
        <v>2021</v>
      </c>
      <c r="C1352" s="1" t="str">
        <f>+TEXT(Tabla3[[#This Row],[Date]],"mmm")</f>
        <v>jun</v>
      </c>
      <c r="D1352" s="2">
        <v>1776.30004882812</v>
      </c>
      <c r="E1352" s="2">
        <v>1776.30004882812</v>
      </c>
      <c r="F1352" s="2">
        <v>1786.90002441406</v>
      </c>
      <c r="G1352" s="2">
        <v>1775.90002441406</v>
      </c>
      <c r="H1352" s="2">
        <v>1783.40002441406</v>
      </c>
      <c r="I1352">
        <v>101</v>
      </c>
      <c r="J1352" s="2">
        <f ca="1">IFERROR((Tabla3[[#This Row],[Close]]-OFFSET(Tabla3[[#This Row],[Close]],-1,0))/OFFSET(Tabla3[[#This Row],[Close]],-1,0),"")</f>
        <v>-3.0867661069025783E-3</v>
      </c>
      <c r="K1352" s="2">
        <f ca="1">IFERROR(AVERAGE(OFFSET(Tabla3[[#This Row],[Close]],-6,0,7)),"")</f>
        <v>1811.1143101283456</v>
      </c>
      <c r="L1352" s="2">
        <f ca="1">IFERROR(_xlfn.STDEV.S(OFFSET(Tabla3[[#This Row],[Close]],-29,0,30)),"")</f>
        <v>41.889274044459</v>
      </c>
    </row>
    <row r="1353" spans="1:12" x14ac:dyDescent="0.3">
      <c r="A1353" s="1">
        <v>44370</v>
      </c>
      <c r="B1353" s="3">
        <f>YEAR(Tabla3[[#This Row],[Date]])</f>
        <v>2021</v>
      </c>
      <c r="C1353" s="1" t="str">
        <f>+TEXT(Tabla3[[#This Row],[Date]],"mmm")</f>
        <v>jun</v>
      </c>
      <c r="D1353" s="2">
        <v>1782.30004882812</v>
      </c>
      <c r="E1353" s="2">
        <v>1782.30004882812</v>
      </c>
      <c r="F1353" s="2">
        <v>1793.19995117187</v>
      </c>
      <c r="G1353" s="2">
        <v>1780.59997558593</v>
      </c>
      <c r="H1353" s="2">
        <v>1780.69995117187</v>
      </c>
      <c r="I1353">
        <v>136</v>
      </c>
      <c r="J1353" s="2">
        <f ca="1">IFERROR((Tabla3[[#This Row],[Close]]-OFFSET(Tabla3[[#This Row],[Close]],-1,0))/OFFSET(Tabla3[[#This Row],[Close]],-1,0),"")</f>
        <v>3.3778077098845912E-3</v>
      </c>
      <c r="K1353" s="2">
        <f ca="1">IFERROR(AVERAGE(OFFSET(Tabla3[[#This Row],[Close]],-6,0,7)),"")</f>
        <v>1799.4428885323628</v>
      </c>
      <c r="L1353" s="2">
        <f ca="1">IFERROR(_xlfn.STDEV.S(OFFSET(Tabla3[[#This Row],[Close]],-29,0,30)),"")</f>
        <v>44.152943252018844</v>
      </c>
    </row>
    <row r="1354" spans="1:12" x14ac:dyDescent="0.3">
      <c r="A1354" s="1">
        <v>44371</v>
      </c>
      <c r="B1354" s="3">
        <f>YEAR(Tabla3[[#This Row],[Date]])</f>
        <v>2021</v>
      </c>
      <c r="C1354" s="1" t="str">
        <f>+TEXT(Tabla3[[#This Row],[Date]],"mmm")</f>
        <v>jun</v>
      </c>
      <c r="D1354" s="2">
        <v>1775.59997558593</v>
      </c>
      <c r="E1354" s="2">
        <v>1775.59997558593</v>
      </c>
      <c r="F1354" s="2">
        <v>1786.40002441406</v>
      </c>
      <c r="G1354" s="2">
        <v>1775.59997558593</v>
      </c>
      <c r="H1354" s="2">
        <v>1778.90002441406</v>
      </c>
      <c r="I1354">
        <v>78</v>
      </c>
      <c r="J1354" s="2">
        <f ca="1">IFERROR((Tabla3[[#This Row],[Close]]-OFFSET(Tabla3[[#This Row],[Close]],-1,0))/OFFSET(Tabla3[[#This Row],[Close]],-1,0),"")</f>
        <v>-3.7592285578375907E-3</v>
      </c>
      <c r="K1354" s="2">
        <f ca="1">IFERROR(AVERAGE(OFFSET(Tabla3[[#This Row],[Close]],-6,0,7)),"")</f>
        <v>1788.1714564732099</v>
      </c>
      <c r="L1354" s="2">
        <f ca="1">IFERROR(_xlfn.STDEV.S(OFFSET(Tabla3[[#This Row],[Close]],-29,0,30)),"")</f>
        <v>46.338427490467758</v>
      </c>
    </row>
    <row r="1355" spans="1:12" x14ac:dyDescent="0.3">
      <c r="A1355" s="1">
        <v>44372</v>
      </c>
      <c r="B1355" s="3">
        <f>YEAR(Tabla3[[#This Row],[Date]])</f>
        <v>2021</v>
      </c>
      <c r="C1355" s="1" t="str">
        <f>+TEXT(Tabla3[[#This Row],[Date]],"mmm")</f>
        <v>jun</v>
      </c>
      <c r="D1355" s="2">
        <v>1776.59997558593</v>
      </c>
      <c r="E1355" s="2">
        <v>1776.59997558593</v>
      </c>
      <c r="F1355" s="2">
        <v>1788</v>
      </c>
      <c r="G1355" s="2">
        <v>1775.19995117187</v>
      </c>
      <c r="H1355" s="2">
        <v>1777.69995117187</v>
      </c>
      <c r="I1355">
        <v>35</v>
      </c>
      <c r="J1355" s="2">
        <f ca="1">IFERROR((Tabla3[[#This Row],[Close]]-OFFSET(Tabla3[[#This Row],[Close]],-1,0))/OFFSET(Tabla3[[#This Row],[Close]],-1,0),"")</f>
        <v>5.6318991538058011E-4</v>
      </c>
      <c r="K1355" s="2">
        <f ca="1">IFERROR(AVERAGE(OFFSET(Tabla3[[#This Row],[Close]],-6,0,7)),"")</f>
        <v>1776.3285958426284</v>
      </c>
      <c r="L1355" s="2">
        <f ca="1">IFERROR(_xlfn.STDEV.S(OFFSET(Tabla3[[#This Row],[Close]],-29,0,30)),"")</f>
        <v>48.344262861459185</v>
      </c>
    </row>
    <row r="1356" spans="1:12" x14ac:dyDescent="0.3">
      <c r="A1356" s="1">
        <v>44375</v>
      </c>
      <c r="B1356" s="3">
        <f>YEAR(Tabla3[[#This Row],[Date]])</f>
        <v>2021</v>
      </c>
      <c r="C1356" s="1" t="str">
        <f>+TEXT(Tabla3[[#This Row],[Date]],"mmm")</f>
        <v>jun</v>
      </c>
      <c r="D1356" s="2">
        <v>1779.59997558593</v>
      </c>
      <c r="E1356" s="2">
        <v>1779.59997558593</v>
      </c>
      <c r="F1356" s="2">
        <v>1779.59997558593</v>
      </c>
      <c r="G1356" s="2">
        <v>1779.59997558593</v>
      </c>
      <c r="H1356" s="2">
        <v>1779.59997558593</v>
      </c>
      <c r="I1356">
        <v>888</v>
      </c>
      <c r="J1356" s="2">
        <f ca="1">IFERROR((Tabla3[[#This Row],[Close]]-OFFSET(Tabla3[[#This Row],[Close]],-1,0))/OFFSET(Tabla3[[#This Row],[Close]],-1,0),"")</f>
        <v>1.6886187331003354E-3</v>
      </c>
      <c r="K1356" s="2">
        <f ca="1">IFERROR(AVERAGE(OFFSET(Tabla3[[#This Row],[Close]],-6,0,7)),"")</f>
        <v>1777.1571568080301</v>
      </c>
      <c r="L1356" s="2">
        <f ca="1">IFERROR(_xlfn.STDEV.S(OFFSET(Tabla3[[#This Row],[Close]],-29,0,30)),"")</f>
        <v>50.30210496454616</v>
      </c>
    </row>
    <row r="1357" spans="1:12" x14ac:dyDescent="0.3">
      <c r="A1357" s="1">
        <v>44376</v>
      </c>
      <c r="B1357" s="3">
        <f>YEAR(Tabla3[[#This Row],[Date]])</f>
        <v>2021</v>
      </c>
      <c r="C1357" s="1" t="str">
        <f>+TEXT(Tabla3[[#This Row],[Date]],"mmm")</f>
        <v>jun</v>
      </c>
      <c r="D1357" s="2">
        <v>1762.80004882812</v>
      </c>
      <c r="E1357" s="2">
        <v>1762.80004882812</v>
      </c>
      <c r="F1357" s="2">
        <v>1777.09997558593</v>
      </c>
      <c r="G1357" s="2">
        <v>1752.09997558593</v>
      </c>
      <c r="H1357" s="2">
        <v>1776.80004882812</v>
      </c>
      <c r="I1357">
        <v>419</v>
      </c>
      <c r="J1357" s="2">
        <f ca="1">IFERROR((Tabla3[[#This Row],[Close]]-OFFSET(Tabla3[[#This Row],[Close]],-1,0))/OFFSET(Tabla3[[#This Row],[Close]],-1,0),"")</f>
        <v>-9.4402826412034839E-3</v>
      </c>
      <c r="K1357" s="2">
        <f ca="1">IFERROR(AVERAGE(OFFSET(Tabla3[[#This Row],[Close]],-6,0,7)),"")</f>
        <v>1776.4285888671816</v>
      </c>
      <c r="L1357" s="2">
        <f ca="1">IFERROR(_xlfn.STDEV.S(OFFSET(Tabla3[[#This Row],[Close]],-29,0,30)),"")</f>
        <v>53.021870058987382</v>
      </c>
    </row>
    <row r="1358" spans="1:12" x14ac:dyDescent="0.3">
      <c r="A1358" s="1">
        <v>44377</v>
      </c>
      <c r="B1358" s="3">
        <f>YEAR(Tabla3[[#This Row],[Date]])</f>
        <v>2021</v>
      </c>
      <c r="C1358" s="1" t="str">
        <f>+TEXT(Tabla3[[#This Row],[Date]],"mmm")</f>
        <v>jun</v>
      </c>
      <c r="D1358" s="2">
        <v>1770.80004882812</v>
      </c>
      <c r="E1358" s="2">
        <v>1770.80004882812</v>
      </c>
      <c r="F1358" s="2">
        <v>1770.80004882812</v>
      </c>
      <c r="G1358" s="2">
        <v>1759.19995117187</v>
      </c>
      <c r="H1358" s="2">
        <v>1761.09997558593</v>
      </c>
      <c r="I1358">
        <v>51</v>
      </c>
      <c r="J1358" s="2">
        <f ca="1">IFERROR((Tabla3[[#This Row],[Close]]-OFFSET(Tabla3[[#This Row],[Close]],-1,0))/OFFSET(Tabla3[[#This Row],[Close]],-1,0),"")</f>
        <v>4.5382345010248131E-3</v>
      </c>
      <c r="K1358" s="2">
        <f ca="1">IFERROR(AVERAGE(OFFSET(Tabla3[[#This Row],[Close]],-6,0,7)),"")</f>
        <v>1774.8571602957527</v>
      </c>
      <c r="L1358" s="2">
        <f ca="1">IFERROR(_xlfn.STDEV.S(OFFSET(Tabla3[[#This Row],[Close]],-29,0,30)),"")</f>
        <v>54.967428460645792</v>
      </c>
    </row>
    <row r="1359" spans="1:12" x14ac:dyDescent="0.3">
      <c r="A1359" s="1">
        <v>44378</v>
      </c>
      <c r="B1359" s="3">
        <f>YEAR(Tabla3[[#This Row],[Date]])</f>
        <v>2021</v>
      </c>
      <c r="C1359" s="1" t="str">
        <f>+TEXT(Tabla3[[#This Row],[Date]],"mmm")</f>
        <v>jul</v>
      </c>
      <c r="D1359" s="2">
        <v>1775.90002441406</v>
      </c>
      <c r="E1359" s="2">
        <v>1775.90002441406</v>
      </c>
      <c r="F1359" s="2">
        <v>1781.19995117187</v>
      </c>
      <c r="G1359" s="2">
        <v>1768.80004882812</v>
      </c>
      <c r="H1359" s="2">
        <v>1775.69995117187</v>
      </c>
      <c r="I1359">
        <v>44</v>
      </c>
      <c r="J1359" s="2">
        <f ca="1">IFERROR((Tabla3[[#This Row],[Close]]-OFFSET(Tabla3[[#This Row],[Close]],-1,0))/OFFSET(Tabla3[[#This Row],[Close]],-1,0),"")</f>
        <v>2.880040346348004E-3</v>
      </c>
      <c r="K1359" s="2">
        <f ca="1">IFERROR(AVERAGE(OFFSET(Tabla3[[#This Row],[Close]],-6,0,7)),"")</f>
        <v>1774.8000139508872</v>
      </c>
      <c r="L1359" s="2">
        <f ca="1">IFERROR(_xlfn.STDEV.S(OFFSET(Tabla3[[#This Row],[Close]],-29,0,30)),"")</f>
        <v>56.192436815907584</v>
      </c>
    </row>
    <row r="1360" spans="1:12" x14ac:dyDescent="0.3">
      <c r="A1360" s="1">
        <v>44379</v>
      </c>
      <c r="B1360" s="3">
        <f>YEAR(Tabla3[[#This Row],[Date]])</f>
        <v>2021</v>
      </c>
      <c r="C1360" s="1" t="str">
        <f>+TEXT(Tabla3[[#This Row],[Date]],"mmm")</f>
        <v>jul</v>
      </c>
      <c r="D1360" s="2">
        <v>1782.59997558593</v>
      </c>
      <c r="E1360" s="2">
        <v>1782.59997558593</v>
      </c>
      <c r="F1360" s="2">
        <v>1787.90002441406</v>
      </c>
      <c r="G1360" s="2">
        <v>1778.30004882812</v>
      </c>
      <c r="H1360" s="2">
        <v>1778.69995117187</v>
      </c>
      <c r="I1360">
        <v>23</v>
      </c>
      <c r="J1360" s="2">
        <f ca="1">IFERROR((Tabla3[[#This Row],[Close]]-OFFSET(Tabla3[[#This Row],[Close]],-1,0))/OFFSET(Tabla3[[#This Row],[Close]],-1,0),"")</f>
        <v>3.7727074045626964E-3</v>
      </c>
      <c r="K1360" s="2">
        <f ca="1">IFERROR(AVERAGE(OFFSET(Tabla3[[#This Row],[Close]],-6,0,7)),"")</f>
        <v>1774.8428606305745</v>
      </c>
      <c r="L1360" s="2">
        <f ca="1">IFERROR(_xlfn.STDEV.S(OFFSET(Tabla3[[#This Row],[Close]],-29,0,30)),"")</f>
        <v>56.901614491593222</v>
      </c>
    </row>
    <row r="1361" spans="1:12" x14ac:dyDescent="0.3">
      <c r="A1361" s="1">
        <v>44383</v>
      </c>
      <c r="B1361" s="3">
        <f>YEAR(Tabla3[[#This Row],[Date]])</f>
        <v>2021</v>
      </c>
      <c r="C1361" s="1" t="str">
        <f>+TEXT(Tabla3[[#This Row],[Date]],"mmm")</f>
        <v>jul</v>
      </c>
      <c r="D1361" s="2">
        <v>1793.5</v>
      </c>
      <c r="E1361" s="2">
        <v>1793.5</v>
      </c>
      <c r="F1361" s="2">
        <v>1809.80004882812</v>
      </c>
      <c r="G1361" s="2">
        <v>1786.69995117187</v>
      </c>
      <c r="H1361" s="2">
        <v>1786.69995117187</v>
      </c>
      <c r="I1361">
        <v>332</v>
      </c>
      <c r="J1361" s="2">
        <f ca="1">IFERROR((Tabla3[[#This Row],[Close]]-OFFSET(Tabla3[[#This Row],[Close]],-1,0))/OFFSET(Tabla3[[#This Row],[Close]],-1,0),"")</f>
        <v>6.1146777534804072E-3</v>
      </c>
      <c r="K1361" s="2">
        <f ca="1">IFERROR(AVERAGE(OFFSET(Tabla3[[#This Row],[Close]],-6,0,7)),"")</f>
        <v>1777.4000069754416</v>
      </c>
      <c r="L1361" s="2">
        <f ca="1">IFERROR(_xlfn.STDEV.S(OFFSET(Tabla3[[#This Row],[Close]],-29,0,30)),"")</f>
        <v>57.192466667601046</v>
      </c>
    </row>
    <row r="1362" spans="1:12" x14ac:dyDescent="0.3">
      <c r="A1362" s="1">
        <v>44384</v>
      </c>
      <c r="B1362" s="3">
        <f>YEAR(Tabla3[[#This Row],[Date]])</f>
        <v>2021</v>
      </c>
      <c r="C1362" s="1" t="str">
        <f>+TEXT(Tabla3[[#This Row],[Date]],"mmm")</f>
        <v>jul</v>
      </c>
      <c r="D1362" s="2">
        <v>1801.5</v>
      </c>
      <c r="E1362" s="2">
        <v>1801.5</v>
      </c>
      <c r="F1362" s="2">
        <v>1808.40002441406</v>
      </c>
      <c r="G1362" s="2">
        <v>1797.19995117187</v>
      </c>
      <c r="H1362" s="2">
        <v>1798.69995117187</v>
      </c>
      <c r="I1362">
        <v>244</v>
      </c>
      <c r="J1362" s="2">
        <f ca="1">IFERROR((Tabla3[[#This Row],[Close]]-OFFSET(Tabla3[[#This Row],[Close]],-1,0))/OFFSET(Tabla3[[#This Row],[Close]],-1,0),"")</f>
        <v>4.460551993309172E-3</v>
      </c>
      <c r="K1362" s="2">
        <f ca="1">IFERROR(AVERAGE(OFFSET(Tabla3[[#This Row],[Close]],-6,0,7)),"")</f>
        <v>1780.9571533203084</v>
      </c>
      <c r="L1362" s="2">
        <f ca="1">IFERROR(_xlfn.STDEV.S(OFFSET(Tabla3[[#This Row],[Close]],-29,0,30)),"")</f>
        <v>56.944504506521078</v>
      </c>
    </row>
    <row r="1363" spans="1:12" x14ac:dyDescent="0.3">
      <c r="A1363" s="1">
        <v>44385</v>
      </c>
      <c r="B1363" s="3">
        <f>YEAR(Tabla3[[#This Row],[Date]])</f>
        <v>2021</v>
      </c>
      <c r="C1363" s="1" t="str">
        <f>+TEXT(Tabla3[[#This Row],[Date]],"mmm")</f>
        <v>jul</v>
      </c>
      <c r="D1363" s="2">
        <v>1799.59997558593</v>
      </c>
      <c r="E1363" s="2">
        <v>1799.59997558593</v>
      </c>
      <c r="F1363" s="2">
        <v>1818.5</v>
      </c>
      <c r="G1363" s="2">
        <v>1797</v>
      </c>
      <c r="H1363" s="2">
        <v>1797</v>
      </c>
      <c r="I1363">
        <v>148</v>
      </c>
      <c r="J1363" s="2">
        <f ca="1">IFERROR((Tabla3[[#This Row],[Close]]-OFFSET(Tabla3[[#This Row],[Close]],-1,0))/OFFSET(Tabla3[[#This Row],[Close]],-1,0),"")</f>
        <v>-1.0546902104190971E-3</v>
      </c>
      <c r="K1363" s="2">
        <f ca="1">IFERROR(AVERAGE(OFFSET(Tabla3[[#This Row],[Close]],-6,0,7)),"")</f>
        <v>1783.8142961774515</v>
      </c>
      <c r="L1363" s="2">
        <f ca="1">IFERROR(_xlfn.STDEV.S(OFFSET(Tabla3[[#This Row],[Close]],-29,0,30)),"")</f>
        <v>56.117463672841197</v>
      </c>
    </row>
    <row r="1364" spans="1:12" x14ac:dyDescent="0.3">
      <c r="A1364" s="1">
        <v>44386</v>
      </c>
      <c r="B1364" s="3">
        <f>YEAR(Tabla3[[#This Row],[Date]])</f>
        <v>2021</v>
      </c>
      <c r="C1364" s="1" t="str">
        <f>+TEXT(Tabla3[[#This Row],[Date]],"mmm")</f>
        <v>jul</v>
      </c>
      <c r="D1364" s="2">
        <v>1810</v>
      </c>
      <c r="E1364" s="2">
        <v>1810</v>
      </c>
      <c r="F1364" s="2">
        <v>1810.09997558593</v>
      </c>
      <c r="G1364" s="2">
        <v>1798.80004882812</v>
      </c>
      <c r="H1364" s="2">
        <v>1803.59997558593</v>
      </c>
      <c r="I1364">
        <v>218</v>
      </c>
      <c r="J1364" s="2">
        <f ca="1">IFERROR((Tabla3[[#This Row],[Close]]-OFFSET(Tabla3[[#This Row],[Close]],-1,0))/OFFSET(Tabla3[[#This Row],[Close]],-1,0),"")</f>
        <v>5.7790756585689934E-3</v>
      </c>
      <c r="K1364" s="2">
        <f ca="1">IFERROR(AVERAGE(OFFSET(Tabla3[[#This Row],[Close]],-6,0,7)),"")</f>
        <v>1790.557146344863</v>
      </c>
      <c r="L1364" s="2">
        <f ca="1">IFERROR(_xlfn.STDEV.S(OFFSET(Tabla3[[#This Row],[Close]],-29,0,30)),"")</f>
        <v>54.770090816320547</v>
      </c>
    </row>
    <row r="1365" spans="1:12" x14ac:dyDescent="0.3">
      <c r="A1365" s="1">
        <v>44389</v>
      </c>
      <c r="B1365" s="3">
        <f>YEAR(Tabla3[[#This Row],[Date]])</f>
        <v>2021</v>
      </c>
      <c r="C1365" s="1" t="str">
        <f>+TEXT(Tabla3[[#This Row],[Date]],"mmm")</f>
        <v>jul</v>
      </c>
      <c r="D1365" s="2">
        <v>1805.5</v>
      </c>
      <c r="E1365" s="2">
        <v>1805.5</v>
      </c>
      <c r="F1365" s="2">
        <v>1805.5</v>
      </c>
      <c r="G1365" s="2">
        <v>1799.5</v>
      </c>
      <c r="H1365" s="2">
        <v>1802.59997558593</v>
      </c>
      <c r="I1365">
        <v>147</v>
      </c>
      <c r="J1365" s="2">
        <f ca="1">IFERROR((Tabla3[[#This Row],[Close]]-OFFSET(Tabla3[[#This Row],[Close]],-1,0))/OFFSET(Tabla3[[#This Row],[Close]],-1,0),"")</f>
        <v>-2.4861878453038672E-3</v>
      </c>
      <c r="K1365" s="2">
        <f ca="1">IFERROR(AVERAGE(OFFSET(Tabla3[[#This Row],[Close]],-6,0,7)),"")</f>
        <v>1795.51428222656</v>
      </c>
      <c r="L1365" s="2">
        <f ca="1">IFERROR(_xlfn.STDEV.S(OFFSET(Tabla3[[#This Row],[Close]],-29,0,30)),"")</f>
        <v>53.523391168817803</v>
      </c>
    </row>
    <row r="1366" spans="1:12" x14ac:dyDescent="0.3">
      <c r="A1366" s="1">
        <v>44390</v>
      </c>
      <c r="B1366" s="3">
        <f>YEAR(Tabla3[[#This Row],[Date]])</f>
        <v>2021</v>
      </c>
      <c r="C1366" s="1" t="str">
        <f>+TEXT(Tabla3[[#This Row],[Date]],"mmm")</f>
        <v>jul</v>
      </c>
      <c r="D1366" s="2">
        <v>1809.40002441406</v>
      </c>
      <c r="E1366" s="2">
        <v>1809.40002441406</v>
      </c>
      <c r="F1366" s="2">
        <v>1812</v>
      </c>
      <c r="G1366" s="2">
        <v>1800.59997558593</v>
      </c>
      <c r="H1366" s="2">
        <v>1808.09997558593</v>
      </c>
      <c r="I1366">
        <v>78</v>
      </c>
      <c r="J1366" s="2">
        <f ca="1">IFERROR((Tabla3[[#This Row],[Close]]-OFFSET(Tabla3[[#This Row],[Close]],-1,0))/OFFSET(Tabla3[[#This Row],[Close]],-1,0),"")</f>
        <v>2.1600799856327881E-3</v>
      </c>
      <c r="K1366" s="2">
        <f ca="1">IFERROR(AVERAGE(OFFSET(Tabla3[[#This Row],[Close]],-6,0,7)),"")</f>
        <v>1800.2999965122744</v>
      </c>
      <c r="L1366" s="2">
        <f ca="1">IFERROR(_xlfn.STDEV.S(OFFSET(Tabla3[[#This Row],[Close]],-29,0,30)),"")</f>
        <v>51.685947310153217</v>
      </c>
    </row>
    <row r="1367" spans="1:12" x14ac:dyDescent="0.3">
      <c r="A1367" s="1">
        <v>44391</v>
      </c>
      <c r="B1367" s="3">
        <f>YEAR(Tabla3[[#This Row],[Date]])</f>
        <v>2021</v>
      </c>
      <c r="C1367" s="1" t="str">
        <f>+TEXT(Tabla3[[#This Row],[Date]],"mmm")</f>
        <v>jul</v>
      </c>
      <c r="D1367" s="2">
        <v>1824.30004882812</v>
      </c>
      <c r="E1367" s="2">
        <v>1824.30004882812</v>
      </c>
      <c r="F1367" s="2">
        <v>1829</v>
      </c>
      <c r="G1367" s="2">
        <v>1813.09997558593</v>
      </c>
      <c r="H1367" s="2">
        <v>1813.09997558593</v>
      </c>
      <c r="I1367">
        <v>707</v>
      </c>
      <c r="J1367" s="2">
        <f ca="1">IFERROR((Tabla3[[#This Row],[Close]]-OFFSET(Tabla3[[#This Row],[Close]],-1,0))/OFFSET(Tabla3[[#This Row],[Close]],-1,0),"")</f>
        <v>8.2347873400107248E-3</v>
      </c>
      <c r="K1367" s="2">
        <f ca="1">IFERROR(AVERAGE(OFFSET(Tabla3[[#This Row],[Close]],-6,0,7)),"")</f>
        <v>1806.2571498325872</v>
      </c>
      <c r="L1367" s="2">
        <f ca="1">IFERROR(_xlfn.STDEV.S(OFFSET(Tabla3[[#This Row],[Close]],-29,0,30)),"")</f>
        <v>49.51008627474782</v>
      </c>
    </row>
    <row r="1368" spans="1:12" x14ac:dyDescent="0.3">
      <c r="A1368" s="1">
        <v>44392</v>
      </c>
      <c r="B1368" s="3">
        <f>YEAR(Tabla3[[#This Row],[Date]])</f>
        <v>2021</v>
      </c>
      <c r="C1368" s="1" t="str">
        <f>+TEXT(Tabla3[[#This Row],[Date]],"mmm")</f>
        <v>jul</v>
      </c>
      <c r="D1368" s="2">
        <v>1828.40002441406</v>
      </c>
      <c r="E1368" s="2">
        <v>1828.40002441406</v>
      </c>
      <c r="F1368" s="2">
        <v>1833</v>
      </c>
      <c r="G1368" s="2">
        <v>1823.40002441406</v>
      </c>
      <c r="H1368" s="2">
        <v>1831.59997558593</v>
      </c>
      <c r="I1368">
        <v>99</v>
      </c>
      <c r="J1368" s="2">
        <f ca="1">IFERROR((Tabla3[[#This Row],[Close]]-OFFSET(Tabla3[[#This Row],[Close]],-1,0))/OFFSET(Tabla3[[#This Row],[Close]],-1,0),"")</f>
        <v>2.2474239303856358E-3</v>
      </c>
      <c r="K1368" s="2">
        <f ca="1">IFERROR(AVERAGE(OFFSET(Tabla3[[#This Row],[Close]],-6,0,7)),"")</f>
        <v>1811.2428676060244</v>
      </c>
      <c r="L1368" s="2">
        <f ca="1">IFERROR(_xlfn.STDEV.S(OFFSET(Tabla3[[#This Row],[Close]],-29,0,30)),"")</f>
        <v>46.814437769946871</v>
      </c>
    </row>
    <row r="1369" spans="1:12" x14ac:dyDescent="0.3">
      <c r="A1369" s="1">
        <v>44393</v>
      </c>
      <c r="B1369" s="3">
        <f>YEAR(Tabla3[[#This Row],[Date]])</f>
        <v>2021</v>
      </c>
      <c r="C1369" s="1" t="str">
        <f>+TEXT(Tabla3[[#This Row],[Date]],"mmm")</f>
        <v>jul</v>
      </c>
      <c r="D1369" s="2">
        <v>1814.5</v>
      </c>
      <c r="E1369" s="2">
        <v>1814.5</v>
      </c>
      <c r="F1369" s="2">
        <v>1831.40002441406</v>
      </c>
      <c r="G1369" s="2">
        <v>1814.5</v>
      </c>
      <c r="H1369" s="2">
        <v>1830.09997558593</v>
      </c>
      <c r="I1369">
        <v>78</v>
      </c>
      <c r="J1369" s="2">
        <f ca="1">IFERROR((Tabla3[[#This Row],[Close]]-OFFSET(Tabla3[[#This Row],[Close]],-1,0))/OFFSET(Tabla3[[#This Row],[Close]],-1,0),"")</f>
        <v>-7.6022884644811155E-3</v>
      </c>
      <c r="K1369" s="2">
        <f ca="1">IFERROR(AVERAGE(OFFSET(Tabla3[[#This Row],[Close]],-6,0,7)),"")</f>
        <v>1813.1000104631673</v>
      </c>
      <c r="L1369" s="2">
        <f ca="1">IFERROR(_xlfn.STDEV.S(OFFSET(Tabla3[[#This Row],[Close]],-29,0,30)),"")</f>
        <v>45.768604330913007</v>
      </c>
    </row>
    <row r="1370" spans="1:12" x14ac:dyDescent="0.3">
      <c r="A1370" s="1">
        <v>44396</v>
      </c>
      <c r="B1370" s="3">
        <f>YEAR(Tabla3[[#This Row],[Date]])</f>
        <v>2021</v>
      </c>
      <c r="C1370" s="1" t="str">
        <f>+TEXT(Tabla3[[#This Row],[Date]],"mmm")</f>
        <v>jul</v>
      </c>
      <c r="D1370" s="2">
        <v>1808.69995117187</v>
      </c>
      <c r="E1370" s="2">
        <v>1808.69995117187</v>
      </c>
      <c r="F1370" s="2">
        <v>1813.40002441406</v>
      </c>
      <c r="G1370" s="2">
        <v>1803.30004882812</v>
      </c>
      <c r="H1370" s="2">
        <v>1803.30004882812</v>
      </c>
      <c r="I1370">
        <v>33</v>
      </c>
      <c r="J1370" s="2">
        <f ca="1">IFERROR((Tabla3[[#This Row],[Close]]-OFFSET(Tabla3[[#This Row],[Close]],-1,0))/OFFSET(Tabla3[[#This Row],[Close]],-1,0),"")</f>
        <v>-3.19649976750069E-3</v>
      </c>
      <c r="K1370" s="2">
        <f ca="1">IFERROR(AVERAGE(OFFSET(Tabla3[[#This Row],[Close]],-6,0,7)),"")</f>
        <v>1814.4000069754443</v>
      </c>
      <c r="L1370" s="2">
        <f ca="1">IFERROR(_xlfn.STDEV.S(OFFSET(Tabla3[[#This Row],[Close]],-29,0,30)),"")</f>
        <v>43.67641289113957</v>
      </c>
    </row>
    <row r="1371" spans="1:12" x14ac:dyDescent="0.3">
      <c r="A1371" s="1">
        <v>44397</v>
      </c>
      <c r="B1371" s="3">
        <f>YEAR(Tabla3[[#This Row],[Date]])</f>
        <v>2021</v>
      </c>
      <c r="C1371" s="1" t="str">
        <f>+TEXT(Tabla3[[#This Row],[Date]],"mmm")</f>
        <v>jul</v>
      </c>
      <c r="D1371" s="2">
        <v>1810.90002441406</v>
      </c>
      <c r="E1371" s="2">
        <v>1810.90002441406</v>
      </c>
      <c r="F1371" s="2">
        <v>1824</v>
      </c>
      <c r="G1371" s="2">
        <v>1810.90002441406</v>
      </c>
      <c r="H1371" s="2">
        <v>1812.90002441406</v>
      </c>
      <c r="I1371">
        <v>128</v>
      </c>
      <c r="J1371" s="2">
        <f ca="1">IFERROR((Tabla3[[#This Row],[Close]]-OFFSET(Tabla3[[#This Row],[Close]],-1,0))/OFFSET(Tabla3[[#This Row],[Close]],-1,0),"")</f>
        <v>1.2163837571646738E-3</v>
      </c>
      <c r="K1371" s="2">
        <f ca="1">IFERROR(AVERAGE(OFFSET(Tabla3[[#This Row],[Close]],-6,0,7)),"")</f>
        <v>1814.5285818917384</v>
      </c>
      <c r="L1371" s="2">
        <f ca="1">IFERROR(_xlfn.STDEV.S(OFFSET(Tabla3[[#This Row],[Close]],-29,0,30)),"")</f>
        <v>40.812707908370577</v>
      </c>
    </row>
    <row r="1372" spans="1:12" x14ac:dyDescent="0.3">
      <c r="A1372" s="1">
        <v>44398</v>
      </c>
      <c r="B1372" s="3">
        <f>YEAR(Tabla3[[#This Row],[Date]])</f>
        <v>2021</v>
      </c>
      <c r="C1372" s="1" t="str">
        <f>+TEXT(Tabla3[[#This Row],[Date]],"mmm")</f>
        <v>jul</v>
      </c>
      <c r="D1372" s="2">
        <v>1802.90002441406</v>
      </c>
      <c r="E1372" s="2">
        <v>1802.90002441406</v>
      </c>
      <c r="F1372" s="2">
        <v>1807</v>
      </c>
      <c r="G1372" s="2">
        <v>1800</v>
      </c>
      <c r="H1372" s="2">
        <v>1807</v>
      </c>
      <c r="I1372">
        <v>135</v>
      </c>
      <c r="J1372" s="2">
        <f ca="1">IFERROR((Tabla3[[#This Row],[Close]]-OFFSET(Tabla3[[#This Row],[Close]],-1,0))/OFFSET(Tabla3[[#This Row],[Close]],-1,0),"")</f>
        <v>-4.4176928003457853E-3</v>
      </c>
      <c r="K1372" s="2">
        <f ca="1">IFERROR(AVERAGE(OFFSET(Tabla3[[#This Row],[Close]],-6,0,7)),"")</f>
        <v>1814.1571568080331</v>
      </c>
      <c r="L1372" s="2">
        <f ca="1">IFERROR(_xlfn.STDEV.S(OFFSET(Tabla3[[#This Row],[Close]],-29,0,30)),"")</f>
        <v>37.880935025643424</v>
      </c>
    </row>
    <row r="1373" spans="1:12" x14ac:dyDescent="0.3">
      <c r="A1373" s="1">
        <v>44399</v>
      </c>
      <c r="B1373" s="3">
        <f>YEAR(Tabla3[[#This Row],[Date]])</f>
        <v>2021</v>
      </c>
      <c r="C1373" s="1" t="str">
        <f>+TEXT(Tabla3[[#This Row],[Date]],"mmm")</f>
        <v>jul</v>
      </c>
      <c r="D1373" s="2">
        <v>1805</v>
      </c>
      <c r="E1373" s="2">
        <v>1805</v>
      </c>
      <c r="F1373" s="2">
        <v>1805</v>
      </c>
      <c r="G1373" s="2">
        <v>1793.59997558593</v>
      </c>
      <c r="H1373" s="2">
        <v>1793.59997558593</v>
      </c>
      <c r="I1373">
        <v>2</v>
      </c>
      <c r="J1373" s="2">
        <f ca="1">IFERROR((Tabla3[[#This Row],[Close]]-OFFSET(Tabla3[[#This Row],[Close]],-1,0))/OFFSET(Tabla3[[#This Row],[Close]],-1,0),"")</f>
        <v>1.1647765031355471E-3</v>
      </c>
      <c r="K1373" s="2">
        <f ca="1">IFERROR(AVERAGE(OFFSET(Tabla3[[#This Row],[Close]],-6,0,7)),"")</f>
        <v>1813.5285818917387</v>
      </c>
      <c r="L1373" s="2">
        <f ca="1">IFERROR(_xlfn.STDEV.S(OFFSET(Tabla3[[#This Row],[Close]],-29,0,30)),"")</f>
        <v>34.346356479186603</v>
      </c>
    </row>
    <row r="1374" spans="1:12" x14ac:dyDescent="0.3">
      <c r="A1374" s="1">
        <v>44400</v>
      </c>
      <c r="B1374" s="3">
        <f>YEAR(Tabla3[[#This Row],[Date]])</f>
        <v>2021</v>
      </c>
      <c r="C1374" s="1" t="str">
        <f>+TEXT(Tabla3[[#This Row],[Date]],"mmm")</f>
        <v>jul</v>
      </c>
      <c r="D1374" s="2">
        <v>1801.40002441406</v>
      </c>
      <c r="E1374" s="2">
        <v>1801.40002441406</v>
      </c>
      <c r="F1374" s="2">
        <v>1801.40002441406</v>
      </c>
      <c r="G1374" s="2">
        <v>1800</v>
      </c>
      <c r="H1374" s="2">
        <v>1800</v>
      </c>
      <c r="I1374">
        <v>1</v>
      </c>
      <c r="J1374" s="2">
        <f ca="1">IFERROR((Tabla3[[#This Row],[Close]]-OFFSET(Tabla3[[#This Row],[Close]],-1,0))/OFFSET(Tabla3[[#This Row],[Close]],-1,0),"")</f>
        <v>-1.9944463080000005E-3</v>
      </c>
      <c r="K1374" s="2">
        <f ca="1">IFERROR(AVERAGE(OFFSET(Tabla3[[#This Row],[Close]],-6,0,7)),"")</f>
        <v>1810.2571498325872</v>
      </c>
      <c r="L1374" s="2">
        <f ca="1">IFERROR(_xlfn.STDEV.S(OFFSET(Tabla3[[#This Row],[Close]],-29,0,30)),"")</f>
        <v>30.001298402494868</v>
      </c>
    </row>
    <row r="1375" spans="1:12" x14ac:dyDescent="0.3">
      <c r="A1375" s="1">
        <v>44403</v>
      </c>
      <c r="B1375" s="3">
        <f>YEAR(Tabla3[[#This Row],[Date]])</f>
        <v>2021</v>
      </c>
      <c r="C1375" s="1" t="str">
        <f>+TEXT(Tabla3[[#This Row],[Date]],"mmm")</f>
        <v>jul</v>
      </c>
      <c r="D1375" s="2">
        <v>1798.69995117187</v>
      </c>
      <c r="E1375" s="2">
        <v>1798.69995117187</v>
      </c>
      <c r="F1375" s="2">
        <v>1802.5</v>
      </c>
      <c r="G1375" s="2">
        <v>1797.19995117187</v>
      </c>
      <c r="H1375" s="2">
        <v>1802.5</v>
      </c>
      <c r="I1375">
        <v>17</v>
      </c>
      <c r="J1375" s="2">
        <f ca="1">IFERROR((Tabla3[[#This Row],[Close]]-OFFSET(Tabla3[[#This Row],[Close]],-1,0))/OFFSET(Tabla3[[#This Row],[Close]],-1,0),"")</f>
        <v>-1.4988748782038303E-3</v>
      </c>
      <c r="K1375" s="2">
        <f ca="1">IFERROR(AVERAGE(OFFSET(Tabla3[[#This Row],[Close]],-6,0,7)),"")</f>
        <v>1806.01428222656</v>
      </c>
      <c r="L1375" s="2">
        <f ca="1">IFERROR(_xlfn.STDEV.S(OFFSET(Tabla3[[#This Row],[Close]],-29,0,30)),"")</f>
        <v>26.464500965982495</v>
      </c>
    </row>
    <row r="1376" spans="1:12" x14ac:dyDescent="0.3">
      <c r="A1376" s="1">
        <v>44404</v>
      </c>
      <c r="B1376" s="3">
        <f>YEAR(Tabla3[[#This Row],[Date]])</f>
        <v>2021</v>
      </c>
      <c r="C1376" s="1" t="str">
        <f>+TEXT(Tabla3[[#This Row],[Date]],"mmm")</f>
        <v>jul</v>
      </c>
      <c r="D1376" s="2">
        <v>1799.5</v>
      </c>
      <c r="E1376" s="2">
        <v>1799.5</v>
      </c>
      <c r="F1376" s="2">
        <v>1803.69995117187</v>
      </c>
      <c r="G1376" s="2">
        <v>1799.5</v>
      </c>
      <c r="H1376" s="2">
        <v>1803.69995117187</v>
      </c>
      <c r="I1376">
        <v>1</v>
      </c>
      <c r="J1376" s="2">
        <f ca="1">IFERROR((Tabla3[[#This Row],[Close]]-OFFSET(Tabla3[[#This Row],[Close]],-1,0))/OFFSET(Tabla3[[#This Row],[Close]],-1,0),"")</f>
        <v>4.4479282250981488E-4</v>
      </c>
      <c r="K1376" s="2">
        <f ca="1">IFERROR(AVERAGE(OFFSET(Tabla3[[#This Row],[Close]],-6,0,7)),"")</f>
        <v>1803.8714250837027</v>
      </c>
      <c r="L1376" s="2">
        <f ca="1">IFERROR(_xlfn.STDEV.S(OFFSET(Tabla3[[#This Row],[Close]],-29,0,30)),"")</f>
        <v>23.539395291314015</v>
      </c>
    </row>
    <row r="1377" spans="1:12" x14ac:dyDescent="0.3">
      <c r="A1377" s="1">
        <v>44405</v>
      </c>
      <c r="B1377" s="3">
        <f>YEAR(Tabla3[[#This Row],[Date]])</f>
        <v>2021</v>
      </c>
      <c r="C1377" s="1" t="str">
        <f>+TEXT(Tabla3[[#This Row],[Date]],"mmm")</f>
        <v>jul</v>
      </c>
      <c r="D1377" s="2">
        <v>1799.5</v>
      </c>
      <c r="E1377" s="2">
        <v>1799.5</v>
      </c>
      <c r="F1377" s="2">
        <v>1799.5</v>
      </c>
      <c r="G1377" s="2">
        <v>1799.5</v>
      </c>
      <c r="H1377" s="2">
        <v>1799.5</v>
      </c>
      <c r="I1377">
        <v>209783</v>
      </c>
      <c r="J1377" s="2">
        <f ca="1">IFERROR((Tabla3[[#This Row],[Close]]-OFFSET(Tabla3[[#This Row],[Close]],-1,0))/OFFSET(Tabla3[[#This Row],[Close]],-1,0),"")</f>
        <v>0</v>
      </c>
      <c r="K1377" s="2">
        <f ca="1">IFERROR(AVERAGE(OFFSET(Tabla3[[#This Row],[Close]],-6,0,7)),"")</f>
        <v>1802.5571463448643</v>
      </c>
      <c r="L1377" s="2">
        <f ca="1">IFERROR(_xlfn.STDEV.S(OFFSET(Tabla3[[#This Row],[Close]],-29,0,30)),"")</f>
        <v>20.972416364895103</v>
      </c>
    </row>
    <row r="1378" spans="1:12" x14ac:dyDescent="0.3">
      <c r="A1378" s="1">
        <v>44406</v>
      </c>
      <c r="B1378" s="3">
        <f>YEAR(Tabla3[[#This Row],[Date]])</f>
        <v>2021</v>
      </c>
      <c r="C1378" s="1" t="str">
        <f>+TEXT(Tabla3[[#This Row],[Date]],"mmm")</f>
        <v>jul</v>
      </c>
      <c r="D1378" s="2">
        <v>1831.19995117187</v>
      </c>
      <c r="E1378" s="2">
        <v>1831.19995117187</v>
      </c>
      <c r="F1378" s="2">
        <v>1832.59997558593</v>
      </c>
      <c r="G1378" s="2">
        <v>1806.09997558593</v>
      </c>
      <c r="H1378" s="2">
        <v>1806.59997558593</v>
      </c>
      <c r="I1378">
        <v>30496</v>
      </c>
      <c r="J1378" s="2">
        <f ca="1">IFERROR((Tabla3[[#This Row],[Close]]-OFFSET(Tabla3[[#This Row],[Close]],-1,0))/OFFSET(Tabla3[[#This Row],[Close]],-1,0),"")</f>
        <v>1.7615977311403165E-2</v>
      </c>
      <c r="K1378" s="2">
        <f ca="1">IFERROR(AVERAGE(OFFSET(Tabla3[[#This Row],[Close]],-6,0,7)),"")</f>
        <v>1805.4571358816941</v>
      </c>
      <c r="L1378" s="2">
        <f ca="1">IFERROR(_xlfn.STDEV.S(OFFSET(Tabla3[[#This Row],[Close]],-29,0,30)),"")</f>
        <v>18.507455984164853</v>
      </c>
    </row>
    <row r="1379" spans="1:12" x14ac:dyDescent="0.3">
      <c r="A1379" s="1">
        <v>44407</v>
      </c>
      <c r="B1379" s="3">
        <f>YEAR(Tabla3[[#This Row],[Date]])</f>
        <v>2021</v>
      </c>
      <c r="C1379" s="1" t="str">
        <f>+TEXT(Tabla3[[#This Row],[Date]],"mmm")</f>
        <v>jul</v>
      </c>
      <c r="D1379" s="2">
        <v>1812.59997558593</v>
      </c>
      <c r="E1379" s="2">
        <v>1812.59997558593</v>
      </c>
      <c r="F1379" s="2">
        <v>1830.5</v>
      </c>
      <c r="G1379" s="2">
        <v>1808.90002441406</v>
      </c>
      <c r="H1379" s="2">
        <v>1828</v>
      </c>
      <c r="I1379">
        <v>3100</v>
      </c>
      <c r="J1379" s="2">
        <f ca="1">IFERROR((Tabla3[[#This Row],[Close]]-OFFSET(Tabla3[[#This Row],[Close]],-1,0))/OFFSET(Tabla3[[#This Row],[Close]],-1,0),"")</f>
        <v>-1.0157260857306715E-2</v>
      </c>
      <c r="K1379" s="2">
        <f ca="1">IFERROR(AVERAGE(OFFSET(Tabla3[[#This Row],[Close]],-6,0,7)),"")</f>
        <v>1806.8428431919615</v>
      </c>
      <c r="L1379" s="2">
        <f ca="1">IFERROR(_xlfn.STDEV.S(OFFSET(Tabla3[[#This Row],[Close]],-29,0,30)),"")</f>
        <v>18.328513670594727</v>
      </c>
    </row>
    <row r="1380" spans="1:12" x14ac:dyDescent="0.3">
      <c r="A1380" s="1">
        <v>44410</v>
      </c>
      <c r="B1380" s="3">
        <f>YEAR(Tabla3[[#This Row],[Date]])</f>
        <v>2021</v>
      </c>
      <c r="C1380" s="1" t="str">
        <f>+TEXT(Tabla3[[#This Row],[Date]],"mmm")</f>
        <v>ago</v>
      </c>
      <c r="D1380" s="2">
        <v>1818.09997558593</v>
      </c>
      <c r="E1380" s="2">
        <v>1818.09997558593</v>
      </c>
      <c r="F1380" s="2">
        <v>1818.69995117187</v>
      </c>
      <c r="G1380" s="2">
        <v>1804.80004882812</v>
      </c>
      <c r="H1380" s="2">
        <v>1812.40002441406</v>
      </c>
      <c r="I1380">
        <v>1334</v>
      </c>
      <c r="J1380" s="2">
        <f ca="1">IFERROR((Tabla3[[#This Row],[Close]]-OFFSET(Tabla3[[#This Row],[Close]],-1,0))/OFFSET(Tabla3[[#This Row],[Close]],-1,0),"")</f>
        <v>3.0343153889881872E-3</v>
      </c>
      <c r="K1380" s="2">
        <f ca="1">IFERROR(AVERAGE(OFFSET(Tabla3[[#This Row],[Close]],-6,0,7)),"")</f>
        <v>1808.7142682756657</v>
      </c>
      <c r="L1380" s="2">
        <f ca="1">IFERROR(_xlfn.STDEV.S(OFFSET(Tabla3[[#This Row],[Close]],-29,0,30)),"")</f>
        <v>17.932606181346515</v>
      </c>
    </row>
    <row r="1381" spans="1:12" x14ac:dyDescent="0.3">
      <c r="A1381" s="1">
        <v>44411</v>
      </c>
      <c r="B1381" s="3">
        <f>YEAR(Tabla3[[#This Row],[Date]])</f>
        <v>2021</v>
      </c>
      <c r="C1381" s="1" t="str">
        <f>+TEXT(Tabla3[[#This Row],[Date]],"mmm")</f>
        <v>ago</v>
      </c>
      <c r="D1381" s="2">
        <v>1810.09997558593</v>
      </c>
      <c r="E1381" s="2">
        <v>1810.09997558593</v>
      </c>
      <c r="F1381" s="2">
        <v>1813.5</v>
      </c>
      <c r="G1381" s="2">
        <v>1806</v>
      </c>
      <c r="H1381" s="2">
        <v>1812.30004882812</v>
      </c>
      <c r="I1381">
        <v>3341</v>
      </c>
      <c r="J1381" s="2">
        <f ca="1">IFERROR((Tabla3[[#This Row],[Close]]-OFFSET(Tabla3[[#This Row],[Close]],-1,0))/OFFSET(Tabla3[[#This Row],[Close]],-1,0),"")</f>
        <v>-4.400198067997769E-3</v>
      </c>
      <c r="K1381" s="2">
        <f ca="1">IFERROR(AVERAGE(OFFSET(Tabla3[[#This Row],[Close]],-6,0,7)),"")</f>
        <v>1809.9571184430756</v>
      </c>
      <c r="L1381" s="2">
        <f ca="1">IFERROR(_xlfn.STDEV.S(OFFSET(Tabla3[[#This Row],[Close]],-29,0,30)),"")</f>
        <v>17.79576709244547</v>
      </c>
    </row>
    <row r="1382" spans="1:12" x14ac:dyDescent="0.3">
      <c r="A1382" s="1">
        <v>44412</v>
      </c>
      <c r="B1382" s="3">
        <f>YEAR(Tabla3[[#This Row],[Date]])</f>
        <v>2021</v>
      </c>
      <c r="C1382" s="1" t="str">
        <f>+TEXT(Tabla3[[#This Row],[Date]],"mmm")</f>
        <v>ago</v>
      </c>
      <c r="D1382" s="2">
        <v>1810.5</v>
      </c>
      <c r="E1382" s="2">
        <v>1810.5</v>
      </c>
      <c r="F1382" s="2">
        <v>1831.30004882812</v>
      </c>
      <c r="G1382" s="2">
        <v>1806.30004882812</v>
      </c>
      <c r="H1382" s="2">
        <v>1809.30004882812</v>
      </c>
      <c r="I1382">
        <v>2860</v>
      </c>
      <c r="J1382" s="2">
        <f ca="1">IFERROR((Tabla3[[#This Row],[Close]]-OFFSET(Tabla3[[#This Row],[Close]],-1,0))/OFFSET(Tabla3[[#This Row],[Close]],-1,0),"")</f>
        <v>2.2099575684515177E-4</v>
      </c>
      <c r="K1382" s="2">
        <f ca="1">IFERROR(AVERAGE(OFFSET(Tabla3[[#This Row],[Close]],-6,0,7)),"")</f>
        <v>1811.6428397042371</v>
      </c>
      <c r="L1382" s="2">
        <f ca="1">IFERROR(_xlfn.STDEV.S(OFFSET(Tabla3[[#This Row],[Close]],-29,0,30)),"")</f>
        <v>17.387054910618993</v>
      </c>
    </row>
    <row r="1383" spans="1:12" x14ac:dyDescent="0.3">
      <c r="A1383" s="1">
        <v>44413</v>
      </c>
      <c r="B1383" s="3">
        <f>YEAR(Tabla3[[#This Row],[Date]])</f>
        <v>2021</v>
      </c>
      <c r="C1383" s="1" t="str">
        <f>+TEXT(Tabla3[[#This Row],[Date]],"mmm")</f>
        <v>ago</v>
      </c>
      <c r="D1383" s="2">
        <v>1805.09997558593</v>
      </c>
      <c r="E1383" s="2">
        <v>1805.09997558593</v>
      </c>
      <c r="F1383" s="2">
        <v>1813.69995117187</v>
      </c>
      <c r="G1383" s="2">
        <v>1796</v>
      </c>
      <c r="H1383" s="2">
        <v>1810.80004882812</v>
      </c>
      <c r="I1383">
        <v>588</v>
      </c>
      <c r="J1383" s="2">
        <f ca="1">IFERROR((Tabla3[[#This Row],[Close]]-OFFSET(Tabla3[[#This Row],[Close]],-1,0))/OFFSET(Tabla3[[#This Row],[Close]],-1,0),"")</f>
        <v>-2.9826149760121532E-3</v>
      </c>
      <c r="K1383" s="2">
        <f ca="1">IFERROR(AVERAGE(OFFSET(Tabla3[[#This Row],[Close]],-6,0,7)),"")</f>
        <v>1812.4428362165129</v>
      </c>
      <c r="L1383" s="2">
        <f ca="1">IFERROR(_xlfn.STDEV.S(OFFSET(Tabla3[[#This Row],[Close]],-29,0,30)),"")</f>
        <v>17.07926175024231</v>
      </c>
    </row>
    <row r="1384" spans="1:12" x14ac:dyDescent="0.3">
      <c r="A1384" s="1">
        <v>44414</v>
      </c>
      <c r="B1384" s="3">
        <f>YEAR(Tabla3[[#This Row],[Date]])</f>
        <v>2021</v>
      </c>
      <c r="C1384" s="1" t="str">
        <f>+TEXT(Tabla3[[#This Row],[Date]],"mmm")</f>
        <v>ago</v>
      </c>
      <c r="D1384" s="2">
        <v>1760</v>
      </c>
      <c r="E1384" s="2">
        <v>1760</v>
      </c>
      <c r="F1384" s="2">
        <v>1800.09997558593</v>
      </c>
      <c r="G1384" s="2">
        <v>1758.40002441406</v>
      </c>
      <c r="H1384" s="2">
        <v>1799.80004882812</v>
      </c>
      <c r="I1384">
        <v>859</v>
      </c>
      <c r="J1384" s="2">
        <f ca="1">IFERROR((Tabla3[[#This Row],[Close]]-OFFSET(Tabla3[[#This Row],[Close]],-1,0))/OFFSET(Tabla3[[#This Row],[Close]],-1,0),"")</f>
        <v>-2.498475219982798E-2</v>
      </c>
      <c r="K1384" s="2">
        <f ca="1">IFERROR(AVERAGE(OFFSET(Tabla3[[#This Row],[Close]],-6,0,7)),"")</f>
        <v>1806.7999790736558</v>
      </c>
      <c r="L1384" s="2">
        <f ca="1">IFERROR(_xlfn.STDEV.S(OFFSET(Tabla3[[#This Row],[Close]],-29,0,30)),"")</f>
        <v>18.081856970466994</v>
      </c>
    </row>
    <row r="1385" spans="1:12" x14ac:dyDescent="0.3">
      <c r="A1385" s="1">
        <v>44417</v>
      </c>
      <c r="B1385" s="3">
        <f>YEAR(Tabla3[[#This Row],[Date]])</f>
        <v>2021</v>
      </c>
      <c r="C1385" s="1" t="str">
        <f>+TEXT(Tabla3[[#This Row],[Date]],"mmm")</f>
        <v>ago</v>
      </c>
      <c r="D1385" s="2">
        <v>1723.40002441406</v>
      </c>
      <c r="E1385" s="2">
        <v>1723.40002441406</v>
      </c>
      <c r="F1385" s="2">
        <v>1753.80004882812</v>
      </c>
      <c r="G1385" s="2">
        <v>1692.59997558593</v>
      </c>
      <c r="H1385" s="2">
        <v>1753.5</v>
      </c>
      <c r="I1385">
        <v>1621</v>
      </c>
      <c r="J1385" s="2">
        <f ca="1">IFERROR((Tabla3[[#This Row],[Close]]-OFFSET(Tabla3[[#This Row],[Close]],-1,0))/OFFSET(Tabla3[[#This Row],[Close]],-1,0),"")</f>
        <v>-2.0795440673829546E-2</v>
      </c>
      <c r="K1385" s="2">
        <f ca="1">IFERROR(AVERAGE(OFFSET(Tabla3[[#This Row],[Close]],-6,0,7)),"")</f>
        <v>1791.3999895368256</v>
      </c>
      <c r="L1385" s="2">
        <f ca="1">IFERROR(_xlfn.STDEV.S(OFFSET(Tabla3[[#This Row],[Close]],-29,0,30)),"")</f>
        <v>22.544925326045202</v>
      </c>
    </row>
    <row r="1386" spans="1:12" x14ac:dyDescent="0.3">
      <c r="A1386" s="1">
        <v>44418</v>
      </c>
      <c r="B1386" s="3">
        <f>YEAR(Tabla3[[#This Row],[Date]])</f>
        <v>2021</v>
      </c>
      <c r="C1386" s="1" t="str">
        <f>+TEXT(Tabla3[[#This Row],[Date]],"mmm")</f>
        <v>ago</v>
      </c>
      <c r="D1386" s="2">
        <v>1728.80004882812</v>
      </c>
      <c r="E1386" s="2">
        <v>1728.80004882812</v>
      </c>
      <c r="F1386" s="2">
        <v>1735.19995117187</v>
      </c>
      <c r="G1386" s="2">
        <v>1720.09997558593</v>
      </c>
      <c r="H1386" s="2">
        <v>1728.59997558593</v>
      </c>
      <c r="I1386">
        <v>1363</v>
      </c>
      <c r="J1386" s="2">
        <f ca="1">IFERROR((Tabla3[[#This Row],[Close]]-OFFSET(Tabla3[[#This Row],[Close]],-1,0))/OFFSET(Tabla3[[#This Row],[Close]],-1,0),"")</f>
        <v>3.1333551918080985E-3</v>
      </c>
      <c r="K1386" s="2">
        <f ca="1">IFERROR(AVERAGE(OFFSET(Tabla3[[#This Row],[Close]],-6,0,7)),"")</f>
        <v>1779.4285714285672</v>
      </c>
      <c r="L1386" s="2">
        <f ca="1">IFERROR(_xlfn.STDEV.S(OFFSET(Tabla3[[#This Row],[Close]],-29,0,30)),"")</f>
        <v>25.702659145778846</v>
      </c>
    </row>
    <row r="1387" spans="1:12" x14ac:dyDescent="0.3">
      <c r="A1387" s="1">
        <v>44419</v>
      </c>
      <c r="B1387" s="3">
        <f>YEAR(Tabla3[[#This Row],[Date]])</f>
        <v>2021</v>
      </c>
      <c r="C1387" s="1" t="str">
        <f>+TEXT(Tabla3[[#This Row],[Date]],"mmm")</f>
        <v>ago</v>
      </c>
      <c r="D1387" s="2">
        <v>1750.40002441406</v>
      </c>
      <c r="E1387" s="2">
        <v>1750.40002441406</v>
      </c>
      <c r="F1387" s="2">
        <v>1752.19995117187</v>
      </c>
      <c r="G1387" s="2">
        <v>1727.30004882812</v>
      </c>
      <c r="H1387" s="2">
        <v>1727.30004882812</v>
      </c>
      <c r="I1387">
        <v>542</v>
      </c>
      <c r="J1387" s="2">
        <f ca="1">IFERROR((Tabla3[[#This Row],[Close]]-OFFSET(Tabla3[[#This Row],[Close]],-1,0))/OFFSET(Tabla3[[#This Row],[Close]],-1,0),"")</f>
        <v>1.249420116605255E-2</v>
      </c>
      <c r="K1387" s="2">
        <f ca="1">IFERROR(AVERAGE(OFFSET(Tabla3[[#This Row],[Close]],-6,0,7)),"")</f>
        <v>1769.7571498325858</v>
      </c>
      <c r="L1387" s="2">
        <f ca="1">IFERROR(_xlfn.STDEV.S(OFFSET(Tabla3[[#This Row],[Close]],-29,0,30)),"")</f>
        <v>26.360237618250725</v>
      </c>
    </row>
    <row r="1388" spans="1:12" x14ac:dyDescent="0.3">
      <c r="A1388" s="1">
        <v>44420</v>
      </c>
      <c r="B1388" s="3">
        <f>YEAR(Tabla3[[#This Row],[Date]])</f>
        <v>2021</v>
      </c>
      <c r="C1388" s="1" t="str">
        <f>+TEXT(Tabla3[[#This Row],[Date]],"mmm")</f>
        <v>ago</v>
      </c>
      <c r="D1388" s="2">
        <v>1749</v>
      </c>
      <c r="E1388" s="2">
        <v>1749</v>
      </c>
      <c r="F1388" s="2">
        <v>1752.40002441406</v>
      </c>
      <c r="G1388" s="2">
        <v>1745.5</v>
      </c>
      <c r="H1388" s="2">
        <v>1749.69995117187</v>
      </c>
      <c r="I1388">
        <v>739</v>
      </c>
      <c r="J1388" s="2">
        <f ca="1">IFERROR((Tabla3[[#This Row],[Close]]-OFFSET(Tabla3[[#This Row],[Close]],-1,0))/OFFSET(Tabla3[[#This Row],[Close]],-1,0),"")</f>
        <v>-7.9983112119108427E-4</v>
      </c>
      <c r="K1388" s="2">
        <f ca="1">IFERROR(AVERAGE(OFFSET(Tabla3[[#This Row],[Close]],-6,0,7)),"")</f>
        <v>1761.0285818917387</v>
      </c>
      <c r="L1388" s="2">
        <f ca="1">IFERROR(_xlfn.STDEV.S(OFFSET(Tabla3[[#This Row],[Close]],-29,0,30)),"")</f>
        <v>27.372101028906581</v>
      </c>
    </row>
    <row r="1389" spans="1:12" x14ac:dyDescent="0.3">
      <c r="A1389" s="1">
        <v>44421</v>
      </c>
      <c r="B1389" s="3">
        <f>YEAR(Tabla3[[#This Row],[Date]])</f>
        <v>2021</v>
      </c>
      <c r="C1389" s="1" t="str">
        <f>+TEXT(Tabla3[[#This Row],[Date]],"mmm")</f>
        <v>ago</v>
      </c>
      <c r="D1389" s="2">
        <v>1775.19995117187</v>
      </c>
      <c r="E1389" s="2">
        <v>1775.19995117187</v>
      </c>
      <c r="F1389" s="2">
        <v>1777.30004882812</v>
      </c>
      <c r="G1389" s="2">
        <v>1757.40002441406</v>
      </c>
      <c r="H1389" s="2">
        <v>1758.30004882812</v>
      </c>
      <c r="I1389">
        <v>436</v>
      </c>
      <c r="J1389" s="2">
        <f ca="1">IFERROR((Tabla3[[#This Row],[Close]]-OFFSET(Tabla3[[#This Row],[Close]],-1,0))/OFFSET(Tabla3[[#This Row],[Close]],-1,0),"")</f>
        <v>1.4979960647152657E-2</v>
      </c>
      <c r="K1389" s="2">
        <f ca="1">IFERROR(AVERAGE(OFFSET(Tabla3[[#This Row],[Close]],-6,0,7)),"")</f>
        <v>1755.9857177734343</v>
      </c>
      <c r="L1389" s="2">
        <f ca="1">IFERROR(_xlfn.STDEV.S(OFFSET(Tabla3[[#This Row],[Close]],-29,0,30)),"")</f>
        <v>27.389856012616331</v>
      </c>
    </row>
    <row r="1390" spans="1:12" x14ac:dyDescent="0.3">
      <c r="A1390" s="1">
        <v>44424</v>
      </c>
      <c r="B1390" s="3">
        <f>YEAR(Tabla3[[#This Row],[Date]])</f>
        <v>2021</v>
      </c>
      <c r="C1390" s="1" t="str">
        <f>+TEXT(Tabla3[[#This Row],[Date]],"mmm")</f>
        <v>ago</v>
      </c>
      <c r="D1390" s="2">
        <v>1786.90002441406</v>
      </c>
      <c r="E1390" s="2">
        <v>1786.90002441406</v>
      </c>
      <c r="F1390" s="2">
        <v>1787.80004882812</v>
      </c>
      <c r="G1390" s="2">
        <v>1771.90002441406</v>
      </c>
      <c r="H1390" s="2">
        <v>1776.90002441406</v>
      </c>
      <c r="I1390">
        <v>219</v>
      </c>
      <c r="J1390" s="2">
        <f ca="1">IFERROR((Tabla3[[#This Row],[Close]]-OFFSET(Tabla3[[#This Row],[Close]],-1,0))/OFFSET(Tabla3[[#This Row],[Close]],-1,0),"")</f>
        <v>6.5908481095137391E-3</v>
      </c>
      <c r="K1390" s="2">
        <f ca="1">IFERROR(AVERAGE(OFFSET(Tabla3[[#This Row],[Close]],-6,0,7)),"")</f>
        <v>1753.3857247488813</v>
      </c>
      <c r="L1390" s="2">
        <f ca="1">IFERROR(_xlfn.STDEV.S(OFFSET(Tabla3[[#This Row],[Close]],-29,0,30)),"")</f>
        <v>27.330250659762854</v>
      </c>
    </row>
    <row r="1391" spans="1:12" x14ac:dyDescent="0.3">
      <c r="A1391" s="1">
        <v>44425</v>
      </c>
      <c r="B1391" s="3">
        <f>YEAR(Tabla3[[#This Row],[Date]])</f>
        <v>2021</v>
      </c>
      <c r="C1391" s="1" t="str">
        <f>+TEXT(Tabla3[[#This Row],[Date]],"mmm")</f>
        <v>ago</v>
      </c>
      <c r="D1391" s="2">
        <v>1785</v>
      </c>
      <c r="E1391" s="2">
        <v>1785</v>
      </c>
      <c r="F1391" s="2">
        <v>1794.19995117187</v>
      </c>
      <c r="G1391" s="2">
        <v>1780</v>
      </c>
      <c r="H1391" s="2">
        <v>1787.69995117187</v>
      </c>
      <c r="I1391">
        <v>200</v>
      </c>
      <c r="J1391" s="2">
        <f ca="1">IFERROR((Tabla3[[#This Row],[Close]]-OFFSET(Tabla3[[#This Row],[Close]],-1,0))/OFFSET(Tabla3[[#This Row],[Close]],-1,0),"")</f>
        <v>-1.0633076210757977E-3</v>
      </c>
      <c r="K1391" s="2">
        <f ca="1">IFERROR(AVERAGE(OFFSET(Tabla3[[#This Row],[Close]],-6,0,7)),"")</f>
        <v>1756.9571533203102</v>
      </c>
      <c r="L1391" s="2">
        <f ca="1">IFERROR(_xlfn.STDEV.S(OFFSET(Tabla3[[#This Row],[Close]],-29,0,30)),"")</f>
        <v>27.399104620073683</v>
      </c>
    </row>
    <row r="1392" spans="1:12" x14ac:dyDescent="0.3">
      <c r="A1392" s="1">
        <v>44426</v>
      </c>
      <c r="B1392" s="3">
        <f>YEAR(Tabla3[[#This Row],[Date]])</f>
        <v>2021</v>
      </c>
      <c r="C1392" s="1" t="str">
        <f>+TEXT(Tabla3[[#This Row],[Date]],"mmm")</f>
        <v>ago</v>
      </c>
      <c r="D1392" s="2">
        <v>1781.59997558593</v>
      </c>
      <c r="E1392" s="2">
        <v>1781.59997558593</v>
      </c>
      <c r="F1392" s="2">
        <v>1791.5</v>
      </c>
      <c r="G1392" s="2">
        <v>1779</v>
      </c>
      <c r="H1392" s="2">
        <v>1787.80004882812</v>
      </c>
      <c r="I1392">
        <v>263</v>
      </c>
      <c r="J1392" s="2">
        <f ca="1">IFERROR((Tabla3[[#This Row],[Close]]-OFFSET(Tabla3[[#This Row],[Close]],-1,0))/OFFSET(Tabla3[[#This Row],[Close]],-1,0),"")</f>
        <v>-1.9047755821120468E-3</v>
      </c>
      <c r="K1392" s="2">
        <f ca="1">IFERROR(AVERAGE(OFFSET(Tabla3[[#This Row],[Close]],-6,0,7)),"")</f>
        <v>1765.2714320591488</v>
      </c>
      <c r="L1392" s="2">
        <f ca="1">IFERROR(_xlfn.STDEV.S(OFFSET(Tabla3[[#This Row],[Close]],-29,0,30)),"")</f>
        <v>27.490491585771498</v>
      </c>
    </row>
    <row r="1393" spans="1:12" x14ac:dyDescent="0.3">
      <c r="A1393" s="1">
        <v>44427</v>
      </c>
      <c r="B1393" s="3">
        <f>YEAR(Tabla3[[#This Row],[Date]])</f>
        <v>2021</v>
      </c>
      <c r="C1393" s="1" t="str">
        <f>+TEXT(Tabla3[[#This Row],[Date]],"mmm")</f>
        <v>ago</v>
      </c>
      <c r="D1393" s="2">
        <v>1780.19995117187</v>
      </c>
      <c r="E1393" s="2">
        <v>1780.19995117187</v>
      </c>
      <c r="F1393" s="2">
        <v>1789.30004882812</v>
      </c>
      <c r="G1393" s="2">
        <v>1775.5</v>
      </c>
      <c r="H1393" s="2">
        <v>1780</v>
      </c>
      <c r="I1393">
        <v>245</v>
      </c>
      <c r="J1393" s="2">
        <f ca="1">IFERROR((Tabla3[[#This Row],[Close]]-OFFSET(Tabla3[[#This Row],[Close]],-1,0))/OFFSET(Tabla3[[#This Row],[Close]],-1,0),"")</f>
        <v>-7.8582422162391471E-4</v>
      </c>
      <c r="K1393" s="2">
        <f ca="1">IFERROR(AVERAGE(OFFSET(Tabla3[[#This Row],[Close]],-6,0,7)),"")</f>
        <v>1772.6142752511128</v>
      </c>
      <c r="L1393" s="2">
        <f ca="1">IFERROR(_xlfn.STDEV.S(OFFSET(Tabla3[[#This Row],[Close]],-29,0,30)),"")</f>
        <v>27.603415749533376</v>
      </c>
    </row>
    <row r="1394" spans="1:12" x14ac:dyDescent="0.3">
      <c r="A1394" s="1">
        <v>44428</v>
      </c>
      <c r="B1394" s="3">
        <f>YEAR(Tabla3[[#This Row],[Date]])</f>
        <v>2021</v>
      </c>
      <c r="C1394" s="1" t="str">
        <f>+TEXT(Tabla3[[#This Row],[Date]],"mmm")</f>
        <v>ago</v>
      </c>
      <c r="D1394" s="2">
        <v>1781</v>
      </c>
      <c r="E1394" s="2">
        <v>1781</v>
      </c>
      <c r="F1394" s="2">
        <v>1787.5</v>
      </c>
      <c r="G1394" s="2">
        <v>1778.19995117187</v>
      </c>
      <c r="H1394" s="2">
        <v>1784.09997558593</v>
      </c>
      <c r="I1394">
        <v>235</v>
      </c>
      <c r="J1394" s="2">
        <f ca="1">IFERROR((Tabla3[[#This Row],[Close]]-OFFSET(Tabla3[[#This Row],[Close]],-1,0))/OFFSET(Tabla3[[#This Row],[Close]],-1,0),"")</f>
        <v>4.494151500247745E-4</v>
      </c>
      <c r="K1394" s="2">
        <f ca="1">IFERROR(AVERAGE(OFFSET(Tabla3[[#This Row],[Close]],-6,0,7)),"")</f>
        <v>1776.9857003348186</v>
      </c>
      <c r="L1394" s="2">
        <f ca="1">IFERROR(_xlfn.STDEV.S(OFFSET(Tabla3[[#This Row],[Close]],-29,0,30)),"")</f>
        <v>27.53970266407093</v>
      </c>
    </row>
    <row r="1395" spans="1:12" x14ac:dyDescent="0.3">
      <c r="A1395" s="1">
        <v>44431</v>
      </c>
      <c r="B1395" s="3">
        <f>YEAR(Tabla3[[#This Row],[Date]])</f>
        <v>2021</v>
      </c>
      <c r="C1395" s="1" t="str">
        <f>+TEXT(Tabla3[[#This Row],[Date]],"mmm")</f>
        <v>ago</v>
      </c>
      <c r="D1395" s="2">
        <v>1803.19995117187</v>
      </c>
      <c r="E1395" s="2">
        <v>1803.19995117187</v>
      </c>
      <c r="F1395" s="2">
        <v>1804.80004882812</v>
      </c>
      <c r="G1395" s="2">
        <v>1776.80004882812</v>
      </c>
      <c r="H1395" s="2">
        <v>1776.80004882812</v>
      </c>
      <c r="I1395">
        <v>32</v>
      </c>
      <c r="J1395" s="2">
        <f ca="1">IFERROR((Tabla3[[#This Row],[Close]]-OFFSET(Tabla3[[#This Row],[Close]],-1,0))/OFFSET(Tabla3[[#This Row],[Close]],-1,0),"")</f>
        <v>1.2464879939286915E-2</v>
      </c>
      <c r="K1395" s="2">
        <f ca="1">IFERROR(AVERAGE(OFFSET(Tabla3[[#This Row],[Close]],-6,0,7)),"")</f>
        <v>1784.7285505022285</v>
      </c>
      <c r="L1395" s="2">
        <f ca="1">IFERROR(_xlfn.STDEV.S(OFFSET(Tabla3[[#This Row],[Close]],-29,0,30)),"")</f>
        <v>27.50763539091475</v>
      </c>
    </row>
    <row r="1396" spans="1:12" x14ac:dyDescent="0.3">
      <c r="A1396" s="1">
        <v>44432</v>
      </c>
      <c r="B1396" s="3">
        <f>YEAR(Tabla3[[#This Row],[Date]])</f>
        <v>2021</v>
      </c>
      <c r="C1396" s="1" t="str">
        <f>+TEXT(Tabla3[[#This Row],[Date]],"mmm")</f>
        <v>ago</v>
      </c>
      <c r="D1396" s="2">
        <v>1805.59997558593</v>
      </c>
      <c r="E1396" s="2">
        <v>1805.59997558593</v>
      </c>
      <c r="F1396" s="2">
        <v>1805.59997558593</v>
      </c>
      <c r="G1396" s="2">
        <v>1801</v>
      </c>
      <c r="H1396" s="2">
        <v>1801</v>
      </c>
      <c r="I1396">
        <v>22</v>
      </c>
      <c r="J1396" s="2">
        <f ca="1">IFERROR((Tabla3[[#This Row],[Close]]-OFFSET(Tabla3[[#This Row],[Close]],-1,0))/OFFSET(Tabla3[[#This Row],[Close]],-1,0),"")</f>
        <v>1.3309807448143854E-3</v>
      </c>
      <c r="K1396" s="2">
        <f ca="1">IFERROR(AVERAGE(OFFSET(Tabla3[[#This Row],[Close]],-6,0,7)),"")</f>
        <v>1789.0714111328086</v>
      </c>
      <c r="L1396" s="2">
        <f ca="1">IFERROR(_xlfn.STDEV.S(OFFSET(Tabla3[[#This Row],[Close]],-29,0,30)),"")</f>
        <v>27.439048878772798</v>
      </c>
    </row>
    <row r="1397" spans="1:12" x14ac:dyDescent="0.3">
      <c r="A1397" s="1">
        <v>44433</v>
      </c>
      <c r="B1397" s="3">
        <f>YEAR(Tabla3[[#This Row],[Date]])</f>
        <v>2021</v>
      </c>
      <c r="C1397" s="1" t="str">
        <f>+TEXT(Tabla3[[#This Row],[Date]],"mmm")</f>
        <v>ago</v>
      </c>
      <c r="D1397" s="2">
        <v>1788.19995117187</v>
      </c>
      <c r="E1397" s="2">
        <v>1788.19995117187</v>
      </c>
      <c r="F1397" s="2">
        <v>1792.90002441406</v>
      </c>
      <c r="G1397" s="2">
        <v>1784</v>
      </c>
      <c r="H1397" s="2">
        <v>1792</v>
      </c>
      <c r="I1397">
        <v>812</v>
      </c>
      <c r="J1397" s="2">
        <f ca="1">IFERROR((Tabla3[[#This Row],[Close]]-OFFSET(Tabla3[[#This Row],[Close]],-1,0))/OFFSET(Tabla3[[#This Row],[Close]],-1,0),"")</f>
        <v>-9.6366995177952237E-3</v>
      </c>
      <c r="K1397" s="2">
        <f ca="1">IFERROR(AVERAGE(OFFSET(Tabla3[[#This Row],[Close]],-6,0,7)),"")</f>
        <v>1789.2571149553528</v>
      </c>
      <c r="L1397" s="2">
        <f ca="1">IFERROR(_xlfn.STDEV.S(OFFSET(Tabla3[[#This Row],[Close]],-29,0,30)),"")</f>
        <v>26.805904184065025</v>
      </c>
    </row>
    <row r="1398" spans="1:12" x14ac:dyDescent="0.3">
      <c r="A1398" s="1">
        <v>44434</v>
      </c>
      <c r="B1398" s="3">
        <f>YEAR(Tabla3[[#This Row],[Date]])</f>
        <v>2021</v>
      </c>
      <c r="C1398" s="1" t="str">
        <f>+TEXT(Tabla3[[#This Row],[Date]],"mmm")</f>
        <v>ago</v>
      </c>
      <c r="D1398" s="2">
        <v>1792.19995117187</v>
      </c>
      <c r="E1398" s="2">
        <v>1792.19995117187</v>
      </c>
      <c r="F1398" s="2">
        <v>1792.19995117187</v>
      </c>
      <c r="G1398" s="2">
        <v>1781</v>
      </c>
      <c r="H1398" s="2">
        <v>1787.40002441406</v>
      </c>
      <c r="I1398">
        <v>61</v>
      </c>
      <c r="J1398" s="2">
        <f ca="1">IFERROR((Tabla3[[#This Row],[Close]]-OFFSET(Tabla3[[#This Row],[Close]],-1,0))/OFFSET(Tabla3[[#This Row],[Close]],-1,0),"")</f>
        <v>2.2368863154138105E-3</v>
      </c>
      <c r="K1398" s="2">
        <f ca="1">IFERROR(AVERAGE(OFFSET(Tabla3[[#This Row],[Close]],-6,0,7)),"")</f>
        <v>1790.2856794084769</v>
      </c>
      <c r="L1398" s="2">
        <f ca="1">IFERROR(_xlfn.STDEV.S(OFFSET(Tabla3[[#This Row],[Close]],-29,0,30)),"")</f>
        <v>25.903611671630301</v>
      </c>
    </row>
    <row r="1399" spans="1:12" x14ac:dyDescent="0.3">
      <c r="A1399" s="1">
        <v>44435</v>
      </c>
      <c r="B1399" s="3">
        <f>YEAR(Tabla3[[#This Row],[Date]])</f>
        <v>2021</v>
      </c>
      <c r="C1399" s="1" t="str">
        <f>+TEXT(Tabla3[[#This Row],[Date]],"mmm")</f>
        <v>ago</v>
      </c>
      <c r="D1399" s="2">
        <v>1816.59997558593</v>
      </c>
      <c r="E1399" s="2">
        <v>1816.59997558593</v>
      </c>
      <c r="F1399" s="2">
        <v>1816.59997558593</v>
      </c>
      <c r="G1399" s="2">
        <v>1803.09997558593</v>
      </c>
      <c r="H1399" s="2">
        <v>1803.40002441406</v>
      </c>
      <c r="I1399">
        <v>1219</v>
      </c>
      <c r="J1399" s="2">
        <f ca="1">IFERROR((Tabla3[[#This Row],[Close]]-OFFSET(Tabla3[[#This Row],[Close]],-1,0))/OFFSET(Tabla3[[#This Row],[Close]],-1,0),"")</f>
        <v>1.3614565940650483E-2</v>
      </c>
      <c r="K1399" s="2">
        <f ca="1">IFERROR(AVERAGE(OFFSET(Tabla3[[#This Row],[Close]],-6,0,7)),"")</f>
        <v>1795.2856794084771</v>
      </c>
      <c r="L1399" s="2">
        <f ca="1">IFERROR(_xlfn.STDEV.S(OFFSET(Tabla3[[#This Row],[Close]],-29,0,30)),"")</f>
        <v>25.973037488784669</v>
      </c>
    </row>
    <row r="1400" spans="1:12" x14ac:dyDescent="0.3">
      <c r="A1400" s="1">
        <v>44438</v>
      </c>
      <c r="B1400" s="3">
        <f>YEAR(Tabla3[[#This Row],[Date]])</f>
        <v>2021</v>
      </c>
      <c r="C1400" s="1" t="str">
        <f>+TEXT(Tabla3[[#This Row],[Date]],"mmm")</f>
        <v>ago</v>
      </c>
      <c r="D1400" s="2">
        <v>1809</v>
      </c>
      <c r="E1400" s="2">
        <v>1809</v>
      </c>
      <c r="F1400" s="2">
        <v>1820.30004882812</v>
      </c>
      <c r="G1400" s="2">
        <v>1807.80004882812</v>
      </c>
      <c r="H1400" s="2">
        <v>1818.19995117187</v>
      </c>
      <c r="I1400">
        <v>684</v>
      </c>
      <c r="J1400" s="2">
        <f ca="1">IFERROR((Tabla3[[#This Row],[Close]]-OFFSET(Tabla3[[#This Row],[Close]],-1,0))/OFFSET(Tabla3[[#This Row],[Close]],-1,0),"")</f>
        <v>-4.1836263833916901E-3</v>
      </c>
      <c r="K1400" s="2">
        <f ca="1">IFERROR(AVERAGE(OFFSET(Tabla3[[#This Row],[Close]],-6,0,7)),"")</f>
        <v>1799.3999720982099</v>
      </c>
      <c r="L1400" s="2">
        <f ca="1">IFERROR(_xlfn.STDEV.S(OFFSET(Tabla3[[#This Row],[Close]],-29,0,30)),"")</f>
        <v>25.980258007500193</v>
      </c>
    </row>
    <row r="1401" spans="1:12" x14ac:dyDescent="0.3">
      <c r="A1401" s="1">
        <v>44439</v>
      </c>
      <c r="B1401" s="3">
        <f>YEAR(Tabla3[[#This Row],[Date]])</f>
        <v>2021</v>
      </c>
      <c r="C1401" s="1" t="str">
        <f>+TEXT(Tabla3[[#This Row],[Date]],"mmm")</f>
        <v>ago</v>
      </c>
      <c r="D1401" s="2">
        <v>1815</v>
      </c>
      <c r="E1401" s="2">
        <v>1815</v>
      </c>
      <c r="F1401" s="2">
        <v>1815.90002441406</v>
      </c>
      <c r="G1401" s="2">
        <v>1801.09997558593</v>
      </c>
      <c r="H1401" s="2">
        <v>1815.90002441406</v>
      </c>
      <c r="I1401">
        <v>82</v>
      </c>
      <c r="J1401" s="2">
        <f ca="1">IFERROR((Tabla3[[#This Row],[Close]]-OFFSET(Tabla3[[#This Row],[Close]],-1,0))/OFFSET(Tabla3[[#This Row],[Close]],-1,0),"")</f>
        <v>3.3167495854063019E-3</v>
      </c>
      <c r="K1401" s="2">
        <f ca="1">IFERROR(AVERAGE(OFFSET(Tabla3[[#This Row],[Close]],-6,0,7)),"")</f>
        <v>1804.2571149553528</v>
      </c>
      <c r="L1401" s="2">
        <f ca="1">IFERROR(_xlfn.STDEV.S(OFFSET(Tabla3[[#This Row],[Close]],-29,0,30)),"")</f>
        <v>26.100541998830998</v>
      </c>
    </row>
    <row r="1402" spans="1:12" x14ac:dyDescent="0.3">
      <c r="A1402" s="1">
        <v>44440</v>
      </c>
      <c r="B1402" s="3">
        <f>YEAR(Tabla3[[#This Row],[Date]])</f>
        <v>2021</v>
      </c>
      <c r="C1402" s="1" t="str">
        <f>+TEXT(Tabla3[[#This Row],[Date]],"mmm")</f>
        <v>sept</v>
      </c>
      <c r="D1402" s="2">
        <v>1813.09997558593</v>
      </c>
      <c r="E1402" s="2">
        <v>1813.09997558593</v>
      </c>
      <c r="F1402" s="2">
        <v>1815.90002441406</v>
      </c>
      <c r="G1402" s="2">
        <v>1809.5</v>
      </c>
      <c r="H1402" s="2">
        <v>1813.5</v>
      </c>
      <c r="I1402">
        <v>114</v>
      </c>
      <c r="J1402" s="2">
        <f ca="1">IFERROR((Tabla3[[#This Row],[Close]]-OFFSET(Tabla3[[#This Row],[Close]],-1,0))/OFFSET(Tabla3[[#This Row],[Close]],-1,0),"")</f>
        <v>-1.0468454072011038E-3</v>
      </c>
      <c r="K1402" s="2">
        <f ca="1">IFERROR(AVERAGE(OFFSET(Tabla3[[#This Row],[Close]],-6,0,7)),"")</f>
        <v>1805.6714041573614</v>
      </c>
      <c r="L1402" s="2">
        <f ca="1">IFERROR(_xlfn.STDEV.S(OFFSET(Tabla3[[#This Row],[Close]],-29,0,30)),"")</f>
        <v>26.328186730175378</v>
      </c>
    </row>
    <row r="1403" spans="1:12" x14ac:dyDescent="0.3">
      <c r="A1403" s="1">
        <v>44441</v>
      </c>
      <c r="B1403" s="3">
        <f>YEAR(Tabla3[[#This Row],[Date]])</f>
        <v>2021</v>
      </c>
      <c r="C1403" s="1" t="str">
        <f>+TEXT(Tabla3[[#This Row],[Date]],"mmm")</f>
        <v>sept</v>
      </c>
      <c r="D1403" s="2">
        <v>1808.69995117187</v>
      </c>
      <c r="E1403" s="2">
        <v>1808.69995117187</v>
      </c>
      <c r="F1403" s="2">
        <v>1813.90002441406</v>
      </c>
      <c r="G1403" s="2">
        <v>1806.80004882812</v>
      </c>
      <c r="H1403" s="2">
        <v>1813.19995117187</v>
      </c>
      <c r="I1403">
        <v>26</v>
      </c>
      <c r="J1403" s="2">
        <f ca="1">IFERROR((Tabla3[[#This Row],[Close]]-OFFSET(Tabla3[[#This Row],[Close]],-1,0))/OFFSET(Tabla3[[#This Row],[Close]],-1,0),"")</f>
        <v>-2.4267963561347828E-3</v>
      </c>
      <c r="K1403" s="2">
        <f ca="1">IFERROR(AVERAGE(OFFSET(Tabla3[[#This Row],[Close]],-6,0,7)),"")</f>
        <v>1806.1142578124957</v>
      </c>
      <c r="L1403" s="2">
        <f ca="1">IFERROR(_xlfn.STDEV.S(OFFSET(Tabla3[[#This Row],[Close]],-29,0,30)),"")</f>
        <v>26.403602469863557</v>
      </c>
    </row>
    <row r="1404" spans="1:12" x14ac:dyDescent="0.3">
      <c r="A1404" s="1">
        <v>44442</v>
      </c>
      <c r="B1404" s="3">
        <f>YEAR(Tabla3[[#This Row],[Date]])</f>
        <v>2021</v>
      </c>
      <c r="C1404" s="1" t="str">
        <f>+TEXT(Tabla3[[#This Row],[Date]],"mmm")</f>
        <v>sept</v>
      </c>
      <c r="D1404" s="2">
        <v>1830.90002441406</v>
      </c>
      <c r="E1404" s="2">
        <v>1830.90002441406</v>
      </c>
      <c r="F1404" s="2">
        <v>1833.90002441406</v>
      </c>
      <c r="G1404" s="2">
        <v>1818.90002441406</v>
      </c>
      <c r="H1404" s="2">
        <v>1820.90002441406</v>
      </c>
      <c r="I1404">
        <v>53</v>
      </c>
      <c r="J1404" s="2">
        <f ca="1">IFERROR((Tabla3[[#This Row],[Close]]-OFFSET(Tabla3[[#This Row],[Close]],-1,0))/OFFSET(Tabla3[[#This Row],[Close]],-1,0),"")</f>
        <v>1.2274049782445347E-2</v>
      </c>
      <c r="K1404" s="2">
        <f ca="1">IFERROR(AVERAGE(OFFSET(Tabla3[[#This Row],[Close]],-6,0,7)),"")</f>
        <v>1812.2142682756657</v>
      </c>
      <c r="L1404" s="2">
        <f ca="1">IFERROR(_xlfn.STDEV.S(OFFSET(Tabla3[[#This Row],[Close]],-29,0,30)),"")</f>
        <v>27.324945730603194</v>
      </c>
    </row>
    <row r="1405" spans="1:12" x14ac:dyDescent="0.3">
      <c r="A1405" s="1">
        <v>44446</v>
      </c>
      <c r="B1405" s="3">
        <f>YEAR(Tabla3[[#This Row],[Date]])</f>
        <v>2021</v>
      </c>
      <c r="C1405" s="1" t="str">
        <f>+TEXT(Tabla3[[#This Row],[Date]],"mmm")</f>
        <v>sept</v>
      </c>
      <c r="D1405" s="2">
        <v>1795.90002441406</v>
      </c>
      <c r="E1405" s="2">
        <v>1795.90002441406</v>
      </c>
      <c r="F1405" s="2">
        <v>1825.69995117187</v>
      </c>
      <c r="G1405" s="2">
        <v>1792.69995117187</v>
      </c>
      <c r="H1405" s="2">
        <v>1825.69995117187</v>
      </c>
      <c r="I1405">
        <v>48</v>
      </c>
      <c r="J1405" s="2">
        <f ca="1">IFERROR((Tabla3[[#This Row],[Close]]-OFFSET(Tabla3[[#This Row],[Close]],-1,0))/OFFSET(Tabla3[[#This Row],[Close]],-1,0),"")</f>
        <v>-1.9116281355231832E-2</v>
      </c>
      <c r="K1405" s="2">
        <f ca="1">IFERROR(AVERAGE(OFFSET(Tabla3[[#This Row],[Close]],-6,0,7)),"")</f>
        <v>1812.7428501674074</v>
      </c>
      <c r="L1405" s="2">
        <f ca="1">IFERROR(_xlfn.STDEV.S(OFFSET(Tabla3[[#This Row],[Close]],-29,0,30)),"")</f>
        <v>27.307143510163822</v>
      </c>
    </row>
    <row r="1406" spans="1:12" x14ac:dyDescent="0.3">
      <c r="A1406" s="1">
        <v>44447</v>
      </c>
      <c r="B1406" s="3">
        <f>YEAR(Tabla3[[#This Row],[Date]])</f>
        <v>2021</v>
      </c>
      <c r="C1406" s="1" t="str">
        <f>+TEXT(Tabla3[[#This Row],[Date]],"mmm")</f>
        <v>sept</v>
      </c>
      <c r="D1406" s="2">
        <v>1790.69995117187</v>
      </c>
      <c r="E1406" s="2">
        <v>1790.69995117187</v>
      </c>
      <c r="F1406" s="2">
        <v>1790.69995117187</v>
      </c>
      <c r="G1406" s="2">
        <v>1781.69995117187</v>
      </c>
      <c r="H1406" s="2">
        <v>1781.69995117187</v>
      </c>
      <c r="I1406">
        <v>69</v>
      </c>
      <c r="J1406" s="2">
        <f ca="1">IFERROR((Tabla3[[#This Row],[Close]]-OFFSET(Tabla3[[#This Row],[Close]],-1,0))/OFFSET(Tabla3[[#This Row],[Close]],-1,0),"")</f>
        <v>-2.8955249019981528E-3</v>
      </c>
      <c r="K1406" s="2">
        <f ca="1">IFERROR(AVERAGE(OFFSET(Tabla3[[#This Row],[Close]],-6,0,7)),"")</f>
        <v>1809.0428466796843</v>
      </c>
      <c r="L1406" s="2">
        <f ca="1">IFERROR(_xlfn.STDEV.S(OFFSET(Tabla3[[#This Row],[Close]],-29,0,30)),"")</f>
        <v>27.27345205220842</v>
      </c>
    </row>
    <row r="1407" spans="1:12" x14ac:dyDescent="0.3">
      <c r="A1407" s="1">
        <v>44448</v>
      </c>
      <c r="B1407" s="3">
        <f>YEAR(Tabla3[[#This Row],[Date]])</f>
        <v>2021</v>
      </c>
      <c r="C1407" s="1" t="str">
        <f>+TEXT(Tabla3[[#This Row],[Date]],"mmm")</f>
        <v>sept</v>
      </c>
      <c r="D1407" s="2">
        <v>1797.40002441406</v>
      </c>
      <c r="E1407" s="2">
        <v>1797.40002441406</v>
      </c>
      <c r="F1407" s="2">
        <v>1798.69995117187</v>
      </c>
      <c r="G1407" s="2">
        <v>1787.90002441406</v>
      </c>
      <c r="H1407" s="2">
        <v>1798.69995117187</v>
      </c>
      <c r="I1407">
        <v>49</v>
      </c>
      <c r="J1407" s="2">
        <f ca="1">IFERROR((Tabla3[[#This Row],[Close]]-OFFSET(Tabla3[[#This Row],[Close]],-1,0))/OFFSET(Tabla3[[#This Row],[Close]],-1,0),"")</f>
        <v>3.7415945858519394E-3</v>
      </c>
      <c r="K1407" s="2">
        <f ca="1">IFERROR(AVERAGE(OFFSET(Tabla3[[#This Row],[Close]],-6,0,7)),"")</f>
        <v>1807.3857073102643</v>
      </c>
      <c r="L1407" s="2">
        <f ca="1">IFERROR(_xlfn.STDEV.S(OFFSET(Tabla3[[#This Row],[Close]],-29,0,30)),"")</f>
        <v>27.256024725457841</v>
      </c>
    </row>
    <row r="1408" spans="1:12" x14ac:dyDescent="0.3">
      <c r="A1408" s="1">
        <v>44449</v>
      </c>
      <c r="B1408" s="3">
        <f>YEAR(Tabla3[[#This Row],[Date]])</f>
        <v>2021</v>
      </c>
      <c r="C1408" s="1" t="str">
        <f>+TEXT(Tabla3[[#This Row],[Date]],"mmm")</f>
        <v>sept</v>
      </c>
      <c r="D1408" s="2">
        <v>1789.59997558593</v>
      </c>
      <c r="E1408" s="2">
        <v>1789.59997558593</v>
      </c>
      <c r="F1408" s="2">
        <v>1789.59997558593</v>
      </c>
      <c r="G1408" s="2">
        <v>1789.59997558593</v>
      </c>
      <c r="H1408" s="2">
        <v>1789.59997558593</v>
      </c>
      <c r="I1408">
        <v>0</v>
      </c>
      <c r="J1408" s="2">
        <f ca="1">IFERROR((Tabla3[[#This Row],[Close]]-OFFSET(Tabla3[[#This Row],[Close]],-1,0))/OFFSET(Tabla3[[#This Row],[Close]],-1,0),"")</f>
        <v>-4.339628753856707E-3</v>
      </c>
      <c r="K1408" s="2">
        <f ca="1">IFERROR(AVERAGE(OFFSET(Tabla3[[#This Row],[Close]],-6,0,7)),"")</f>
        <v>1803.7571323939685</v>
      </c>
      <c r="L1408" s="2">
        <f ca="1">IFERROR(_xlfn.STDEV.S(OFFSET(Tabla3[[#This Row],[Close]],-29,0,30)),"")</f>
        <v>26.223883933423387</v>
      </c>
    </row>
    <row r="1409" spans="1:12" x14ac:dyDescent="0.3">
      <c r="A1409" s="1">
        <v>44452</v>
      </c>
      <c r="B1409" s="3">
        <f>YEAR(Tabla3[[#This Row],[Date]])</f>
        <v>2021</v>
      </c>
      <c r="C1409" s="1" t="str">
        <f>+TEXT(Tabla3[[#This Row],[Date]],"mmm")</f>
        <v>sept</v>
      </c>
      <c r="D1409" s="2">
        <v>1792</v>
      </c>
      <c r="E1409" s="2">
        <v>1792</v>
      </c>
      <c r="F1409" s="2">
        <v>1796</v>
      </c>
      <c r="G1409" s="2">
        <v>1784</v>
      </c>
      <c r="H1409" s="2">
        <v>1789.80004882812</v>
      </c>
      <c r="I1409">
        <v>533</v>
      </c>
      <c r="J1409" s="2">
        <f ca="1">IFERROR((Tabla3[[#This Row],[Close]]-OFFSET(Tabla3[[#This Row],[Close]],-1,0))/OFFSET(Tabla3[[#This Row],[Close]],-1,0),"")</f>
        <v>1.3410954664794378E-3</v>
      </c>
      <c r="K1409" s="2">
        <f ca="1">IFERROR(AVERAGE(OFFSET(Tabla3[[#This Row],[Close]],-6,0,7)),"")</f>
        <v>1800.7428501674074</v>
      </c>
      <c r="L1409" s="2">
        <f ca="1">IFERROR(_xlfn.STDEV.S(OFFSET(Tabla3[[#This Row],[Close]],-29,0,30)),"")</f>
        <v>25.891945567417892</v>
      </c>
    </row>
    <row r="1410" spans="1:12" x14ac:dyDescent="0.3">
      <c r="A1410" s="1">
        <v>44453</v>
      </c>
      <c r="B1410" s="3">
        <f>YEAR(Tabla3[[#This Row],[Date]])</f>
        <v>2021</v>
      </c>
      <c r="C1410" s="1" t="str">
        <f>+TEXT(Tabla3[[#This Row],[Date]],"mmm")</f>
        <v>sept</v>
      </c>
      <c r="D1410" s="2">
        <v>1804.69995117187</v>
      </c>
      <c r="E1410" s="2">
        <v>1804.69995117187</v>
      </c>
      <c r="F1410" s="2">
        <v>1806.19995117187</v>
      </c>
      <c r="G1410" s="2">
        <v>1783</v>
      </c>
      <c r="H1410" s="2">
        <v>1791.40002441406</v>
      </c>
      <c r="I1410">
        <v>764</v>
      </c>
      <c r="J1410" s="2">
        <f ca="1">IFERROR((Tabla3[[#This Row],[Close]]-OFFSET(Tabla3[[#This Row],[Close]],-1,0))/OFFSET(Tabla3[[#This Row],[Close]],-1,0),"")</f>
        <v>7.0870263235881682E-3</v>
      </c>
      <c r="K1410" s="2">
        <f ca="1">IFERROR(AVERAGE(OFFSET(Tabla3[[#This Row],[Close]],-6,0,7)),"")</f>
        <v>1800.1714215959785</v>
      </c>
      <c r="L1410" s="2">
        <f ca="1">IFERROR(_xlfn.STDEV.S(OFFSET(Tabla3[[#This Row],[Close]],-29,0,30)),"")</f>
        <v>25.499148584852147</v>
      </c>
    </row>
    <row r="1411" spans="1:12" x14ac:dyDescent="0.3">
      <c r="A1411" s="1">
        <v>44454</v>
      </c>
      <c r="B1411" s="3">
        <f>YEAR(Tabla3[[#This Row],[Date]])</f>
        <v>2021</v>
      </c>
      <c r="C1411" s="1" t="str">
        <f>+TEXT(Tabla3[[#This Row],[Date]],"mmm")</f>
        <v>sept</v>
      </c>
      <c r="D1411" s="2">
        <v>1792.40002441406</v>
      </c>
      <c r="E1411" s="2">
        <v>1792.40002441406</v>
      </c>
      <c r="F1411" s="2">
        <v>1803.69995117187</v>
      </c>
      <c r="G1411" s="2">
        <v>1792.40002441406</v>
      </c>
      <c r="H1411" s="2">
        <v>1803.69995117187</v>
      </c>
      <c r="I1411">
        <v>59</v>
      </c>
      <c r="J1411" s="2">
        <f ca="1">IFERROR((Tabla3[[#This Row],[Close]]-OFFSET(Tabla3[[#This Row],[Close]],-1,0))/OFFSET(Tabla3[[#This Row],[Close]],-1,0),"")</f>
        <v>-6.8154968086651313E-3</v>
      </c>
      <c r="K1411" s="2">
        <f ca="1">IFERROR(AVERAGE(OFFSET(Tabla3[[#This Row],[Close]],-6,0,7)),"")</f>
        <v>1794.6714215959785</v>
      </c>
      <c r="L1411" s="2">
        <f ca="1">IFERROR(_xlfn.STDEV.S(OFFSET(Tabla3[[#This Row],[Close]],-29,0,30)),"")</f>
        <v>25.205157222177021</v>
      </c>
    </row>
    <row r="1412" spans="1:12" x14ac:dyDescent="0.3">
      <c r="A1412" s="1">
        <v>44455</v>
      </c>
      <c r="B1412" s="3">
        <f>YEAR(Tabla3[[#This Row],[Date]])</f>
        <v>2021</v>
      </c>
      <c r="C1412" s="1" t="str">
        <f>+TEXT(Tabla3[[#This Row],[Date]],"mmm")</f>
        <v>sept</v>
      </c>
      <c r="D1412" s="2">
        <v>1754.59997558593</v>
      </c>
      <c r="E1412" s="2">
        <v>1754.59997558593</v>
      </c>
      <c r="F1412" s="2">
        <v>1792.90002441406</v>
      </c>
      <c r="G1412" s="2">
        <v>1743.90002441406</v>
      </c>
      <c r="H1412" s="2">
        <v>1792.90002441406</v>
      </c>
      <c r="I1412">
        <v>1645</v>
      </c>
      <c r="J1412" s="2">
        <f ca="1">IFERROR((Tabla3[[#This Row],[Close]]-OFFSET(Tabla3[[#This Row],[Close]],-1,0))/OFFSET(Tabla3[[#This Row],[Close]],-1,0),"")</f>
        <v>-2.1089069578922221E-2</v>
      </c>
      <c r="K1412" s="2">
        <f ca="1">IFERROR(AVERAGE(OFFSET(Tabla3[[#This Row],[Close]],-6,0,7)),"")</f>
        <v>1788.7714146205315</v>
      </c>
      <c r="L1412" s="2">
        <f ca="1">IFERROR(_xlfn.STDEV.S(OFFSET(Tabla3[[#This Row],[Close]],-29,0,30)),"")</f>
        <v>25.604386271571009</v>
      </c>
    </row>
    <row r="1413" spans="1:12" x14ac:dyDescent="0.3">
      <c r="A1413" s="1">
        <v>44456</v>
      </c>
      <c r="B1413" s="3">
        <f>YEAR(Tabla3[[#This Row],[Date]])</f>
        <v>2021</v>
      </c>
      <c r="C1413" s="1" t="str">
        <f>+TEXT(Tabla3[[#This Row],[Date]],"mmm")</f>
        <v>sept</v>
      </c>
      <c r="D1413" s="2">
        <v>1749.40002441406</v>
      </c>
      <c r="E1413" s="2">
        <v>1749.40002441406</v>
      </c>
      <c r="F1413" s="2">
        <v>1763</v>
      </c>
      <c r="G1413" s="2">
        <v>1749.40002441406</v>
      </c>
      <c r="H1413" s="2">
        <v>1758.80004882812</v>
      </c>
      <c r="I1413">
        <v>581</v>
      </c>
      <c r="J1413" s="2">
        <f ca="1">IFERROR((Tabla3[[#This Row],[Close]]-OFFSET(Tabla3[[#This Row],[Close]],-1,0))/OFFSET(Tabla3[[#This Row],[Close]],-1,0),"")</f>
        <v>-2.963610648708421E-3</v>
      </c>
      <c r="K1413" s="2">
        <f ca="1">IFERROR(AVERAGE(OFFSET(Tabla3[[#This Row],[Close]],-6,0,7)),"")</f>
        <v>1782.8714250837018</v>
      </c>
      <c r="L1413" s="2">
        <f ca="1">IFERROR(_xlfn.STDEV.S(OFFSET(Tabla3[[#This Row],[Close]],-29,0,30)),"")</f>
        <v>26.249017671155283</v>
      </c>
    </row>
    <row r="1414" spans="1:12" x14ac:dyDescent="0.3">
      <c r="A1414" s="1">
        <v>44459</v>
      </c>
      <c r="B1414" s="3">
        <f>YEAR(Tabla3[[#This Row],[Date]])</f>
        <v>2021</v>
      </c>
      <c r="C1414" s="1" t="str">
        <f>+TEXT(Tabla3[[#This Row],[Date]],"mmm")</f>
        <v>sept</v>
      </c>
      <c r="D1414" s="2">
        <v>1761.80004882812</v>
      </c>
      <c r="E1414" s="2">
        <v>1761.80004882812</v>
      </c>
      <c r="F1414" s="2">
        <v>1761.80004882812</v>
      </c>
      <c r="G1414" s="2">
        <v>1750.90002441406</v>
      </c>
      <c r="H1414" s="2">
        <v>1751.80004882812</v>
      </c>
      <c r="I1414">
        <v>185</v>
      </c>
      <c r="J1414" s="2">
        <f ca="1">IFERROR((Tabla3[[#This Row],[Close]]-OFFSET(Tabla3[[#This Row],[Close]],-1,0))/OFFSET(Tabla3[[#This Row],[Close]],-1,0),"")</f>
        <v>7.0881583634441955E-3</v>
      </c>
      <c r="K1414" s="2">
        <f ca="1">IFERROR(AVERAGE(OFFSET(Tabla3[[#This Row],[Close]],-6,0,7)),"")</f>
        <v>1777.7857142857099</v>
      </c>
      <c r="L1414" s="2">
        <f ca="1">IFERROR(_xlfn.STDEV.S(OFFSET(Tabla3[[#This Row],[Close]],-29,0,30)),"")</f>
        <v>26.191840459956609</v>
      </c>
    </row>
    <row r="1415" spans="1:12" x14ac:dyDescent="0.3">
      <c r="A1415" s="1">
        <v>44460</v>
      </c>
      <c r="B1415" s="3">
        <f>YEAR(Tabla3[[#This Row],[Date]])</f>
        <v>2021</v>
      </c>
      <c r="C1415" s="1" t="str">
        <f>+TEXT(Tabla3[[#This Row],[Date]],"mmm")</f>
        <v>sept</v>
      </c>
      <c r="D1415" s="2">
        <v>1776</v>
      </c>
      <c r="E1415" s="2">
        <v>1776</v>
      </c>
      <c r="F1415" s="2">
        <v>1776</v>
      </c>
      <c r="G1415" s="2">
        <v>1759</v>
      </c>
      <c r="H1415" s="2">
        <v>1762.19995117187</v>
      </c>
      <c r="I1415">
        <v>106</v>
      </c>
      <c r="J1415" s="2">
        <f ca="1">IFERROR((Tabla3[[#This Row],[Close]]-OFFSET(Tabla3[[#This Row],[Close]],-1,0))/OFFSET(Tabla3[[#This Row],[Close]],-1,0),"")</f>
        <v>8.0599107607729099E-3</v>
      </c>
      <c r="K1415" s="2">
        <f ca="1">IFERROR(AVERAGE(OFFSET(Tabla3[[#This Row],[Close]],-6,0,7)),"")</f>
        <v>1775.8428606305772</v>
      </c>
      <c r="L1415" s="2">
        <f ca="1">IFERROR(_xlfn.STDEV.S(OFFSET(Tabla3[[#This Row],[Close]],-29,0,30)),"")</f>
        <v>23.547321867873027</v>
      </c>
    </row>
    <row r="1416" spans="1:12" x14ac:dyDescent="0.3">
      <c r="A1416" s="1">
        <v>44461</v>
      </c>
      <c r="B1416" s="3">
        <f>YEAR(Tabla3[[#This Row],[Date]])</f>
        <v>2021</v>
      </c>
      <c r="C1416" s="1" t="str">
        <f>+TEXT(Tabla3[[#This Row],[Date]],"mmm")</f>
        <v>sept</v>
      </c>
      <c r="D1416" s="2">
        <v>1776.69995117187</v>
      </c>
      <c r="E1416" s="2">
        <v>1776.69995117187</v>
      </c>
      <c r="F1416" s="2">
        <v>1784.30004882812</v>
      </c>
      <c r="G1416" s="2">
        <v>1767</v>
      </c>
      <c r="H1416" s="2">
        <v>1776.69995117187</v>
      </c>
      <c r="I1416">
        <v>17</v>
      </c>
      <c r="J1416" s="2">
        <f ca="1">IFERROR((Tabla3[[#This Row],[Close]]-OFFSET(Tabla3[[#This Row],[Close]],-1,0))/OFFSET(Tabla3[[#This Row],[Close]],-1,0),"")</f>
        <v>3.9411665082770143E-4</v>
      </c>
      <c r="K1416" s="2">
        <f ca="1">IFERROR(AVERAGE(OFFSET(Tabla3[[#This Row],[Close]],-6,0,7)),"")</f>
        <v>1773.6571393694157</v>
      </c>
      <c r="L1416" s="2">
        <f ca="1">IFERROR(_xlfn.STDEV.S(OFFSET(Tabla3[[#This Row],[Close]],-29,0,30)),"")</f>
        <v>20.95795419266264</v>
      </c>
    </row>
    <row r="1417" spans="1:12" x14ac:dyDescent="0.3">
      <c r="A1417" s="1">
        <v>44462</v>
      </c>
      <c r="B1417" s="3">
        <f>YEAR(Tabla3[[#This Row],[Date]])</f>
        <v>2021</v>
      </c>
      <c r="C1417" s="1" t="str">
        <f>+TEXT(Tabla3[[#This Row],[Date]],"mmm")</f>
        <v>sept</v>
      </c>
      <c r="D1417" s="2">
        <v>1747.69995117187</v>
      </c>
      <c r="E1417" s="2">
        <v>1747.69995117187</v>
      </c>
      <c r="F1417" s="2">
        <v>1766.80004882812</v>
      </c>
      <c r="G1417" s="2">
        <v>1738.19995117187</v>
      </c>
      <c r="H1417" s="2">
        <v>1766.80004882812</v>
      </c>
      <c r="I1417">
        <v>31</v>
      </c>
      <c r="J1417" s="2">
        <f ca="1">IFERROR((Tabla3[[#This Row],[Close]]-OFFSET(Tabla3[[#This Row],[Close]],-1,0))/OFFSET(Tabla3[[#This Row],[Close]],-1,0),"")</f>
        <v>-1.6322395900822913E-2</v>
      </c>
      <c r="K1417" s="2">
        <f ca="1">IFERROR(AVERAGE(OFFSET(Tabla3[[#This Row],[Close]],-6,0,7)),"")</f>
        <v>1765.5142822265584</v>
      </c>
      <c r="L1417" s="2">
        <f ca="1">IFERROR(_xlfn.STDEV.S(OFFSET(Tabla3[[#This Row],[Close]],-29,0,30)),"")</f>
        <v>21.131992603282182</v>
      </c>
    </row>
    <row r="1418" spans="1:12" x14ac:dyDescent="0.3">
      <c r="A1418" s="1">
        <v>44463</v>
      </c>
      <c r="B1418" s="3">
        <f>YEAR(Tabla3[[#This Row],[Date]])</f>
        <v>2021</v>
      </c>
      <c r="C1418" s="1" t="str">
        <f>+TEXT(Tabla3[[#This Row],[Date]],"mmm")</f>
        <v>sept</v>
      </c>
      <c r="D1418" s="2">
        <v>1749.69995117187</v>
      </c>
      <c r="E1418" s="2">
        <v>1749.69995117187</v>
      </c>
      <c r="F1418" s="2">
        <v>1749.69995117187</v>
      </c>
      <c r="G1418" s="2">
        <v>1745</v>
      </c>
      <c r="H1418" s="2">
        <v>1749.69995117187</v>
      </c>
      <c r="I1418">
        <v>76</v>
      </c>
      <c r="J1418" s="2">
        <f ca="1">IFERROR((Tabla3[[#This Row],[Close]]-OFFSET(Tabla3[[#This Row],[Close]],-1,0))/OFFSET(Tabla3[[#This Row],[Close]],-1,0),"")</f>
        <v>1.1443611923539607E-3</v>
      </c>
      <c r="K1418" s="2">
        <f ca="1">IFERROR(AVERAGE(OFFSET(Tabla3[[#This Row],[Close]],-6,0,7)),"")</f>
        <v>1759.4142717633883</v>
      </c>
      <c r="L1418" s="2">
        <f ca="1">IFERROR(_xlfn.STDEV.S(OFFSET(Tabla3[[#This Row],[Close]],-29,0,30)),"")</f>
        <v>21.087395341784532</v>
      </c>
    </row>
    <row r="1419" spans="1:12" x14ac:dyDescent="0.3">
      <c r="A1419" s="1">
        <v>44466</v>
      </c>
      <c r="B1419" s="3">
        <f>YEAR(Tabla3[[#This Row],[Date]])</f>
        <v>2021</v>
      </c>
      <c r="C1419" s="1" t="str">
        <f>+TEXT(Tabla3[[#This Row],[Date]],"mmm")</f>
        <v>sept</v>
      </c>
      <c r="D1419" s="2">
        <v>1750</v>
      </c>
      <c r="E1419" s="2">
        <v>1750</v>
      </c>
      <c r="F1419" s="2">
        <v>1754.40002441406</v>
      </c>
      <c r="G1419" s="2">
        <v>1747.5</v>
      </c>
      <c r="H1419" s="2">
        <v>1751.69995117187</v>
      </c>
      <c r="I1419">
        <v>808</v>
      </c>
      <c r="J1419" s="2">
        <f ca="1">IFERROR((Tabla3[[#This Row],[Close]]-OFFSET(Tabla3[[#This Row],[Close]],-1,0))/OFFSET(Tabla3[[#This Row],[Close]],-1,0),"")</f>
        <v>1.7148587558057772E-4</v>
      </c>
      <c r="K1419" s="2">
        <f ca="1">IFERROR(AVERAGE(OFFSET(Tabla3[[#This Row],[Close]],-6,0,7)),"")</f>
        <v>1758.7571323939699</v>
      </c>
      <c r="L1419" s="2">
        <f ca="1">IFERROR(_xlfn.STDEV.S(OFFSET(Tabla3[[#This Row],[Close]],-29,0,30)),"")</f>
        <v>22.10721445875096</v>
      </c>
    </row>
    <row r="1420" spans="1:12" x14ac:dyDescent="0.3">
      <c r="A1420" s="1">
        <v>44467</v>
      </c>
      <c r="B1420" s="3">
        <f>YEAR(Tabla3[[#This Row],[Date]])</f>
        <v>2021</v>
      </c>
      <c r="C1420" s="1" t="str">
        <f>+TEXT(Tabla3[[#This Row],[Date]],"mmm")</f>
        <v>sept</v>
      </c>
      <c r="D1420" s="2">
        <v>1735.80004882812</v>
      </c>
      <c r="E1420" s="2">
        <v>1735.80004882812</v>
      </c>
      <c r="F1420" s="2">
        <v>1741.69995117187</v>
      </c>
      <c r="G1420" s="2">
        <v>1726.80004882812</v>
      </c>
      <c r="H1420" s="2">
        <v>1739.59997558593</v>
      </c>
      <c r="I1420">
        <v>15748</v>
      </c>
      <c r="J1420" s="2">
        <f ca="1">IFERROR((Tabla3[[#This Row],[Close]]-OFFSET(Tabla3[[#This Row],[Close]],-1,0))/OFFSET(Tabla3[[#This Row],[Close]],-1,0),"")</f>
        <v>-8.1142578125028581E-3</v>
      </c>
      <c r="K1420" s="2">
        <f ca="1">IFERROR(AVERAGE(OFFSET(Tabla3[[#This Row],[Close]],-6,0,7)),"")</f>
        <v>1756.8142787388356</v>
      </c>
      <c r="L1420" s="2">
        <f ca="1">IFERROR(_xlfn.STDEV.S(OFFSET(Tabla3[[#This Row],[Close]],-29,0,30)),"")</f>
        <v>24.041162666173157</v>
      </c>
    </row>
    <row r="1421" spans="1:12" x14ac:dyDescent="0.3">
      <c r="A1421" s="1">
        <v>44468</v>
      </c>
      <c r="B1421" s="3">
        <f>YEAR(Tabla3[[#This Row],[Date]])</f>
        <v>2021</v>
      </c>
      <c r="C1421" s="1" t="str">
        <f>+TEXT(Tabla3[[#This Row],[Date]],"mmm")</f>
        <v>sept</v>
      </c>
      <c r="D1421" s="2">
        <v>1721.5</v>
      </c>
      <c r="E1421" s="2">
        <v>1721.5</v>
      </c>
      <c r="F1421" s="2">
        <v>1744.09997558593</v>
      </c>
      <c r="G1421" s="2">
        <v>1721.40002441406</v>
      </c>
      <c r="H1421" s="2">
        <v>1732.40002441406</v>
      </c>
      <c r="I1421">
        <v>6634</v>
      </c>
      <c r="J1421" s="2">
        <f ca="1">IFERROR((Tabla3[[#This Row],[Close]]-OFFSET(Tabla3[[#This Row],[Close]],-1,0))/OFFSET(Tabla3[[#This Row],[Close]],-1,0),"")</f>
        <v>-8.2383041974070127E-3</v>
      </c>
      <c r="K1421" s="2">
        <f ca="1">IFERROR(AVERAGE(OFFSET(Tabla3[[#This Row],[Close]],-6,0,7)),"")</f>
        <v>1751.057128906247</v>
      </c>
      <c r="L1421" s="2">
        <f ca="1">IFERROR(_xlfn.STDEV.S(OFFSET(Tabla3[[#This Row],[Close]],-29,0,30)),"")</f>
        <v>26.758015757384932</v>
      </c>
    </row>
    <row r="1422" spans="1:12" x14ac:dyDescent="0.3">
      <c r="A1422" s="1">
        <v>44469</v>
      </c>
      <c r="B1422" s="3">
        <f>YEAR(Tabla3[[#This Row],[Date]])</f>
        <v>2021</v>
      </c>
      <c r="C1422" s="1" t="str">
        <f>+TEXT(Tabla3[[#This Row],[Date]],"mmm")</f>
        <v>sept</v>
      </c>
      <c r="D1422" s="2">
        <v>1755.30004882812</v>
      </c>
      <c r="E1422" s="2">
        <v>1755.30004882812</v>
      </c>
      <c r="F1422" s="2">
        <v>1760.30004882812</v>
      </c>
      <c r="G1422" s="2">
        <v>1724.5</v>
      </c>
      <c r="H1422" s="2">
        <v>1725.5</v>
      </c>
      <c r="I1422">
        <v>997</v>
      </c>
      <c r="J1422" s="2">
        <f ca="1">IFERROR((Tabla3[[#This Row],[Close]]-OFFSET(Tabla3[[#This Row],[Close]],-1,0))/OFFSET(Tabla3[[#This Row],[Close]],-1,0),"")</f>
        <v>1.9634068445030496E-2</v>
      </c>
      <c r="K1422" s="2">
        <f ca="1">IFERROR(AVERAGE(OFFSET(Tabla3[[#This Row],[Close]],-6,0,7)),"")</f>
        <v>1748.09999302455</v>
      </c>
      <c r="L1422" s="2">
        <f ca="1">IFERROR(_xlfn.STDEV.S(OFFSET(Tabla3[[#This Row],[Close]],-29,0,30)),"")</f>
        <v>27.255617369763328</v>
      </c>
    </row>
    <row r="1423" spans="1:12" x14ac:dyDescent="0.3">
      <c r="A1423" s="1">
        <v>44470</v>
      </c>
      <c r="B1423" s="3">
        <f>YEAR(Tabla3[[#This Row],[Date]])</f>
        <v>2021</v>
      </c>
      <c r="C1423" s="1" t="str">
        <f>+TEXT(Tabla3[[#This Row],[Date]],"mmm")</f>
        <v>oct</v>
      </c>
      <c r="D1423" s="2">
        <v>1757</v>
      </c>
      <c r="E1423" s="2">
        <v>1757</v>
      </c>
      <c r="F1423" s="2">
        <v>1762.59997558593</v>
      </c>
      <c r="G1423" s="2">
        <v>1748.5</v>
      </c>
      <c r="H1423" s="2">
        <v>1754.30004882812</v>
      </c>
      <c r="I1423">
        <v>2220</v>
      </c>
      <c r="J1423" s="2">
        <f ca="1">IFERROR((Tabla3[[#This Row],[Close]]-OFFSET(Tabla3[[#This Row],[Close]],-1,0))/OFFSET(Tabla3[[#This Row],[Close]],-1,0),"")</f>
        <v>9.684675694135199E-4</v>
      </c>
      <c r="K1423" s="2">
        <f ca="1">IFERROR(AVERAGE(OFFSET(Tabla3[[#This Row],[Close]],-6,0,7)),"")</f>
        <v>1745.2857142857115</v>
      </c>
      <c r="L1423" s="2">
        <f ca="1">IFERROR(_xlfn.STDEV.S(OFFSET(Tabla3[[#This Row],[Close]],-29,0,30)),"")</f>
        <v>27.658958531709267</v>
      </c>
    </row>
    <row r="1424" spans="1:12" x14ac:dyDescent="0.3">
      <c r="A1424" s="1">
        <v>44473</v>
      </c>
      <c r="B1424" s="3">
        <f>YEAR(Tabla3[[#This Row],[Date]])</f>
        <v>2021</v>
      </c>
      <c r="C1424" s="1" t="str">
        <f>+TEXT(Tabla3[[#This Row],[Date]],"mmm")</f>
        <v>oct</v>
      </c>
      <c r="D1424" s="2">
        <v>1766.19995117187</v>
      </c>
      <c r="E1424" s="2">
        <v>1766.19995117187</v>
      </c>
      <c r="F1424" s="2">
        <v>1768.90002441406</v>
      </c>
      <c r="G1424" s="2">
        <v>1749.5</v>
      </c>
      <c r="H1424" s="2">
        <v>1764.5</v>
      </c>
      <c r="I1424">
        <v>417</v>
      </c>
      <c r="J1424" s="2">
        <f ca="1">IFERROR((Tabla3[[#This Row],[Close]]-OFFSET(Tabla3[[#This Row],[Close]],-1,0))/OFFSET(Tabla3[[#This Row],[Close]],-1,0),"")</f>
        <v>5.2361702742572559E-3</v>
      </c>
      <c r="K1424" s="2">
        <f ca="1">IFERROR(AVERAGE(OFFSET(Tabla3[[#This Row],[Close]],-6,0,7)),"")</f>
        <v>1747.9285714285686</v>
      </c>
      <c r="L1424" s="2">
        <f ca="1">IFERROR(_xlfn.STDEV.S(OFFSET(Tabla3[[#This Row],[Close]],-29,0,30)),"")</f>
        <v>27.81003219875009</v>
      </c>
    </row>
    <row r="1425" spans="1:12" x14ac:dyDescent="0.3">
      <c r="A1425" s="1">
        <v>44474</v>
      </c>
      <c r="B1425" s="3">
        <f>YEAR(Tabla3[[#This Row],[Date]])</f>
        <v>2021</v>
      </c>
      <c r="C1425" s="1" t="str">
        <f>+TEXT(Tabla3[[#This Row],[Date]],"mmm")</f>
        <v>oct</v>
      </c>
      <c r="D1425" s="2">
        <v>1759.59997558593</v>
      </c>
      <c r="E1425" s="2">
        <v>1759.59997558593</v>
      </c>
      <c r="F1425" s="2">
        <v>1764.30004882812</v>
      </c>
      <c r="G1425" s="2">
        <v>1749</v>
      </c>
      <c r="H1425" s="2">
        <v>1764.30004882812</v>
      </c>
      <c r="I1425">
        <v>98</v>
      </c>
      <c r="J1425" s="2">
        <f ca="1">IFERROR((Tabla3[[#This Row],[Close]]-OFFSET(Tabla3[[#This Row],[Close]],-1,0))/OFFSET(Tabla3[[#This Row],[Close]],-1,0),"")</f>
        <v>-3.7368224257740075E-3</v>
      </c>
      <c r="K1425" s="2">
        <f ca="1">IFERROR(AVERAGE(OFFSET(Tabla3[[#This Row],[Close]],-6,0,7)),"")</f>
        <v>1749.342860630577</v>
      </c>
      <c r="L1425" s="2">
        <f ca="1">IFERROR(_xlfn.STDEV.S(OFFSET(Tabla3[[#This Row],[Close]],-29,0,30)),"")</f>
        <v>27.779562341181656</v>
      </c>
    </row>
    <row r="1426" spans="1:12" x14ac:dyDescent="0.3">
      <c r="A1426" s="1">
        <v>44475</v>
      </c>
      <c r="B1426" s="3">
        <f>YEAR(Tabla3[[#This Row],[Date]])</f>
        <v>2021</v>
      </c>
      <c r="C1426" s="1" t="str">
        <f>+TEXT(Tabla3[[#This Row],[Date]],"mmm")</f>
        <v>oct</v>
      </c>
      <c r="D1426" s="2">
        <v>1760.5</v>
      </c>
      <c r="E1426" s="2">
        <v>1760.5</v>
      </c>
      <c r="F1426" s="2">
        <v>1762.90002441406</v>
      </c>
      <c r="G1426" s="2">
        <v>1744.69995117187</v>
      </c>
      <c r="H1426" s="2">
        <v>1759.30004882812</v>
      </c>
      <c r="I1426">
        <v>56</v>
      </c>
      <c r="J1426" s="2">
        <f ca="1">IFERROR((Tabla3[[#This Row],[Close]]-OFFSET(Tabla3[[#This Row],[Close]],-1,0))/OFFSET(Tabla3[[#This Row],[Close]],-1,0),"")</f>
        <v>5.1149376367222541E-4</v>
      </c>
      <c r="K1426" s="2">
        <f ca="1">IFERROR(AVERAGE(OFFSET(Tabla3[[#This Row],[Close]],-6,0,7)),"")</f>
        <v>1750.8428606305772</v>
      </c>
      <c r="L1426" s="2">
        <f ca="1">IFERROR(_xlfn.STDEV.S(OFFSET(Tabla3[[#This Row],[Close]],-29,0,30)),"")</f>
        <v>27.572118890095012</v>
      </c>
    </row>
    <row r="1427" spans="1:12" x14ac:dyDescent="0.3">
      <c r="A1427" s="1">
        <v>44476</v>
      </c>
      <c r="B1427" s="3">
        <f>YEAR(Tabla3[[#This Row],[Date]])</f>
        <v>2021</v>
      </c>
      <c r="C1427" s="1" t="str">
        <f>+TEXT(Tabla3[[#This Row],[Date]],"mmm")</f>
        <v>oct</v>
      </c>
      <c r="D1427" s="2">
        <v>1757.90002441406</v>
      </c>
      <c r="E1427" s="2">
        <v>1757.90002441406</v>
      </c>
      <c r="F1427" s="2">
        <v>1762.40002441406</v>
      </c>
      <c r="G1427" s="2">
        <v>1752.80004882812</v>
      </c>
      <c r="H1427" s="2">
        <v>1762.40002441406</v>
      </c>
      <c r="I1427">
        <v>336</v>
      </c>
      <c r="J1427" s="2">
        <f ca="1">IFERROR((Tabla3[[#This Row],[Close]]-OFFSET(Tabla3[[#This Row],[Close]],-1,0))/OFFSET(Tabla3[[#This Row],[Close]],-1,0),"")</f>
        <v>-1.4768392990286857E-3</v>
      </c>
      <c r="K1427" s="2">
        <f ca="1">IFERROR(AVERAGE(OFFSET(Tabla3[[#This Row],[Close]],-6,0,7)),"")</f>
        <v>1753.999999999997</v>
      </c>
      <c r="L1427" s="2">
        <f ca="1">IFERROR(_xlfn.STDEV.S(OFFSET(Tabla3[[#This Row],[Close]],-29,0,30)),"")</f>
        <v>27.762888243200976</v>
      </c>
    </row>
    <row r="1428" spans="1:12" x14ac:dyDescent="0.3">
      <c r="A1428" s="1">
        <v>44477</v>
      </c>
      <c r="B1428" s="3">
        <f>YEAR(Tabla3[[#This Row],[Date]])</f>
        <v>2021</v>
      </c>
      <c r="C1428" s="1" t="str">
        <f>+TEXT(Tabla3[[#This Row],[Date]],"mmm")</f>
        <v>oct</v>
      </c>
      <c r="D1428" s="2">
        <v>1756.30004882812</v>
      </c>
      <c r="E1428" s="2">
        <v>1756.30004882812</v>
      </c>
      <c r="F1428" s="2">
        <v>1780</v>
      </c>
      <c r="G1428" s="2">
        <v>1754.19995117187</v>
      </c>
      <c r="H1428" s="2">
        <v>1757</v>
      </c>
      <c r="I1428">
        <v>254</v>
      </c>
      <c r="J1428" s="2">
        <f ca="1">IFERROR((Tabla3[[#This Row],[Close]]-OFFSET(Tabla3[[#This Row],[Close]],-1,0))/OFFSET(Tabla3[[#This Row],[Close]],-1,0),"")</f>
        <v>-9.1016301480131216E-4</v>
      </c>
      <c r="K1428" s="2">
        <f ca="1">IFERROR(AVERAGE(OFFSET(Tabla3[[#This Row],[Close]],-6,0,7)),"")</f>
        <v>1758.9714355468714</v>
      </c>
      <c r="L1428" s="2">
        <f ca="1">IFERROR(_xlfn.STDEV.S(OFFSET(Tabla3[[#This Row],[Close]],-29,0,30)),"")</f>
        <v>27.885164967121177</v>
      </c>
    </row>
    <row r="1429" spans="1:12" x14ac:dyDescent="0.3">
      <c r="A1429" s="1">
        <v>44480</v>
      </c>
      <c r="B1429" s="3">
        <f>YEAR(Tabla3[[#This Row],[Date]])</f>
        <v>2021</v>
      </c>
      <c r="C1429" s="1" t="str">
        <f>+TEXT(Tabla3[[#This Row],[Date]],"mmm")</f>
        <v>oct</v>
      </c>
      <c r="D1429" s="2">
        <v>1754.59997558593</v>
      </c>
      <c r="E1429" s="2">
        <v>1754.59997558593</v>
      </c>
      <c r="F1429" s="2">
        <v>1757.80004882812</v>
      </c>
      <c r="G1429" s="2">
        <v>1752.19995117187</v>
      </c>
      <c r="H1429" s="2">
        <v>1756.59997558593</v>
      </c>
      <c r="I1429">
        <v>128</v>
      </c>
      <c r="J1429" s="2">
        <f ca="1">IFERROR((Tabla3[[#This Row],[Close]]-OFFSET(Tabla3[[#This Row],[Close]],-1,0))/OFFSET(Tabla3[[#This Row],[Close]],-1,0),"")</f>
        <v>-9.6798564876449447E-4</v>
      </c>
      <c r="K1429" s="2">
        <f ca="1">IFERROR(AVERAGE(OFFSET(Tabla3[[#This Row],[Close]],-6,0,7)),"")</f>
        <v>1758.8714250837015</v>
      </c>
      <c r="L1429" s="2">
        <f ca="1">IFERROR(_xlfn.STDEV.S(OFFSET(Tabla3[[#This Row],[Close]],-29,0,30)),"")</f>
        <v>27.089226463617138</v>
      </c>
    </row>
    <row r="1430" spans="1:12" x14ac:dyDescent="0.3">
      <c r="A1430" s="1">
        <v>44481</v>
      </c>
      <c r="B1430" s="3">
        <f>YEAR(Tabla3[[#This Row],[Date]])</f>
        <v>2021</v>
      </c>
      <c r="C1430" s="1" t="str">
        <f>+TEXT(Tabla3[[#This Row],[Date]],"mmm")</f>
        <v>oct</v>
      </c>
      <c r="D1430" s="2">
        <v>1758.30004882812</v>
      </c>
      <c r="E1430" s="2">
        <v>1758.30004882812</v>
      </c>
      <c r="F1430" s="2">
        <v>1768</v>
      </c>
      <c r="G1430" s="2">
        <v>1749.80004882812</v>
      </c>
      <c r="H1430" s="2">
        <v>1751.90002441406</v>
      </c>
      <c r="I1430">
        <v>139</v>
      </c>
      <c r="J1430" s="2">
        <f ca="1">IFERROR((Tabla3[[#This Row],[Close]]-OFFSET(Tabla3[[#This Row],[Close]],-1,0))/OFFSET(Tabla3[[#This Row],[Close]],-1,0),"")</f>
        <v>2.1087845056844941E-3</v>
      </c>
      <c r="K1430" s="2">
        <f ca="1">IFERROR(AVERAGE(OFFSET(Tabla3[[#This Row],[Close]],-6,0,7)),"")</f>
        <v>1759.0571463448614</v>
      </c>
      <c r="L1430" s="2">
        <f ca="1">IFERROR(_xlfn.STDEV.S(OFFSET(Tabla3[[#This Row],[Close]],-29,0,30)),"")</f>
        <v>26.425278329011224</v>
      </c>
    </row>
    <row r="1431" spans="1:12" x14ac:dyDescent="0.3">
      <c r="A1431" s="1">
        <v>44482</v>
      </c>
      <c r="B1431" s="3">
        <f>YEAR(Tabla3[[#This Row],[Date]])</f>
        <v>2021</v>
      </c>
      <c r="C1431" s="1" t="str">
        <f>+TEXT(Tabla3[[#This Row],[Date]],"mmm")</f>
        <v>oct</v>
      </c>
      <c r="D1431" s="2">
        <v>1793.69995117187</v>
      </c>
      <c r="E1431" s="2">
        <v>1793.69995117187</v>
      </c>
      <c r="F1431" s="2">
        <v>1794.5</v>
      </c>
      <c r="G1431" s="2">
        <v>1760.80004882812</v>
      </c>
      <c r="H1431" s="2">
        <v>1760.80004882812</v>
      </c>
      <c r="I1431">
        <v>150</v>
      </c>
      <c r="J1431" s="2">
        <f ca="1">IFERROR((Tabla3[[#This Row],[Close]]-OFFSET(Tabla3[[#This Row],[Close]],-1,0))/OFFSET(Tabla3[[#This Row],[Close]],-1,0),"")</f>
        <v>2.0133026992374535E-2</v>
      </c>
      <c r="K1431" s="2">
        <f ca="1">IFERROR(AVERAGE(OFFSET(Tabla3[[#This Row],[Close]],-6,0,7)),"")</f>
        <v>1762.9857177734327</v>
      </c>
      <c r="L1431" s="2">
        <f ca="1">IFERROR(_xlfn.STDEV.S(OFFSET(Tabla3[[#This Row],[Close]],-29,0,30)),"")</f>
        <v>25.518577059124873</v>
      </c>
    </row>
    <row r="1432" spans="1:12" x14ac:dyDescent="0.3">
      <c r="A1432" s="1">
        <v>44483</v>
      </c>
      <c r="B1432" s="3">
        <f>YEAR(Tabla3[[#This Row],[Date]])</f>
        <v>2021</v>
      </c>
      <c r="C1432" s="1" t="str">
        <f>+TEXT(Tabla3[[#This Row],[Date]],"mmm")</f>
        <v>oct</v>
      </c>
      <c r="D1432" s="2">
        <v>1796.69995117187</v>
      </c>
      <c r="E1432" s="2">
        <v>1796.69995117187</v>
      </c>
      <c r="F1432" s="2">
        <v>1799.90002441406</v>
      </c>
      <c r="G1432" s="2">
        <v>1792</v>
      </c>
      <c r="H1432" s="2">
        <v>1792.19995117187</v>
      </c>
      <c r="I1432">
        <v>337</v>
      </c>
      <c r="J1432" s="2">
        <f ca="1">IFERROR((Tabla3[[#This Row],[Close]]-OFFSET(Tabla3[[#This Row],[Close]],-1,0))/OFFSET(Tabla3[[#This Row],[Close]],-1,0),"")</f>
        <v>1.6725205339053633E-3</v>
      </c>
      <c r="K1432" s="2">
        <f ca="1">IFERROR(AVERAGE(OFFSET(Tabla3[[#This Row],[Close]],-6,0,7)),"")</f>
        <v>1768.2857142857099</v>
      </c>
      <c r="L1432" s="2">
        <f ca="1">IFERROR(_xlfn.STDEV.S(OFFSET(Tabla3[[#This Row],[Close]],-29,0,30)),"")</f>
        <v>24.770994515881604</v>
      </c>
    </row>
    <row r="1433" spans="1:12" x14ac:dyDescent="0.3">
      <c r="A1433" s="1">
        <v>44484</v>
      </c>
      <c r="B1433" s="3">
        <f>YEAR(Tabla3[[#This Row],[Date]])</f>
        <v>2021</v>
      </c>
      <c r="C1433" s="1" t="str">
        <f>+TEXT(Tabla3[[#This Row],[Date]],"mmm")</f>
        <v>oct</v>
      </c>
      <c r="D1433" s="2">
        <v>1767.19995117187</v>
      </c>
      <c r="E1433" s="2">
        <v>1767.19995117187</v>
      </c>
      <c r="F1433" s="2">
        <v>1795.40002441406</v>
      </c>
      <c r="G1433" s="2">
        <v>1766.59997558593</v>
      </c>
      <c r="H1433" s="2">
        <v>1794.5</v>
      </c>
      <c r="I1433">
        <v>874</v>
      </c>
      <c r="J1433" s="2">
        <f ca="1">IFERROR((Tabla3[[#This Row],[Close]]-OFFSET(Tabla3[[#This Row],[Close]],-1,0))/OFFSET(Tabla3[[#This Row],[Close]],-1,0),"")</f>
        <v>-1.6418990817447885E-2</v>
      </c>
      <c r="K1433" s="2">
        <f ca="1">IFERROR(AVERAGE(OFFSET(Tabla3[[#This Row],[Close]],-6,0,7)),"")</f>
        <v>1769.2428501674055</v>
      </c>
      <c r="L1433" s="2">
        <f ca="1">IFERROR(_xlfn.STDEV.S(OFFSET(Tabla3[[#This Row],[Close]],-29,0,30)),"")</f>
        <v>23.753258620247347</v>
      </c>
    </row>
    <row r="1434" spans="1:12" x14ac:dyDescent="0.3">
      <c r="A1434" s="1">
        <v>44487</v>
      </c>
      <c r="B1434" s="3">
        <f>YEAR(Tabla3[[#This Row],[Date]])</f>
        <v>2021</v>
      </c>
      <c r="C1434" s="1" t="str">
        <f>+TEXT(Tabla3[[#This Row],[Date]],"mmm")</f>
        <v>oct</v>
      </c>
      <c r="D1434" s="2">
        <v>1764.80004882812</v>
      </c>
      <c r="E1434" s="2">
        <v>1764.80004882812</v>
      </c>
      <c r="F1434" s="2">
        <v>1770.09997558593</v>
      </c>
      <c r="G1434" s="2">
        <v>1759.5</v>
      </c>
      <c r="H1434" s="2">
        <v>1761.59997558593</v>
      </c>
      <c r="I1434">
        <v>266</v>
      </c>
      <c r="J1434" s="2">
        <f ca="1">IFERROR((Tabla3[[#This Row],[Close]]-OFFSET(Tabla3[[#This Row],[Close]],-1,0))/OFFSET(Tabla3[[#This Row],[Close]],-1,0),"")</f>
        <v>-1.3580253565300129E-3</v>
      </c>
      <c r="K1434" s="2">
        <f ca="1">IFERROR(AVERAGE(OFFSET(Tabla3[[#This Row],[Close]],-6,0,7)),"")</f>
        <v>1770.2285679408426</v>
      </c>
      <c r="L1434" s="2">
        <f ca="1">IFERROR(_xlfn.STDEV.S(OFFSET(Tabla3[[#This Row],[Close]],-29,0,30)),"")</f>
        <v>20.790687463658454</v>
      </c>
    </row>
    <row r="1435" spans="1:12" x14ac:dyDescent="0.3">
      <c r="A1435" s="1">
        <v>44488</v>
      </c>
      <c r="B1435" s="3">
        <f>YEAR(Tabla3[[#This Row],[Date]])</f>
        <v>2021</v>
      </c>
      <c r="C1435" s="1" t="str">
        <f>+TEXT(Tabla3[[#This Row],[Date]],"mmm")</f>
        <v>oct</v>
      </c>
      <c r="D1435" s="2">
        <v>1769.69995117187</v>
      </c>
      <c r="E1435" s="2">
        <v>1769.69995117187</v>
      </c>
      <c r="F1435" s="2">
        <v>1785</v>
      </c>
      <c r="G1435" s="2">
        <v>1767.5</v>
      </c>
      <c r="H1435" s="2">
        <v>1777.59997558593</v>
      </c>
      <c r="I1435">
        <v>51</v>
      </c>
      <c r="J1435" s="2">
        <f ca="1">IFERROR((Tabla3[[#This Row],[Close]]-OFFSET(Tabla3[[#This Row],[Close]],-1,0))/OFFSET(Tabla3[[#This Row],[Close]],-1,0),"")</f>
        <v>2.7764631732663889E-3</v>
      </c>
      <c r="K1435" s="2">
        <f ca="1">IFERROR(AVERAGE(OFFSET(Tabla3[[#This Row],[Close]],-6,0,7)),"")</f>
        <v>1772.1428397042353</v>
      </c>
      <c r="L1435" s="2">
        <f ca="1">IFERROR(_xlfn.STDEV.S(OFFSET(Tabla3[[#This Row],[Close]],-29,0,30)),"")</f>
        <v>20.108708560393794</v>
      </c>
    </row>
    <row r="1436" spans="1:12" x14ac:dyDescent="0.3">
      <c r="A1436" s="1">
        <v>44489</v>
      </c>
      <c r="B1436" s="3">
        <f>YEAR(Tabla3[[#This Row],[Date]])</f>
        <v>2021</v>
      </c>
      <c r="C1436" s="1" t="str">
        <f>+TEXT(Tabla3[[#This Row],[Date]],"mmm")</f>
        <v>oct</v>
      </c>
      <c r="D1436" s="2">
        <v>1784.09997558593</v>
      </c>
      <c r="E1436" s="2">
        <v>1784.09997558593</v>
      </c>
      <c r="F1436" s="2">
        <v>1785.59997558593</v>
      </c>
      <c r="G1436" s="2">
        <v>1774</v>
      </c>
      <c r="H1436" s="2">
        <v>1774.59997558593</v>
      </c>
      <c r="I1436">
        <v>127</v>
      </c>
      <c r="J1436" s="2">
        <f ca="1">IFERROR((Tabla3[[#This Row],[Close]]-OFFSET(Tabla3[[#This Row],[Close]],-1,0))/OFFSET(Tabla3[[#This Row],[Close]],-1,0),"")</f>
        <v>8.1369863882996152E-3</v>
      </c>
      <c r="K1436" s="2">
        <f ca="1">IFERROR(AVERAGE(OFFSET(Tabla3[[#This Row],[Close]],-6,0,7)),"")</f>
        <v>1776.3571254185213</v>
      </c>
      <c r="L1436" s="2">
        <f ca="1">IFERROR(_xlfn.STDEV.S(OFFSET(Tabla3[[#This Row],[Close]],-29,0,30)),"")</f>
        <v>19.874386606812877</v>
      </c>
    </row>
    <row r="1437" spans="1:12" x14ac:dyDescent="0.3">
      <c r="A1437" s="1">
        <v>44490</v>
      </c>
      <c r="B1437" s="3">
        <f>YEAR(Tabla3[[#This Row],[Date]])</f>
        <v>2021</v>
      </c>
      <c r="C1437" s="1" t="str">
        <f>+TEXT(Tabla3[[#This Row],[Date]],"mmm")</f>
        <v>oct</v>
      </c>
      <c r="D1437" s="2">
        <v>1781.19995117187</v>
      </c>
      <c r="E1437" s="2">
        <v>1781.19995117187</v>
      </c>
      <c r="F1437" s="2">
        <v>1785.69995117187</v>
      </c>
      <c r="G1437" s="2">
        <v>1781</v>
      </c>
      <c r="H1437" s="2">
        <v>1782</v>
      </c>
      <c r="I1437">
        <v>146</v>
      </c>
      <c r="J1437" s="2">
        <f ca="1">IFERROR((Tabla3[[#This Row],[Close]]-OFFSET(Tabla3[[#This Row],[Close]],-1,0))/OFFSET(Tabla3[[#This Row],[Close]],-1,0),"")</f>
        <v>-1.6254831308472944E-3</v>
      </c>
      <c r="K1437" s="2">
        <f ca="1">IFERROR(AVERAGE(OFFSET(Tabla3[[#This Row],[Close]],-6,0,7)),"")</f>
        <v>1779.628540039057</v>
      </c>
      <c r="L1437" s="2">
        <f ca="1">IFERROR(_xlfn.STDEV.S(OFFSET(Tabla3[[#This Row],[Close]],-29,0,30)),"")</f>
        <v>19.221011194811592</v>
      </c>
    </row>
    <row r="1438" spans="1:12" x14ac:dyDescent="0.3">
      <c r="A1438" s="1">
        <v>44491</v>
      </c>
      <c r="B1438" s="3">
        <f>YEAR(Tabla3[[#This Row],[Date]])</f>
        <v>2021</v>
      </c>
      <c r="C1438" s="1" t="str">
        <f>+TEXT(Tabla3[[#This Row],[Date]],"mmm")</f>
        <v>oct</v>
      </c>
      <c r="D1438" s="2">
        <v>1795.5</v>
      </c>
      <c r="E1438" s="2">
        <v>1795.5</v>
      </c>
      <c r="F1438" s="2">
        <v>1806.90002441406</v>
      </c>
      <c r="G1438" s="2">
        <v>1784</v>
      </c>
      <c r="H1438" s="2">
        <v>1787.09997558593</v>
      </c>
      <c r="I1438">
        <v>532</v>
      </c>
      <c r="J1438" s="2">
        <f ca="1">IFERROR((Tabla3[[#This Row],[Close]]-OFFSET(Tabla3[[#This Row],[Close]],-1,0))/OFFSET(Tabla3[[#This Row],[Close]],-1,0),"")</f>
        <v>8.0283231642364755E-3</v>
      </c>
      <c r="K1438" s="2">
        <f ca="1">IFERROR(AVERAGE(OFFSET(Tabla3[[#This Row],[Close]],-6,0,7)),"")</f>
        <v>1779.8856898716472</v>
      </c>
      <c r="L1438" s="2">
        <f ca="1">IFERROR(_xlfn.STDEV.S(OFFSET(Tabla3[[#This Row],[Close]],-29,0,30)),"")</f>
        <v>19.497245693910639</v>
      </c>
    </row>
    <row r="1439" spans="1:12" x14ac:dyDescent="0.3">
      <c r="A1439" s="1">
        <v>44494</v>
      </c>
      <c r="B1439" s="3">
        <f>YEAR(Tabla3[[#This Row],[Date]])</f>
        <v>2021</v>
      </c>
      <c r="C1439" s="1" t="str">
        <f>+TEXT(Tabla3[[#This Row],[Date]],"mmm")</f>
        <v>oct</v>
      </c>
      <c r="D1439" s="2">
        <v>1806</v>
      </c>
      <c r="E1439" s="2">
        <v>1806</v>
      </c>
      <c r="F1439" s="2">
        <v>1809</v>
      </c>
      <c r="G1439" s="2">
        <v>1794</v>
      </c>
      <c r="H1439" s="2">
        <v>1794.30004882812</v>
      </c>
      <c r="I1439">
        <v>140</v>
      </c>
      <c r="J1439" s="2">
        <f ca="1">IFERROR((Tabla3[[#This Row],[Close]]-OFFSET(Tabla3[[#This Row],[Close]],-1,0))/OFFSET(Tabla3[[#This Row],[Close]],-1,0),"")</f>
        <v>5.8479532163742687E-3</v>
      </c>
      <c r="K1439" s="2">
        <f ca="1">IFERROR(AVERAGE(OFFSET(Tabla3[[#This Row],[Close]],-6,0,7)),"")</f>
        <v>1781.2142682756657</v>
      </c>
      <c r="L1439" s="2">
        <f ca="1">IFERROR(_xlfn.STDEV.S(OFFSET(Tabla3[[#This Row],[Close]],-29,0,30)),"")</f>
        <v>20.283702170261584</v>
      </c>
    </row>
    <row r="1440" spans="1:12" x14ac:dyDescent="0.3">
      <c r="A1440" s="1">
        <v>44495</v>
      </c>
      <c r="B1440" s="3">
        <f>YEAR(Tabla3[[#This Row],[Date]])</f>
        <v>2021</v>
      </c>
      <c r="C1440" s="1" t="str">
        <f>+TEXT(Tabla3[[#This Row],[Date]],"mmm")</f>
        <v>oct</v>
      </c>
      <c r="D1440" s="2">
        <v>1792.69995117187</v>
      </c>
      <c r="E1440" s="2">
        <v>1792.69995117187</v>
      </c>
      <c r="F1440" s="2">
        <v>1808.80004882812</v>
      </c>
      <c r="G1440" s="2">
        <v>1788.59997558593</v>
      </c>
      <c r="H1440" s="2">
        <v>1808.80004882812</v>
      </c>
      <c r="I1440">
        <v>359</v>
      </c>
      <c r="J1440" s="2">
        <f ca="1">IFERROR((Tabla3[[#This Row],[Close]]-OFFSET(Tabla3[[#This Row],[Close]],-1,0))/OFFSET(Tabla3[[#This Row],[Close]],-1,0),"")</f>
        <v>-7.364368121888152E-3</v>
      </c>
      <c r="K1440" s="2">
        <f ca="1">IFERROR(AVERAGE(OFFSET(Tabla3[[#This Row],[Close]],-6,0,7)),"")</f>
        <v>1784.8571254185229</v>
      </c>
      <c r="L1440" s="2">
        <f ca="1">IFERROR(_xlfn.STDEV.S(OFFSET(Tabla3[[#This Row],[Close]],-29,0,30)),"")</f>
        <v>19.618560559448884</v>
      </c>
    </row>
    <row r="1441" spans="1:12" x14ac:dyDescent="0.3">
      <c r="A1441" s="1">
        <v>44496</v>
      </c>
      <c r="B1441" s="3">
        <f>YEAR(Tabla3[[#This Row],[Date]])</f>
        <v>2021</v>
      </c>
      <c r="C1441" s="1" t="str">
        <f>+TEXT(Tabla3[[#This Row],[Date]],"mmm")</f>
        <v>oct</v>
      </c>
      <c r="D1441" s="2">
        <v>1797.90002441406</v>
      </c>
      <c r="E1441" s="2">
        <v>1797.90002441406</v>
      </c>
      <c r="F1441" s="2">
        <v>1798.09997558593</v>
      </c>
      <c r="G1441" s="2">
        <v>1791.5</v>
      </c>
      <c r="H1441" s="2">
        <v>1791.5</v>
      </c>
      <c r="I1441">
        <v>543</v>
      </c>
      <c r="J1441" s="2">
        <f ca="1">IFERROR((Tabla3[[#This Row],[Close]]-OFFSET(Tabla3[[#This Row],[Close]],-1,0))/OFFSET(Tabla3[[#This Row],[Close]],-1,0),"")</f>
        <v>2.900693581650831E-3</v>
      </c>
      <c r="K1441" s="2">
        <f ca="1">IFERROR(AVERAGE(OFFSET(Tabla3[[#This Row],[Close]],-6,0,7)),"")</f>
        <v>1789.5856933593714</v>
      </c>
      <c r="L1441" s="2">
        <f ca="1">IFERROR(_xlfn.STDEV.S(OFFSET(Tabla3[[#This Row],[Close]],-29,0,30)),"")</f>
        <v>19.8933896923558</v>
      </c>
    </row>
    <row r="1442" spans="1:12" x14ac:dyDescent="0.3">
      <c r="A1442" s="1">
        <v>44497</v>
      </c>
      <c r="B1442" s="3">
        <f>YEAR(Tabla3[[#This Row],[Date]])</f>
        <v>2021</v>
      </c>
      <c r="C1442" s="1" t="str">
        <f>+TEXT(Tabla3[[#This Row],[Date]],"mmm")</f>
        <v>oct</v>
      </c>
      <c r="D1442" s="2">
        <v>1801.59997558593</v>
      </c>
      <c r="E1442" s="2">
        <v>1801.59997558593</v>
      </c>
      <c r="F1442" s="2">
        <v>1807.30004882812</v>
      </c>
      <c r="G1442" s="2">
        <v>1795.5</v>
      </c>
      <c r="H1442" s="2">
        <v>1795.5</v>
      </c>
      <c r="I1442">
        <v>452</v>
      </c>
      <c r="J1442" s="2">
        <f ca="1">IFERROR((Tabla3[[#This Row],[Close]]-OFFSET(Tabla3[[#This Row],[Close]],-1,0))/OFFSET(Tabla3[[#This Row],[Close]],-1,0),"")</f>
        <v>2.0579293184423983E-3</v>
      </c>
      <c r="K1442" s="2">
        <f ca="1">IFERROR(AVERAGE(OFFSET(Tabla3[[#This Row],[Close]],-6,0,7)),"")</f>
        <v>1794.1428397042371</v>
      </c>
      <c r="L1442" s="2">
        <f ca="1">IFERROR(_xlfn.STDEV.S(OFFSET(Tabla3[[#This Row],[Close]],-29,0,30)),"")</f>
        <v>20.747059099439642</v>
      </c>
    </row>
    <row r="1443" spans="1:12" x14ac:dyDescent="0.3">
      <c r="A1443" s="1">
        <v>44498</v>
      </c>
      <c r="B1443" s="3">
        <f>YEAR(Tabla3[[#This Row],[Date]])</f>
        <v>2021</v>
      </c>
      <c r="C1443" s="1" t="str">
        <f>+TEXT(Tabla3[[#This Row],[Date]],"mmm")</f>
        <v>oct</v>
      </c>
      <c r="D1443" s="2">
        <v>1783</v>
      </c>
      <c r="E1443" s="2">
        <v>1783</v>
      </c>
      <c r="F1443" s="2">
        <v>1797</v>
      </c>
      <c r="G1443" s="2">
        <v>1774.59997558593</v>
      </c>
      <c r="H1443" s="2">
        <v>1793.09997558593</v>
      </c>
      <c r="I1443">
        <v>583</v>
      </c>
      <c r="J1443" s="2">
        <f ca="1">IFERROR((Tabla3[[#This Row],[Close]]-OFFSET(Tabla3[[#This Row],[Close]],-1,0))/OFFSET(Tabla3[[#This Row],[Close]],-1,0),"")</f>
        <v>-1.0324142894085448E-2</v>
      </c>
      <c r="K1443" s="2">
        <f ca="1">IFERROR(AVERAGE(OFFSET(Tabla3[[#This Row],[Close]],-6,0,7)),"")</f>
        <v>1793.9857003348186</v>
      </c>
      <c r="L1443" s="2">
        <f ca="1">IFERROR(_xlfn.STDEV.S(OFFSET(Tabla3[[#This Row],[Close]],-29,0,30)),"")</f>
        <v>20.604725638802954</v>
      </c>
    </row>
    <row r="1444" spans="1:12" x14ac:dyDescent="0.3">
      <c r="A1444" s="1">
        <v>44501</v>
      </c>
      <c r="B1444" s="3">
        <f>YEAR(Tabla3[[#This Row],[Date]])</f>
        <v>2021</v>
      </c>
      <c r="C1444" s="1" t="str">
        <f>+TEXT(Tabla3[[#This Row],[Date]],"mmm")</f>
        <v>nov</v>
      </c>
      <c r="D1444" s="2">
        <v>1795.09997558593</v>
      </c>
      <c r="E1444" s="2">
        <v>1795.09997558593</v>
      </c>
      <c r="F1444" s="2">
        <v>1795.09997558593</v>
      </c>
      <c r="G1444" s="2">
        <v>1786.69995117187</v>
      </c>
      <c r="H1444" s="2">
        <v>1787.5</v>
      </c>
      <c r="I1444">
        <v>142</v>
      </c>
      <c r="J1444" s="2">
        <f ca="1">IFERROR((Tabla3[[#This Row],[Close]]-OFFSET(Tabla3[[#This Row],[Close]],-1,0))/OFFSET(Tabla3[[#This Row],[Close]],-1,0),"")</f>
        <v>6.7863015064105418E-3</v>
      </c>
      <c r="K1444" s="2">
        <f ca="1">IFERROR(AVERAGE(OFFSET(Tabla3[[#This Row],[Close]],-6,0,7)),"")</f>
        <v>1795.9714181082556</v>
      </c>
      <c r="L1444" s="2">
        <f ca="1">IFERROR(_xlfn.STDEV.S(OFFSET(Tabla3[[#This Row],[Close]],-29,0,30)),"")</f>
        <v>21.078272861672698</v>
      </c>
    </row>
    <row r="1445" spans="1:12" x14ac:dyDescent="0.3">
      <c r="A1445" s="1">
        <v>44502</v>
      </c>
      <c r="B1445" s="3">
        <f>YEAR(Tabla3[[#This Row],[Date]])</f>
        <v>2021</v>
      </c>
      <c r="C1445" s="1" t="str">
        <f>+TEXT(Tabla3[[#This Row],[Date]],"mmm")</f>
        <v>nov</v>
      </c>
      <c r="D1445" s="2">
        <v>1788.69995117187</v>
      </c>
      <c r="E1445" s="2">
        <v>1788.69995117187</v>
      </c>
      <c r="F1445" s="2">
        <v>1795.5</v>
      </c>
      <c r="G1445" s="2">
        <v>1787.69995117187</v>
      </c>
      <c r="H1445" s="2">
        <v>1790.5</v>
      </c>
      <c r="I1445">
        <v>213</v>
      </c>
      <c r="J1445" s="2">
        <f ca="1">IFERROR((Tabla3[[#This Row],[Close]]-OFFSET(Tabla3[[#This Row],[Close]],-1,0))/OFFSET(Tabla3[[#This Row],[Close]],-1,0),"")</f>
        <v>-3.5652746371248752E-3</v>
      </c>
      <c r="K1445" s="2">
        <f ca="1">IFERROR(AVERAGE(OFFSET(Tabla3[[#This Row],[Close]],-6,0,7)),"")</f>
        <v>1794.99998256138</v>
      </c>
      <c r="L1445" s="2">
        <f ca="1">IFERROR(_xlfn.STDEV.S(OFFSET(Tabla3[[#This Row],[Close]],-29,0,30)),"")</f>
        <v>21.320552015154497</v>
      </c>
    </row>
    <row r="1446" spans="1:12" x14ac:dyDescent="0.3">
      <c r="A1446" s="1">
        <v>44503</v>
      </c>
      <c r="B1446" s="3">
        <f>YEAR(Tabla3[[#This Row],[Date]])</f>
        <v>2021</v>
      </c>
      <c r="C1446" s="1" t="str">
        <f>+TEXT(Tabla3[[#This Row],[Date]],"mmm")</f>
        <v>nov</v>
      </c>
      <c r="D1446" s="2">
        <v>1763.59997558593</v>
      </c>
      <c r="E1446" s="2">
        <v>1763.59997558593</v>
      </c>
      <c r="F1446" s="2">
        <v>1768</v>
      </c>
      <c r="G1446" s="2">
        <v>1761.80004882812</v>
      </c>
      <c r="H1446" s="2">
        <v>1768</v>
      </c>
      <c r="I1446">
        <v>108</v>
      </c>
      <c r="J1446" s="2">
        <f ca="1">IFERROR((Tabla3[[#This Row],[Close]]-OFFSET(Tabla3[[#This Row],[Close]],-1,0))/OFFSET(Tabla3[[#This Row],[Close]],-1,0),"")</f>
        <v>-1.4032524331146601E-2</v>
      </c>
      <c r="K1446" s="2">
        <f ca="1">IFERROR(AVERAGE(OFFSET(Tabla3[[#This Row],[Close]],-6,0,7)),"")</f>
        <v>1788.9428362165129</v>
      </c>
      <c r="L1446" s="2">
        <f ca="1">IFERROR(_xlfn.STDEV.S(OFFSET(Tabla3[[#This Row],[Close]],-29,0,30)),"")</f>
        <v>21.330402324397625</v>
      </c>
    </row>
    <row r="1447" spans="1:12" x14ac:dyDescent="0.3">
      <c r="A1447" s="1">
        <v>44504</v>
      </c>
      <c r="B1447" s="3">
        <f>YEAR(Tabla3[[#This Row],[Date]])</f>
        <v>2021</v>
      </c>
      <c r="C1447" s="1" t="str">
        <f>+TEXT(Tabla3[[#This Row],[Date]],"mmm")</f>
        <v>nov</v>
      </c>
      <c r="D1447" s="2">
        <v>1793</v>
      </c>
      <c r="E1447" s="2">
        <v>1793</v>
      </c>
      <c r="F1447" s="2">
        <v>1798.19995117187</v>
      </c>
      <c r="G1447" s="2">
        <v>1776.19995117187</v>
      </c>
      <c r="H1447" s="2">
        <v>1776.59997558593</v>
      </c>
      <c r="I1447">
        <v>103</v>
      </c>
      <c r="J1447" s="2">
        <f ca="1">IFERROR((Tabla3[[#This Row],[Close]]-OFFSET(Tabla3[[#This Row],[Close]],-1,0))/OFFSET(Tabla3[[#This Row],[Close]],-1,0),"")</f>
        <v>1.6670460887425607E-2</v>
      </c>
      <c r="K1447" s="2">
        <f ca="1">IFERROR(AVERAGE(OFFSET(Tabla3[[#This Row],[Close]],-6,0,7)),"")</f>
        <v>1788.9857003348172</v>
      </c>
      <c r="L1447" s="2">
        <f ca="1">IFERROR(_xlfn.STDEV.S(OFFSET(Tabla3[[#This Row],[Close]],-29,0,30)),"")</f>
        <v>21.271612542502726</v>
      </c>
    </row>
    <row r="1448" spans="1:12" x14ac:dyDescent="0.3">
      <c r="A1448" s="1">
        <v>44505</v>
      </c>
      <c r="B1448" s="3">
        <f>YEAR(Tabla3[[#This Row],[Date]])</f>
        <v>2021</v>
      </c>
      <c r="C1448" s="1" t="str">
        <f>+TEXT(Tabla3[[#This Row],[Date]],"mmm")</f>
        <v>nov</v>
      </c>
      <c r="D1448" s="2">
        <v>1816.40002441406</v>
      </c>
      <c r="E1448" s="2">
        <v>1816.40002441406</v>
      </c>
      <c r="F1448" s="2">
        <v>1817.09997558593</v>
      </c>
      <c r="G1448" s="2">
        <v>1794.90002441406</v>
      </c>
      <c r="H1448" s="2">
        <v>1794.90002441406</v>
      </c>
      <c r="I1448">
        <v>239</v>
      </c>
      <c r="J1448" s="2">
        <f ca="1">IFERROR((Tabla3[[#This Row],[Close]]-OFFSET(Tabla3[[#This Row],[Close]],-1,0))/OFFSET(Tabla3[[#This Row],[Close]],-1,0),"")</f>
        <v>1.3050766544372559E-2</v>
      </c>
      <c r="K1448" s="2">
        <f ca="1">IFERROR(AVERAGE(OFFSET(Tabla3[[#This Row],[Close]],-6,0,7)),"")</f>
        <v>1791.6285574776743</v>
      </c>
      <c r="L1448" s="2">
        <f ca="1">IFERROR(_xlfn.STDEV.S(OFFSET(Tabla3[[#This Row],[Close]],-29,0,30)),"")</f>
        <v>22.329961949164055</v>
      </c>
    </row>
    <row r="1449" spans="1:12" x14ac:dyDescent="0.3">
      <c r="A1449" s="1">
        <v>44508</v>
      </c>
      <c r="B1449" s="3">
        <f>YEAR(Tabla3[[#This Row],[Date]])</f>
        <v>2021</v>
      </c>
      <c r="C1449" s="1" t="str">
        <f>+TEXT(Tabla3[[#This Row],[Date]],"mmm")</f>
        <v>nov</v>
      </c>
      <c r="D1449" s="2">
        <v>1827.40002441406</v>
      </c>
      <c r="E1449" s="2">
        <v>1827.40002441406</v>
      </c>
      <c r="F1449" s="2">
        <v>1827.40002441406</v>
      </c>
      <c r="G1449" s="2">
        <v>1816.90002441406</v>
      </c>
      <c r="H1449" s="2">
        <v>1817</v>
      </c>
      <c r="I1449">
        <v>261</v>
      </c>
      <c r="J1449" s="2">
        <f ca="1">IFERROR((Tabla3[[#This Row],[Close]]-OFFSET(Tabla3[[#This Row],[Close]],-1,0))/OFFSET(Tabla3[[#This Row],[Close]],-1,0),"")</f>
        <v>6.0559347347225534E-3</v>
      </c>
      <c r="K1449" s="2">
        <f ca="1">IFERROR(AVERAGE(OFFSET(Tabla3[[#This Row],[Close]],-6,0,7)),"")</f>
        <v>1795.3142787388358</v>
      </c>
      <c r="L1449" s="2">
        <f ca="1">IFERROR(_xlfn.STDEV.S(OFFSET(Tabla3[[#This Row],[Close]],-29,0,30)),"")</f>
        <v>23.864514435317126</v>
      </c>
    </row>
    <row r="1450" spans="1:12" x14ac:dyDescent="0.3">
      <c r="A1450" s="1">
        <v>44509</v>
      </c>
      <c r="B1450" s="3">
        <f>YEAR(Tabla3[[#This Row],[Date]])</f>
        <v>2021</v>
      </c>
      <c r="C1450" s="1" t="str">
        <f>+TEXT(Tabla3[[#This Row],[Date]],"mmm")</f>
        <v>nov</v>
      </c>
      <c r="D1450" s="2">
        <v>1830.19995117187</v>
      </c>
      <c r="E1450" s="2">
        <v>1830.19995117187</v>
      </c>
      <c r="F1450" s="2">
        <v>1832.69995117187</v>
      </c>
      <c r="G1450" s="2">
        <v>1820.69995117187</v>
      </c>
      <c r="H1450" s="2">
        <v>1826.09997558593</v>
      </c>
      <c r="I1450">
        <v>170</v>
      </c>
      <c r="J1450" s="2">
        <f ca="1">IFERROR((Tabla3[[#This Row],[Close]]-OFFSET(Tabla3[[#This Row],[Close]],-1,0))/OFFSET(Tabla3[[#This Row],[Close]],-1,0),"")</f>
        <v>1.5321914853907103E-3</v>
      </c>
      <c r="K1450" s="2">
        <f ca="1">IFERROR(AVERAGE(OFFSET(Tabla3[[#This Row],[Close]],-6,0,7)),"")</f>
        <v>1802.0571289062459</v>
      </c>
      <c r="L1450" s="2">
        <f ca="1">IFERROR(_xlfn.STDEV.S(OFFSET(Tabla3[[#This Row],[Close]],-29,0,30)),"")</f>
        <v>24.499432582922367</v>
      </c>
    </row>
    <row r="1451" spans="1:12" x14ac:dyDescent="0.3">
      <c r="A1451" s="1">
        <v>44510</v>
      </c>
      <c r="B1451" s="3">
        <f>YEAR(Tabla3[[#This Row],[Date]])</f>
        <v>2021</v>
      </c>
      <c r="C1451" s="1" t="str">
        <f>+TEXT(Tabla3[[#This Row],[Date]],"mmm")</f>
        <v>nov</v>
      </c>
      <c r="D1451" s="2">
        <v>1847.59997558593</v>
      </c>
      <c r="E1451" s="2">
        <v>1847.59997558593</v>
      </c>
      <c r="F1451" s="2">
        <v>1865</v>
      </c>
      <c r="G1451" s="2">
        <v>1824.90002441406</v>
      </c>
      <c r="H1451" s="2">
        <v>1825.80004882812</v>
      </c>
      <c r="I1451">
        <v>795</v>
      </c>
      <c r="J1451" s="2">
        <f ca="1">IFERROR((Tabla3[[#This Row],[Close]]-OFFSET(Tabla3[[#This Row],[Close]],-1,0))/OFFSET(Tabla3[[#This Row],[Close]],-1,0),"")</f>
        <v>9.50717128088591E-3</v>
      </c>
      <c r="K1451" s="2">
        <f ca="1">IFERROR(AVERAGE(OFFSET(Tabla3[[#This Row],[Close]],-6,0,7)),"")</f>
        <v>1809.5571289062457</v>
      </c>
      <c r="L1451" s="2">
        <f ca="1">IFERROR(_xlfn.STDEV.S(OFFSET(Tabla3[[#This Row],[Close]],-29,0,30)),"")</f>
        <v>24.955174574558914</v>
      </c>
    </row>
    <row r="1452" spans="1:12" x14ac:dyDescent="0.3">
      <c r="A1452" s="1">
        <v>44511</v>
      </c>
      <c r="B1452" s="3">
        <f>YEAR(Tabla3[[#This Row],[Date]])</f>
        <v>2021</v>
      </c>
      <c r="C1452" s="1" t="str">
        <f>+TEXT(Tabla3[[#This Row],[Date]],"mmm")</f>
        <v>nov</v>
      </c>
      <c r="D1452" s="2">
        <v>1863.19995117187</v>
      </c>
      <c r="E1452" s="2">
        <v>1863.19995117187</v>
      </c>
      <c r="F1452" s="2">
        <v>1866.5</v>
      </c>
      <c r="G1452" s="2">
        <v>1853.90002441406</v>
      </c>
      <c r="H1452" s="2">
        <v>1853.90002441406</v>
      </c>
      <c r="I1452">
        <v>292</v>
      </c>
      <c r="J1452" s="2">
        <f ca="1">IFERROR((Tabla3[[#This Row],[Close]]-OFFSET(Tabla3[[#This Row],[Close]],-1,0))/OFFSET(Tabla3[[#This Row],[Close]],-1,0),"")</f>
        <v>8.4433729119274183E-3</v>
      </c>
      <c r="K1452" s="2">
        <f ca="1">IFERROR(AVERAGE(OFFSET(Tabla3[[#This Row],[Close]],-6,0,7)),"")</f>
        <v>1820.1999860491028</v>
      </c>
      <c r="L1452" s="2">
        <f ca="1">IFERROR(_xlfn.STDEV.S(OFFSET(Tabla3[[#This Row],[Close]],-29,0,30)),"")</f>
        <v>28.228123134752181</v>
      </c>
    </row>
    <row r="1453" spans="1:12" x14ac:dyDescent="0.3">
      <c r="A1453" s="1">
        <v>44512</v>
      </c>
      <c r="B1453" s="3">
        <f>YEAR(Tabla3[[#This Row],[Date]])</f>
        <v>2021</v>
      </c>
      <c r="C1453" s="1" t="str">
        <f>+TEXT(Tabla3[[#This Row],[Date]],"mmm")</f>
        <v>nov</v>
      </c>
      <c r="D1453" s="2">
        <v>1867.90002441406</v>
      </c>
      <c r="E1453" s="2">
        <v>1867.90002441406</v>
      </c>
      <c r="F1453" s="2">
        <v>1867.90002441406</v>
      </c>
      <c r="G1453" s="2">
        <v>1847.59997558593</v>
      </c>
      <c r="H1453" s="2">
        <v>1860.80004882812</v>
      </c>
      <c r="I1453">
        <v>210</v>
      </c>
      <c r="J1453" s="2">
        <f ca="1">IFERROR((Tabla3[[#This Row],[Close]]-OFFSET(Tabla3[[#This Row],[Close]],-1,0))/OFFSET(Tabla3[[#This Row],[Close]],-1,0),"")</f>
        <v>2.5225812394605654E-3</v>
      </c>
      <c r="K1453" s="2">
        <f ca="1">IFERROR(AVERAGE(OFFSET(Tabla3[[#This Row],[Close]],-6,0,7)),"")</f>
        <v>1835.09999302455</v>
      </c>
      <c r="L1453" s="2">
        <f ca="1">IFERROR(_xlfn.STDEV.S(OFFSET(Tabla3[[#This Row],[Close]],-29,0,30)),"")</f>
        <v>31.181995767764363</v>
      </c>
    </row>
    <row r="1454" spans="1:12" x14ac:dyDescent="0.3">
      <c r="A1454" s="1">
        <v>44515</v>
      </c>
      <c r="B1454" s="3">
        <f>YEAR(Tabla3[[#This Row],[Date]])</f>
        <v>2021</v>
      </c>
      <c r="C1454" s="1" t="str">
        <f>+TEXT(Tabla3[[#This Row],[Date]],"mmm")</f>
        <v>nov</v>
      </c>
      <c r="D1454" s="2">
        <v>1866.09997558593</v>
      </c>
      <c r="E1454" s="2">
        <v>1866.09997558593</v>
      </c>
      <c r="F1454" s="2">
        <v>1866.90002441406</v>
      </c>
      <c r="G1454" s="2">
        <v>1864.5</v>
      </c>
      <c r="H1454" s="2">
        <v>1864.5</v>
      </c>
      <c r="I1454">
        <v>87</v>
      </c>
      <c r="J1454" s="2">
        <f ca="1">IFERROR((Tabla3[[#This Row],[Close]]-OFFSET(Tabla3[[#This Row],[Close]],-1,0))/OFFSET(Tabla3[[#This Row],[Close]],-1,0),"")</f>
        <v>-9.6367514567309782E-4</v>
      </c>
      <c r="K1454" s="2">
        <f ca="1">IFERROR(AVERAGE(OFFSET(Tabla3[[#This Row],[Close]],-6,0,7)),"")</f>
        <v>1845.5428466796832</v>
      </c>
      <c r="L1454" s="2">
        <f ca="1">IFERROR(_xlfn.STDEV.S(OFFSET(Tabla3[[#This Row],[Close]],-29,0,30)),"")</f>
        <v>33.640540133947759</v>
      </c>
    </row>
    <row r="1455" spans="1:12" x14ac:dyDescent="0.3">
      <c r="A1455" s="1">
        <v>44516</v>
      </c>
      <c r="B1455" s="3">
        <f>YEAR(Tabla3[[#This Row],[Date]])</f>
        <v>2021</v>
      </c>
      <c r="C1455" s="1" t="str">
        <f>+TEXT(Tabla3[[#This Row],[Date]],"mmm")</f>
        <v>nov</v>
      </c>
      <c r="D1455" s="2">
        <v>1853.59997558593</v>
      </c>
      <c r="E1455" s="2">
        <v>1853.59997558593</v>
      </c>
      <c r="F1455" s="2">
        <v>1853.59997558593</v>
      </c>
      <c r="G1455" s="2">
        <v>1853.59997558593</v>
      </c>
      <c r="H1455" s="2">
        <v>1853.59997558593</v>
      </c>
      <c r="I1455">
        <v>1</v>
      </c>
      <c r="J1455" s="2">
        <f ca="1">IFERROR((Tabla3[[#This Row],[Close]]-OFFSET(Tabla3[[#This Row],[Close]],-1,0))/OFFSET(Tabla3[[#This Row],[Close]],-1,0),"")</f>
        <v>-6.698462120752759E-3</v>
      </c>
      <c r="K1455" s="2">
        <f ca="1">IFERROR(AVERAGE(OFFSET(Tabla3[[#This Row],[Close]],-6,0,7)),"")</f>
        <v>1850.8571254185215</v>
      </c>
      <c r="L1455" s="2">
        <f ca="1">IFERROR(_xlfn.STDEV.S(OFFSET(Tabla3[[#This Row],[Close]],-29,0,30)),"")</f>
        <v>34.623437337916506</v>
      </c>
    </row>
    <row r="1456" spans="1:12" x14ac:dyDescent="0.3">
      <c r="A1456" s="1">
        <v>44517</v>
      </c>
      <c r="B1456" s="3">
        <f>YEAR(Tabla3[[#This Row],[Date]])</f>
        <v>2021</v>
      </c>
      <c r="C1456" s="1" t="str">
        <f>+TEXT(Tabla3[[#This Row],[Date]],"mmm")</f>
        <v>nov</v>
      </c>
      <c r="D1456" s="2">
        <v>1869.69995117187</v>
      </c>
      <c r="E1456" s="2">
        <v>1869.69995117187</v>
      </c>
      <c r="F1456" s="2">
        <v>1869.69995117187</v>
      </c>
      <c r="G1456" s="2">
        <v>1862.59997558593</v>
      </c>
      <c r="H1456" s="2">
        <v>1862.59997558593</v>
      </c>
      <c r="I1456">
        <v>2</v>
      </c>
      <c r="J1456" s="2">
        <f ca="1">IFERROR((Tabla3[[#This Row],[Close]]-OFFSET(Tabla3[[#This Row],[Close]],-1,0))/OFFSET(Tabla3[[#This Row],[Close]],-1,0),"")</f>
        <v>8.6857875474727168E-3</v>
      </c>
      <c r="K1456" s="2">
        <f ca="1">IFERROR(AVERAGE(OFFSET(Tabla3[[#This Row],[Close]],-6,0,7)),"")</f>
        <v>1856.8999720982083</v>
      </c>
      <c r="L1456" s="2">
        <f ca="1">IFERROR(_xlfn.STDEV.S(OFFSET(Tabla3[[#This Row],[Close]],-29,0,30)),"")</f>
        <v>36.26619874993095</v>
      </c>
    </row>
    <row r="1457" spans="1:12" x14ac:dyDescent="0.3">
      <c r="A1457" s="1">
        <v>44518</v>
      </c>
      <c r="B1457" s="3">
        <f>YEAR(Tabla3[[#This Row],[Date]])</f>
        <v>2021</v>
      </c>
      <c r="C1457" s="1" t="str">
        <f>+TEXT(Tabla3[[#This Row],[Date]],"mmm")</f>
        <v>nov</v>
      </c>
      <c r="D1457" s="2">
        <v>1861</v>
      </c>
      <c r="E1457" s="2">
        <v>1861</v>
      </c>
      <c r="F1457" s="2">
        <v>1861</v>
      </c>
      <c r="G1457" s="2">
        <v>1861</v>
      </c>
      <c r="H1457" s="2">
        <v>1861</v>
      </c>
      <c r="I1457">
        <v>9</v>
      </c>
      <c r="J1457" s="2">
        <f ca="1">IFERROR((Tabla3[[#This Row],[Close]]-OFFSET(Tabla3[[#This Row],[Close]],-1,0))/OFFSET(Tabla3[[#This Row],[Close]],-1,0),"")</f>
        <v>-4.6531269182614769E-3</v>
      </c>
      <c r="K1457" s="2">
        <f ca="1">IFERROR(AVERAGE(OFFSET(Tabla3[[#This Row],[Close]],-6,0,7)),"")</f>
        <v>1861.2999790736555</v>
      </c>
      <c r="L1457" s="2">
        <f ca="1">IFERROR(_xlfn.STDEV.S(OFFSET(Tabla3[[#This Row],[Close]],-29,0,30)),"")</f>
        <v>36.876208631794256</v>
      </c>
    </row>
    <row r="1458" spans="1:12" x14ac:dyDescent="0.3">
      <c r="A1458" s="1">
        <v>44519</v>
      </c>
      <c r="B1458" s="3">
        <f>YEAR(Tabla3[[#This Row],[Date]])</f>
        <v>2021</v>
      </c>
      <c r="C1458" s="1" t="str">
        <f>+TEXT(Tabla3[[#This Row],[Date]],"mmm")</f>
        <v>nov</v>
      </c>
      <c r="D1458" s="2">
        <v>1851.19995117187</v>
      </c>
      <c r="E1458" s="2">
        <v>1851.19995117187</v>
      </c>
      <c r="F1458" s="2">
        <v>1851.19995117187</v>
      </c>
      <c r="G1458" s="2">
        <v>1851.19995117187</v>
      </c>
      <c r="H1458" s="2">
        <v>1851.19995117187</v>
      </c>
      <c r="I1458">
        <v>21</v>
      </c>
      <c r="J1458" s="2">
        <f ca="1">IFERROR((Tabla3[[#This Row],[Close]]-OFFSET(Tabla3[[#This Row],[Close]],-1,0))/OFFSET(Tabla3[[#This Row],[Close]],-1,0),"")</f>
        <v>-5.2660122665932306E-3</v>
      </c>
      <c r="K1458" s="2">
        <f ca="1">IFERROR(AVERAGE(OFFSET(Tabla3[[#This Row],[Close]],-6,0,7)),"")</f>
        <v>1861.8142613002185</v>
      </c>
      <c r="L1458" s="2">
        <f ca="1">IFERROR(_xlfn.STDEV.S(OFFSET(Tabla3[[#This Row],[Close]],-29,0,30)),"")</f>
        <v>36.633594319416943</v>
      </c>
    </row>
    <row r="1459" spans="1:12" x14ac:dyDescent="0.3">
      <c r="A1459" s="1">
        <v>44522</v>
      </c>
      <c r="B1459" s="3">
        <f>YEAR(Tabla3[[#This Row],[Date]])</f>
        <v>2021</v>
      </c>
      <c r="C1459" s="1" t="str">
        <f>+TEXT(Tabla3[[#This Row],[Date]],"mmm")</f>
        <v>nov</v>
      </c>
      <c r="D1459" s="2">
        <v>1806</v>
      </c>
      <c r="E1459" s="2">
        <v>1806</v>
      </c>
      <c r="F1459" s="2">
        <v>1841.59997558593</v>
      </c>
      <c r="G1459" s="2">
        <v>1805.69995117187</v>
      </c>
      <c r="H1459" s="2">
        <v>1841.59997558593</v>
      </c>
      <c r="I1459">
        <v>14</v>
      </c>
      <c r="J1459" s="2">
        <f ca="1">IFERROR((Tabla3[[#This Row],[Close]]-OFFSET(Tabla3[[#This Row],[Close]],-1,0))/OFFSET(Tabla3[[#This Row],[Close]],-1,0),"")</f>
        <v>-2.4416568908862034E-2</v>
      </c>
      <c r="K1459" s="2">
        <f ca="1">IFERROR(AVERAGE(OFFSET(Tabla3[[#This Row],[Close]],-6,0,7)),"")</f>
        <v>1853.6428397042371</v>
      </c>
      <c r="L1459" s="2">
        <f ca="1">IFERROR(_xlfn.STDEV.S(OFFSET(Tabla3[[#This Row],[Close]],-29,0,30)),"")</f>
        <v>35.222022514334967</v>
      </c>
    </row>
    <row r="1460" spans="1:12" x14ac:dyDescent="0.3">
      <c r="A1460" s="1">
        <v>44523</v>
      </c>
      <c r="B1460" s="3">
        <f>YEAR(Tabla3[[#This Row],[Date]])</f>
        <v>2021</v>
      </c>
      <c r="C1460" s="1" t="str">
        <f>+TEXT(Tabla3[[#This Row],[Date]],"mmm")</f>
        <v>nov</v>
      </c>
      <c r="D1460" s="2">
        <v>1783.5</v>
      </c>
      <c r="E1460" s="2">
        <v>1783.5</v>
      </c>
      <c r="F1460" s="2">
        <v>1795.5</v>
      </c>
      <c r="G1460" s="2">
        <v>1783.5</v>
      </c>
      <c r="H1460" s="2">
        <v>1795.5</v>
      </c>
      <c r="I1460">
        <v>264</v>
      </c>
      <c r="J1460" s="2">
        <f ca="1">IFERROR((Tabla3[[#This Row],[Close]]-OFFSET(Tabla3[[#This Row],[Close]],-1,0))/OFFSET(Tabla3[[#This Row],[Close]],-1,0),"")</f>
        <v>-1.2458471760797342E-2</v>
      </c>
      <c r="K1460" s="2">
        <f ca="1">IFERROR(AVERAGE(OFFSET(Tabla3[[#This Row],[Close]],-6,0,7)),"")</f>
        <v>1841.5856933593714</v>
      </c>
      <c r="L1460" s="2">
        <f ca="1">IFERROR(_xlfn.STDEV.S(OFFSET(Tabla3[[#This Row],[Close]],-29,0,30)),"")</f>
        <v>34.238980205432206</v>
      </c>
    </row>
    <row r="1461" spans="1:12" x14ac:dyDescent="0.3">
      <c r="A1461" s="1">
        <v>44524</v>
      </c>
      <c r="B1461" s="3">
        <f>YEAR(Tabla3[[#This Row],[Date]])</f>
        <v>2021</v>
      </c>
      <c r="C1461" s="1" t="str">
        <f>+TEXT(Tabla3[[#This Row],[Date]],"mmm")</f>
        <v>nov</v>
      </c>
      <c r="D1461" s="2">
        <v>1784.09997558593</v>
      </c>
      <c r="E1461" s="2">
        <v>1784.09997558593</v>
      </c>
      <c r="F1461" s="2">
        <v>1793</v>
      </c>
      <c r="G1461" s="2">
        <v>1781.40002441406</v>
      </c>
      <c r="H1461" s="2">
        <v>1793</v>
      </c>
      <c r="I1461">
        <v>188</v>
      </c>
      <c r="J1461" s="2">
        <f ca="1">IFERROR((Tabla3[[#This Row],[Close]]-OFFSET(Tabla3[[#This Row],[Close]],-1,0))/OFFSET(Tabla3[[#This Row],[Close]],-1,0),"")</f>
        <v>3.3640346842164098E-4</v>
      </c>
      <c r="K1461" s="2">
        <f ca="1">IFERROR(AVERAGE(OFFSET(Tabla3[[#This Row],[Close]],-6,0,7)),"")</f>
        <v>1829.8714076450856</v>
      </c>
      <c r="L1461" s="2">
        <f ca="1">IFERROR(_xlfn.STDEV.S(OFFSET(Tabla3[[#This Row],[Close]],-29,0,30)),"")</f>
        <v>34.446702709451685</v>
      </c>
    </row>
    <row r="1462" spans="1:12" x14ac:dyDescent="0.3">
      <c r="A1462" s="1">
        <v>44526</v>
      </c>
      <c r="B1462" s="3">
        <f>YEAR(Tabla3[[#This Row],[Date]])</f>
        <v>2021</v>
      </c>
      <c r="C1462" s="1" t="str">
        <f>+TEXT(Tabla3[[#This Row],[Date]],"mmm")</f>
        <v>nov</v>
      </c>
      <c r="D1462" s="2">
        <v>1785.30004882812</v>
      </c>
      <c r="E1462" s="2">
        <v>1785.30004882812</v>
      </c>
      <c r="F1462" s="2">
        <v>1791.40002441406</v>
      </c>
      <c r="G1462" s="2">
        <v>1785.30004882812</v>
      </c>
      <c r="H1462" s="2">
        <v>1791.09997558593</v>
      </c>
      <c r="I1462">
        <v>186800</v>
      </c>
      <c r="J1462" s="2">
        <f ca="1">IFERROR((Tabla3[[#This Row],[Close]]-OFFSET(Tabla3[[#This Row],[Close]],-1,0))/OFFSET(Tabla3[[#This Row],[Close]],-1,0),"")</f>
        <v>6.7264909960882422E-4</v>
      </c>
      <c r="K1462" s="2">
        <f ca="1">IFERROR(AVERAGE(OFFSET(Tabla3[[#This Row],[Close]],-6,0,7)),"")</f>
        <v>1820.1142752511128</v>
      </c>
      <c r="L1462" s="2">
        <f ca="1">IFERROR(_xlfn.STDEV.S(OFFSET(Tabla3[[#This Row],[Close]],-29,0,30)),"")</f>
        <v>34.663983294543705</v>
      </c>
    </row>
    <row r="1463" spans="1:12" x14ac:dyDescent="0.3">
      <c r="A1463" s="1">
        <v>44529</v>
      </c>
      <c r="B1463" s="3">
        <f>YEAR(Tabla3[[#This Row],[Date]])</f>
        <v>2021</v>
      </c>
      <c r="C1463" s="1" t="str">
        <f>+TEXT(Tabla3[[#This Row],[Date]],"mmm")</f>
        <v>nov</v>
      </c>
      <c r="D1463" s="2">
        <v>1782.30004882812</v>
      </c>
      <c r="E1463" s="2">
        <v>1782.30004882812</v>
      </c>
      <c r="F1463" s="2">
        <v>1798.90002441406</v>
      </c>
      <c r="G1463" s="2">
        <v>1779.09997558593</v>
      </c>
      <c r="H1463" s="2">
        <v>1791.69995117187</v>
      </c>
      <c r="I1463">
        <v>26926</v>
      </c>
      <c r="J1463" s="2">
        <f ca="1">IFERROR((Tabla3[[#This Row],[Close]]-OFFSET(Tabla3[[#This Row],[Close]],-1,0))/OFFSET(Tabla3[[#This Row],[Close]],-1,0),"")</f>
        <v>-1.6803898044864868E-3</v>
      </c>
      <c r="K1463" s="2">
        <f ca="1">IFERROR(AVERAGE(OFFSET(Tabla3[[#This Row],[Close]],-6,0,7)),"")</f>
        <v>1807.6285749162912</v>
      </c>
      <c r="L1463" s="2">
        <f ca="1">IFERROR(_xlfn.STDEV.S(OFFSET(Tabla3[[#This Row],[Close]],-29,0,30)),"")</f>
        <v>34.127914320949962</v>
      </c>
    </row>
    <row r="1464" spans="1:12" x14ac:dyDescent="0.3">
      <c r="A1464" s="1">
        <v>44530</v>
      </c>
      <c r="B1464" s="3">
        <f>YEAR(Tabla3[[#This Row],[Date]])</f>
        <v>2021</v>
      </c>
      <c r="C1464" s="1" t="str">
        <f>+TEXT(Tabla3[[#This Row],[Date]],"mmm")</f>
        <v>nov</v>
      </c>
      <c r="D1464" s="2">
        <v>1773.59997558593</v>
      </c>
      <c r="E1464" s="2">
        <v>1773.59997558593</v>
      </c>
      <c r="F1464" s="2">
        <v>1808.09997558593</v>
      </c>
      <c r="G1464" s="2">
        <v>1768.69995117187</v>
      </c>
      <c r="H1464" s="2">
        <v>1783.90002441406</v>
      </c>
      <c r="I1464">
        <v>4903</v>
      </c>
      <c r="J1464" s="2">
        <f ca="1">IFERROR((Tabla3[[#This Row],[Close]]-OFFSET(Tabla3[[#This Row],[Close]],-1,0))/OFFSET(Tabla3[[#This Row],[Close]],-1,0),"")</f>
        <v>-4.8813740693719812E-3</v>
      </c>
      <c r="K1464" s="2">
        <f ca="1">IFERROR(AVERAGE(OFFSET(Tabla3[[#This Row],[Close]],-6,0,7)),"")</f>
        <v>1795.1428571428528</v>
      </c>
      <c r="L1464" s="2">
        <f ca="1">IFERROR(_xlfn.STDEV.S(OFFSET(Tabla3[[#This Row],[Close]],-29,0,30)),"")</f>
        <v>33.758162250031539</v>
      </c>
    </row>
    <row r="1465" spans="1:12" x14ac:dyDescent="0.3">
      <c r="A1465" s="1">
        <v>44531</v>
      </c>
      <c r="B1465" s="3">
        <f>YEAR(Tabla3[[#This Row],[Date]])</f>
        <v>2021</v>
      </c>
      <c r="C1465" s="1" t="str">
        <f>+TEXT(Tabla3[[#This Row],[Date]],"mmm")</f>
        <v>dic</v>
      </c>
      <c r="D1465" s="2">
        <v>1781.59997558593</v>
      </c>
      <c r="E1465" s="2">
        <v>1781.59997558593</v>
      </c>
      <c r="F1465" s="2">
        <v>1790.5</v>
      </c>
      <c r="G1465" s="2">
        <v>1772.30004882812</v>
      </c>
      <c r="H1465" s="2">
        <v>1774.80004882812</v>
      </c>
      <c r="I1465">
        <v>1128</v>
      </c>
      <c r="J1465" s="2">
        <f ca="1">IFERROR((Tabla3[[#This Row],[Close]]-OFFSET(Tabla3[[#This Row],[Close]],-1,0))/OFFSET(Tabla3[[#This Row],[Close]],-1,0),"")</f>
        <v>4.5105999718775954E-3</v>
      </c>
      <c r="K1465" s="2">
        <f ca="1">IFERROR(AVERAGE(OFFSET(Tabla3[[#This Row],[Close]],-6,0,7)),"")</f>
        <v>1785.2000034877185</v>
      </c>
      <c r="L1465" s="2">
        <f ca="1">IFERROR(_xlfn.STDEV.S(OFFSET(Tabla3[[#This Row],[Close]],-29,0,30)),"")</f>
        <v>33.326866434033668</v>
      </c>
    </row>
    <row r="1466" spans="1:12" x14ac:dyDescent="0.3">
      <c r="A1466" s="1">
        <v>44532</v>
      </c>
      <c r="B1466" s="3">
        <f>YEAR(Tabla3[[#This Row],[Date]])</f>
        <v>2021</v>
      </c>
      <c r="C1466" s="1" t="str">
        <f>+TEXT(Tabla3[[#This Row],[Date]],"mmm")</f>
        <v>dic</v>
      </c>
      <c r="D1466" s="2">
        <v>1760.69995117187</v>
      </c>
      <c r="E1466" s="2">
        <v>1760.69995117187</v>
      </c>
      <c r="F1466" s="2">
        <v>1780.90002441406</v>
      </c>
      <c r="G1466" s="2">
        <v>1760.59997558593</v>
      </c>
      <c r="H1466" s="2">
        <v>1780.90002441406</v>
      </c>
      <c r="I1466">
        <v>1557</v>
      </c>
      <c r="J1466" s="2">
        <f ca="1">IFERROR((Tabla3[[#This Row],[Close]]-OFFSET(Tabla3[[#This Row],[Close]],-1,0))/OFFSET(Tabla3[[#This Row],[Close]],-1,0),"")</f>
        <v>-1.1731042153380378E-2</v>
      </c>
      <c r="K1466" s="2">
        <f ca="1">IFERROR(AVERAGE(OFFSET(Tabla3[[#This Row],[Close]],-6,0,7)),"")</f>
        <v>1778.7285679408428</v>
      </c>
      <c r="L1466" s="2">
        <f ca="1">IFERROR(_xlfn.STDEV.S(OFFSET(Tabla3[[#This Row],[Close]],-29,0,30)),"")</f>
        <v>34.241932208243398</v>
      </c>
    </row>
    <row r="1467" spans="1:12" x14ac:dyDescent="0.3">
      <c r="A1467" s="1">
        <v>44533</v>
      </c>
      <c r="B1467" s="3">
        <f>YEAR(Tabla3[[#This Row],[Date]])</f>
        <v>2021</v>
      </c>
      <c r="C1467" s="1" t="str">
        <f>+TEXT(Tabla3[[#This Row],[Date]],"mmm")</f>
        <v>dic</v>
      </c>
      <c r="D1467" s="2">
        <v>1782</v>
      </c>
      <c r="E1467" s="2">
        <v>1782</v>
      </c>
      <c r="F1467" s="2">
        <v>1785.09997558593</v>
      </c>
      <c r="G1467" s="2">
        <v>1766.5</v>
      </c>
      <c r="H1467" s="2">
        <v>1767.5</v>
      </c>
      <c r="I1467">
        <v>694</v>
      </c>
      <c r="J1467" s="2">
        <f ca="1">IFERROR((Tabla3[[#This Row],[Close]]-OFFSET(Tabla3[[#This Row],[Close]],-1,0))/OFFSET(Tabla3[[#This Row],[Close]],-1,0),"")</f>
        <v>1.2097489304724134E-2</v>
      </c>
      <c r="K1467" s="2">
        <f ca="1">IFERROR(AVERAGE(OFFSET(Tabla3[[#This Row],[Close]],-6,0,7)),"")</f>
        <v>1778.514282226557</v>
      </c>
      <c r="L1467" s="2">
        <f ca="1">IFERROR(_xlfn.STDEV.S(OFFSET(Tabla3[[#This Row],[Close]],-29,0,30)),"")</f>
        <v>34.218771934297152</v>
      </c>
    </row>
    <row r="1468" spans="1:12" x14ac:dyDescent="0.3">
      <c r="A1468" s="1">
        <v>44536</v>
      </c>
      <c r="B1468" s="3">
        <f>YEAR(Tabla3[[#This Row],[Date]])</f>
        <v>2021</v>
      </c>
      <c r="C1468" s="1" t="str">
        <f>+TEXT(Tabla3[[#This Row],[Date]],"mmm")</f>
        <v>dic</v>
      </c>
      <c r="D1468" s="2">
        <v>1777.5</v>
      </c>
      <c r="E1468" s="2">
        <v>1777.5</v>
      </c>
      <c r="F1468" s="2">
        <v>1783</v>
      </c>
      <c r="G1468" s="2">
        <v>1777.19995117187</v>
      </c>
      <c r="H1468" s="2">
        <v>1780.19995117187</v>
      </c>
      <c r="I1468">
        <v>381</v>
      </c>
      <c r="J1468" s="2">
        <f ca="1">IFERROR((Tabla3[[#This Row],[Close]]-OFFSET(Tabla3[[#This Row],[Close]],-1,0))/OFFSET(Tabla3[[#This Row],[Close]],-1,0),"")</f>
        <v>-2.5252525252525255E-3</v>
      </c>
      <c r="K1468" s="2">
        <f ca="1">IFERROR(AVERAGE(OFFSET(Tabla3[[#This Row],[Close]],-6,0,7)),"")</f>
        <v>1777.5714285714243</v>
      </c>
      <c r="L1468" s="2">
        <f ca="1">IFERROR(_xlfn.STDEV.S(OFFSET(Tabla3[[#This Row],[Close]],-29,0,30)),"")</f>
        <v>34.643308449056967</v>
      </c>
    </row>
    <row r="1469" spans="1:12" x14ac:dyDescent="0.3">
      <c r="A1469" s="1">
        <v>44537</v>
      </c>
      <c r="B1469" s="3">
        <f>YEAR(Tabla3[[#This Row],[Date]])</f>
        <v>2021</v>
      </c>
      <c r="C1469" s="1" t="str">
        <f>+TEXT(Tabla3[[#This Row],[Date]],"mmm")</f>
        <v>dic</v>
      </c>
      <c r="D1469" s="2">
        <v>1782.59997558593</v>
      </c>
      <c r="E1469" s="2">
        <v>1782.59997558593</v>
      </c>
      <c r="F1469" s="2">
        <v>1786.09997558593</v>
      </c>
      <c r="G1469" s="2">
        <v>1772.30004882812</v>
      </c>
      <c r="H1469" s="2">
        <v>1779.5</v>
      </c>
      <c r="I1469">
        <v>308</v>
      </c>
      <c r="J1469" s="2">
        <f ca="1">IFERROR((Tabla3[[#This Row],[Close]]-OFFSET(Tabla3[[#This Row],[Close]],-1,0))/OFFSET(Tabla3[[#This Row],[Close]],-1,0),"")</f>
        <v>2.869184577175807E-3</v>
      </c>
      <c r="K1469" s="2">
        <f ca="1">IFERROR(AVERAGE(OFFSET(Tabla3[[#This Row],[Close]],-6,0,7)),"")</f>
        <v>1777.1857038225401</v>
      </c>
      <c r="L1469" s="2">
        <f ca="1">IFERROR(_xlfn.STDEV.S(OFFSET(Tabla3[[#This Row],[Close]],-29,0,30)),"")</f>
        <v>34.992321573950122</v>
      </c>
    </row>
    <row r="1470" spans="1:12" x14ac:dyDescent="0.3">
      <c r="A1470" s="1">
        <v>44538</v>
      </c>
      <c r="B1470" s="3">
        <f>YEAR(Tabla3[[#This Row],[Date]])</f>
        <v>2021</v>
      </c>
      <c r="C1470" s="1" t="str">
        <f>+TEXT(Tabla3[[#This Row],[Date]],"mmm")</f>
        <v>dic</v>
      </c>
      <c r="D1470" s="2">
        <v>1783.40002441406</v>
      </c>
      <c r="E1470" s="2">
        <v>1783.40002441406</v>
      </c>
      <c r="F1470" s="2">
        <v>1789.90002441406</v>
      </c>
      <c r="G1470" s="2">
        <v>1779</v>
      </c>
      <c r="H1470" s="2">
        <v>1789.90002441406</v>
      </c>
      <c r="I1470">
        <v>1383</v>
      </c>
      <c r="J1470" s="2">
        <f ca="1">IFERROR((Tabla3[[#This Row],[Close]]-OFFSET(Tabla3[[#This Row],[Close]],-1,0))/OFFSET(Tabla3[[#This Row],[Close]],-1,0),"")</f>
        <v>4.4881007465908383E-4</v>
      </c>
      <c r="K1470" s="2">
        <f ca="1">IFERROR(AVERAGE(OFFSET(Tabla3[[#This Row],[Close]],-6,0,7)),"")</f>
        <v>1777.3428431919601</v>
      </c>
      <c r="L1470" s="2">
        <f ca="1">IFERROR(_xlfn.STDEV.S(OFFSET(Tabla3[[#This Row],[Close]],-29,0,30)),"")</f>
        <v>35.182107752196352</v>
      </c>
    </row>
    <row r="1471" spans="1:12" x14ac:dyDescent="0.3">
      <c r="A1471" s="1">
        <v>44539</v>
      </c>
      <c r="B1471" s="3">
        <f>YEAR(Tabla3[[#This Row],[Date]])</f>
        <v>2021</v>
      </c>
      <c r="C1471" s="1" t="str">
        <f>+TEXT(Tabla3[[#This Row],[Date]],"mmm")</f>
        <v>dic</v>
      </c>
      <c r="D1471" s="2">
        <v>1774.59997558593</v>
      </c>
      <c r="E1471" s="2">
        <v>1774.59997558593</v>
      </c>
      <c r="F1471" s="2">
        <v>1783.5</v>
      </c>
      <c r="G1471" s="2">
        <v>1771.80004882812</v>
      </c>
      <c r="H1471" s="2">
        <v>1783.5</v>
      </c>
      <c r="I1471">
        <v>455</v>
      </c>
      <c r="J1471" s="2">
        <f ca="1">IFERROR((Tabla3[[#This Row],[Close]]-OFFSET(Tabla3[[#This Row],[Close]],-1,0))/OFFSET(Tabla3[[#This Row],[Close]],-1,0),"")</f>
        <v>-4.9344222875747001E-3</v>
      </c>
      <c r="K1471" s="2">
        <f ca="1">IFERROR(AVERAGE(OFFSET(Tabla3[[#This Row],[Close]],-6,0,7)),"")</f>
        <v>1777.4857003348172</v>
      </c>
      <c r="L1471" s="2">
        <f ca="1">IFERROR(_xlfn.STDEV.S(OFFSET(Tabla3[[#This Row],[Close]],-29,0,30)),"")</f>
        <v>35.681470008483153</v>
      </c>
    </row>
    <row r="1472" spans="1:12" x14ac:dyDescent="0.3">
      <c r="A1472" s="1">
        <v>44540</v>
      </c>
      <c r="B1472" s="3">
        <f>YEAR(Tabla3[[#This Row],[Date]])</f>
        <v>2021</v>
      </c>
      <c r="C1472" s="1" t="str">
        <f>+TEXT(Tabla3[[#This Row],[Date]],"mmm")</f>
        <v>dic</v>
      </c>
      <c r="D1472" s="2">
        <v>1782.90002441406</v>
      </c>
      <c r="E1472" s="2">
        <v>1782.90002441406</v>
      </c>
      <c r="F1472" s="2">
        <v>1785.40002441406</v>
      </c>
      <c r="G1472" s="2">
        <v>1769.09997558593</v>
      </c>
      <c r="H1472" s="2">
        <v>1773.80004882812</v>
      </c>
      <c r="I1472">
        <v>545</v>
      </c>
      <c r="J1472" s="2">
        <f ca="1">IFERROR((Tabla3[[#This Row],[Close]]-OFFSET(Tabla3[[#This Row],[Close]],-1,0))/OFFSET(Tabla3[[#This Row],[Close]],-1,0),"")</f>
        <v>4.67713791407527E-3</v>
      </c>
      <c r="K1472" s="2">
        <f ca="1">IFERROR(AVERAGE(OFFSET(Tabla3[[#This Row],[Close]],-6,0,7)),"")</f>
        <v>1777.6714215959787</v>
      </c>
      <c r="L1472" s="2">
        <f ca="1">IFERROR(_xlfn.STDEV.S(OFFSET(Tabla3[[#This Row],[Close]],-29,0,30)),"")</f>
        <v>35.957292756054287</v>
      </c>
    </row>
    <row r="1473" spans="1:12" x14ac:dyDescent="0.3">
      <c r="A1473" s="1">
        <v>44543</v>
      </c>
      <c r="B1473" s="3">
        <f>YEAR(Tabla3[[#This Row],[Date]])</f>
        <v>2021</v>
      </c>
      <c r="C1473" s="1" t="str">
        <f>+TEXT(Tabla3[[#This Row],[Date]],"mmm")</f>
        <v>dic</v>
      </c>
      <c r="D1473" s="2">
        <v>1786.30004882812</v>
      </c>
      <c r="E1473" s="2">
        <v>1786.30004882812</v>
      </c>
      <c r="F1473" s="2">
        <v>1787.09997558593</v>
      </c>
      <c r="G1473" s="2">
        <v>1783.80004882812</v>
      </c>
      <c r="H1473" s="2">
        <v>1784.40002441406</v>
      </c>
      <c r="I1473">
        <v>206</v>
      </c>
      <c r="J1473" s="2">
        <f ca="1">IFERROR((Tabla3[[#This Row],[Close]]-OFFSET(Tabla3[[#This Row],[Close]],-1,0))/OFFSET(Tabla3[[#This Row],[Close]],-1,0),"")</f>
        <v>1.9070191079151495E-3</v>
      </c>
      <c r="K1473" s="2">
        <f ca="1">IFERROR(AVERAGE(OFFSET(Tabla3[[#This Row],[Close]],-6,0,7)),"")</f>
        <v>1781.3285784040143</v>
      </c>
      <c r="L1473" s="2">
        <f ca="1">IFERROR(_xlfn.STDEV.S(OFFSET(Tabla3[[#This Row],[Close]],-29,0,30)),"")</f>
        <v>35.885492784979583</v>
      </c>
    </row>
    <row r="1474" spans="1:12" x14ac:dyDescent="0.3">
      <c r="A1474" s="1">
        <v>44544</v>
      </c>
      <c r="B1474" s="3">
        <f>YEAR(Tabla3[[#This Row],[Date]])</f>
        <v>2021</v>
      </c>
      <c r="C1474" s="1" t="str">
        <f>+TEXT(Tabla3[[#This Row],[Date]],"mmm")</f>
        <v>dic</v>
      </c>
      <c r="D1474" s="2">
        <v>1770.40002441406</v>
      </c>
      <c r="E1474" s="2">
        <v>1770.40002441406</v>
      </c>
      <c r="F1474" s="2">
        <v>1787</v>
      </c>
      <c r="G1474" s="2">
        <v>1769</v>
      </c>
      <c r="H1474" s="2">
        <v>1787</v>
      </c>
      <c r="I1474">
        <v>322</v>
      </c>
      <c r="J1474" s="2">
        <f ca="1">IFERROR((Tabla3[[#This Row],[Close]]-OFFSET(Tabla3[[#This Row],[Close]],-1,0))/OFFSET(Tabla3[[#This Row],[Close]],-1,0),"")</f>
        <v>-8.9010938696950787E-3</v>
      </c>
      <c r="K1474" s="2">
        <f ca="1">IFERROR(AVERAGE(OFFSET(Tabla3[[#This Row],[Close]],-6,0,7)),"")</f>
        <v>1779.6714390345944</v>
      </c>
      <c r="L1474" s="2">
        <f ca="1">IFERROR(_xlfn.STDEV.S(OFFSET(Tabla3[[#This Row],[Close]],-29,0,30)),"")</f>
        <v>36.4555364892054</v>
      </c>
    </row>
    <row r="1475" spans="1:12" x14ac:dyDescent="0.3">
      <c r="A1475" s="1">
        <v>44545</v>
      </c>
      <c r="B1475" s="3">
        <f>YEAR(Tabla3[[#This Row],[Date]])</f>
        <v>2021</v>
      </c>
      <c r="C1475" s="1" t="str">
        <f>+TEXT(Tabla3[[#This Row],[Date]],"mmm")</f>
        <v>dic</v>
      </c>
      <c r="D1475" s="2">
        <v>1762.59997558593</v>
      </c>
      <c r="E1475" s="2">
        <v>1762.59997558593</v>
      </c>
      <c r="F1475" s="2">
        <v>1778.69995117187</v>
      </c>
      <c r="G1475" s="2">
        <v>1753.90002441406</v>
      </c>
      <c r="H1475" s="2">
        <v>1767.40002441406</v>
      </c>
      <c r="I1475">
        <v>283</v>
      </c>
      <c r="J1475" s="2">
        <f ca="1">IFERROR((Tabla3[[#This Row],[Close]]-OFFSET(Tabla3[[#This Row],[Close]],-1,0))/OFFSET(Tabla3[[#This Row],[Close]],-1,0),"")</f>
        <v>-4.4058115231395481E-3</v>
      </c>
      <c r="K1475" s="2">
        <f ca="1">IFERROR(AVERAGE(OFFSET(Tabla3[[#This Row],[Close]],-6,0,7)),"")</f>
        <v>1777.5428641182987</v>
      </c>
      <c r="L1475" s="2">
        <f ca="1">IFERROR(_xlfn.STDEV.S(OFFSET(Tabla3[[#This Row],[Close]],-29,0,30)),"")</f>
        <v>37.19996159800931</v>
      </c>
    </row>
    <row r="1476" spans="1:12" x14ac:dyDescent="0.3">
      <c r="A1476" s="1">
        <v>44546</v>
      </c>
      <c r="B1476" s="3">
        <f>YEAR(Tabla3[[#This Row],[Date]])</f>
        <v>2021</v>
      </c>
      <c r="C1476" s="1" t="str">
        <f>+TEXT(Tabla3[[#This Row],[Date]],"mmm")</f>
        <v>dic</v>
      </c>
      <c r="D1476" s="2">
        <v>1796.59997558593</v>
      </c>
      <c r="E1476" s="2">
        <v>1796.59997558593</v>
      </c>
      <c r="F1476" s="2">
        <v>1798.09997558593</v>
      </c>
      <c r="G1476" s="2">
        <v>1781</v>
      </c>
      <c r="H1476" s="2">
        <v>1781</v>
      </c>
      <c r="I1476">
        <v>21</v>
      </c>
      <c r="J1476" s="2">
        <f ca="1">IFERROR((Tabla3[[#This Row],[Close]]-OFFSET(Tabla3[[#This Row],[Close]],-1,0))/OFFSET(Tabla3[[#This Row],[Close]],-1,0),"")</f>
        <v>1.9289685958776663E-2</v>
      </c>
      <c r="K1476" s="2">
        <f ca="1">IFERROR(AVERAGE(OFFSET(Tabla3[[#This Row],[Close]],-6,0,7)),"")</f>
        <v>1779.5428641182987</v>
      </c>
      <c r="L1476" s="2">
        <f ca="1">IFERROR(_xlfn.STDEV.S(OFFSET(Tabla3[[#This Row],[Close]],-29,0,30)),"")</f>
        <v>36.391982805172333</v>
      </c>
    </row>
    <row r="1477" spans="1:12" x14ac:dyDescent="0.3">
      <c r="A1477" s="1">
        <v>44547</v>
      </c>
      <c r="B1477" s="3">
        <f>YEAR(Tabla3[[#This Row],[Date]])</f>
        <v>2021</v>
      </c>
      <c r="C1477" s="1" t="str">
        <f>+TEXT(Tabla3[[#This Row],[Date]],"mmm")</f>
        <v>dic</v>
      </c>
      <c r="D1477" s="2">
        <v>1803.80004882812</v>
      </c>
      <c r="E1477" s="2">
        <v>1803.80004882812</v>
      </c>
      <c r="F1477" s="2">
        <v>1812.90002441406</v>
      </c>
      <c r="G1477" s="2">
        <v>1803.80004882812</v>
      </c>
      <c r="H1477" s="2">
        <v>1804</v>
      </c>
      <c r="I1477">
        <v>654</v>
      </c>
      <c r="J1477" s="2">
        <f ca="1">IFERROR((Tabla3[[#This Row],[Close]]-OFFSET(Tabla3[[#This Row],[Close]],-1,0))/OFFSET(Tabla3[[#This Row],[Close]],-1,0),"")</f>
        <v>4.0076106757386664E-3</v>
      </c>
      <c r="K1477" s="2">
        <f ca="1">IFERROR(AVERAGE(OFFSET(Tabla3[[#This Row],[Close]],-6,0,7)),"")</f>
        <v>1782.457153320307</v>
      </c>
      <c r="L1477" s="2">
        <f ca="1">IFERROR(_xlfn.STDEV.S(OFFSET(Tabla3[[#This Row],[Close]],-29,0,30)),"")</f>
        <v>36.304313307454414</v>
      </c>
    </row>
    <row r="1478" spans="1:12" x14ac:dyDescent="0.3">
      <c r="A1478" s="1">
        <v>44550</v>
      </c>
      <c r="B1478" s="3">
        <f>YEAR(Tabla3[[#This Row],[Date]])</f>
        <v>2021</v>
      </c>
      <c r="C1478" s="1" t="str">
        <f>+TEXT(Tabla3[[#This Row],[Date]],"mmm")</f>
        <v>dic</v>
      </c>
      <c r="D1478" s="2">
        <v>1793.69995117187</v>
      </c>
      <c r="E1478" s="2">
        <v>1793.69995117187</v>
      </c>
      <c r="F1478" s="2">
        <v>1799.80004882812</v>
      </c>
      <c r="G1478" s="2">
        <v>1792</v>
      </c>
      <c r="H1478" s="2">
        <v>1796.80004882812</v>
      </c>
      <c r="I1478">
        <v>226</v>
      </c>
      <c r="J1478" s="2">
        <f ca="1">IFERROR((Tabla3[[#This Row],[Close]]-OFFSET(Tabla3[[#This Row],[Close]],-1,0))/OFFSET(Tabla3[[#This Row],[Close]],-1,0),"")</f>
        <v>-5.5993443745673251E-3</v>
      </c>
      <c r="K1478" s="2">
        <f ca="1">IFERROR(AVERAGE(OFFSET(Tabla3[[#This Row],[Close]],-6,0,7)),"")</f>
        <v>1785.1857212611555</v>
      </c>
      <c r="L1478" s="2">
        <f ca="1">IFERROR(_xlfn.STDEV.S(OFFSET(Tabla3[[#This Row],[Close]],-29,0,30)),"")</f>
        <v>36.341128328623263</v>
      </c>
    </row>
    <row r="1479" spans="1:12" x14ac:dyDescent="0.3">
      <c r="A1479" s="1">
        <v>44551</v>
      </c>
      <c r="B1479" s="3">
        <f>YEAR(Tabla3[[#This Row],[Date]])</f>
        <v>2021</v>
      </c>
      <c r="C1479" s="1" t="str">
        <f>+TEXT(Tabla3[[#This Row],[Date]],"mmm")</f>
        <v>dic</v>
      </c>
      <c r="D1479" s="2">
        <v>1787.90002441406</v>
      </c>
      <c r="E1479" s="2">
        <v>1787.90002441406</v>
      </c>
      <c r="F1479" s="2">
        <v>1796.5</v>
      </c>
      <c r="G1479" s="2">
        <v>1787.90002441406</v>
      </c>
      <c r="H1479" s="2">
        <v>1791.40002441406</v>
      </c>
      <c r="I1479">
        <v>575</v>
      </c>
      <c r="J1479" s="2">
        <f ca="1">IFERROR((Tabla3[[#This Row],[Close]]-OFFSET(Tabla3[[#This Row],[Close]],-1,0))/OFFSET(Tabla3[[#This Row],[Close]],-1,0),"")</f>
        <v>-3.2334988658614607E-3</v>
      </c>
      <c r="K1479" s="2">
        <f ca="1">IFERROR(AVERAGE(OFFSET(Tabla3[[#This Row],[Close]],-6,0,7)),"")</f>
        <v>1785.9000069754416</v>
      </c>
      <c r="L1479" s="2">
        <f ca="1">IFERROR(_xlfn.STDEV.S(OFFSET(Tabla3[[#This Row],[Close]],-29,0,30)),"")</f>
        <v>36.268781007375907</v>
      </c>
    </row>
    <row r="1480" spans="1:12" x14ac:dyDescent="0.3">
      <c r="A1480" s="1">
        <v>44552</v>
      </c>
      <c r="B1480" s="3">
        <f>YEAR(Tabla3[[#This Row],[Date]])</f>
        <v>2021</v>
      </c>
      <c r="C1480" s="1" t="str">
        <f>+TEXT(Tabla3[[#This Row],[Date]],"mmm")</f>
        <v>dic</v>
      </c>
      <c r="D1480" s="2">
        <v>1801.59997558593</v>
      </c>
      <c r="E1480" s="2">
        <v>1801.59997558593</v>
      </c>
      <c r="F1480" s="2">
        <v>1805.19995117187</v>
      </c>
      <c r="G1480" s="2">
        <v>1785.5</v>
      </c>
      <c r="H1480" s="2">
        <v>1786</v>
      </c>
      <c r="I1480">
        <v>567</v>
      </c>
      <c r="J1480" s="2">
        <f ca="1">IFERROR((Tabla3[[#This Row],[Close]]-OFFSET(Tabla3[[#This Row],[Close]],-1,0))/OFFSET(Tabla3[[#This Row],[Close]],-1,0),"")</f>
        <v>7.6625935369959057E-3</v>
      </c>
      <c r="K1480" s="2">
        <f ca="1">IFERROR(AVERAGE(OFFSET(Tabla3[[#This Row],[Close]],-6,0,7)),"")</f>
        <v>1788.0857107979859</v>
      </c>
      <c r="L1480" s="2">
        <f ca="1">IFERROR(_xlfn.STDEV.S(OFFSET(Tabla3[[#This Row],[Close]],-29,0,30)),"")</f>
        <v>35.959838412943654</v>
      </c>
    </row>
    <row r="1481" spans="1:12" x14ac:dyDescent="0.3">
      <c r="A1481" s="1">
        <v>44553</v>
      </c>
      <c r="B1481" s="3">
        <f>YEAR(Tabla3[[#This Row],[Date]])</f>
        <v>2021</v>
      </c>
      <c r="C1481" s="1" t="str">
        <f>+TEXT(Tabla3[[#This Row],[Date]],"mmm")</f>
        <v>dic</v>
      </c>
      <c r="D1481" s="2">
        <v>1811.19995117187</v>
      </c>
      <c r="E1481" s="2">
        <v>1811.19995117187</v>
      </c>
      <c r="F1481" s="2">
        <v>1811.19995117187</v>
      </c>
      <c r="G1481" s="2">
        <v>1800.80004882812</v>
      </c>
      <c r="H1481" s="2">
        <v>1806</v>
      </c>
      <c r="I1481">
        <v>193</v>
      </c>
      <c r="J1481" s="2">
        <f ca="1">IFERROR((Tabla3[[#This Row],[Close]]-OFFSET(Tabla3[[#This Row],[Close]],-1,0))/OFFSET(Tabla3[[#This Row],[Close]],-1,0),"")</f>
        <v>5.3285833237302436E-3</v>
      </c>
      <c r="K1481" s="2">
        <f ca="1">IFERROR(AVERAGE(OFFSET(Tabla3[[#This Row],[Close]],-6,0,7)),"")</f>
        <v>1793.9142717633872</v>
      </c>
      <c r="L1481" s="2">
        <f ca="1">IFERROR(_xlfn.STDEV.S(OFFSET(Tabla3[[#This Row],[Close]],-29,0,30)),"")</f>
        <v>35.044264101710738</v>
      </c>
    </row>
    <row r="1482" spans="1:12" x14ac:dyDescent="0.3">
      <c r="A1482" s="1">
        <v>44557</v>
      </c>
      <c r="B1482" s="3">
        <f>YEAR(Tabla3[[#This Row],[Date]])</f>
        <v>2021</v>
      </c>
      <c r="C1482" s="1" t="str">
        <f>+TEXT(Tabla3[[#This Row],[Date]],"mmm")</f>
        <v>dic</v>
      </c>
      <c r="D1482" s="2">
        <v>1808.09997558593</v>
      </c>
      <c r="E1482" s="2">
        <v>1808.09997558593</v>
      </c>
      <c r="F1482" s="2">
        <v>1812.09997558593</v>
      </c>
      <c r="G1482" s="2">
        <v>1807</v>
      </c>
      <c r="H1482" s="2">
        <v>1810</v>
      </c>
      <c r="I1482">
        <v>150</v>
      </c>
      <c r="J1482" s="2">
        <f ca="1">IFERROR((Tabla3[[#This Row],[Close]]-OFFSET(Tabla3[[#This Row],[Close]],-1,0))/OFFSET(Tabla3[[#This Row],[Close]],-1,0),"")</f>
        <v>-1.7115590048101959E-3</v>
      </c>
      <c r="K1482" s="2">
        <f ca="1">IFERROR(AVERAGE(OFFSET(Tabla3[[#This Row],[Close]],-6,0,7)),"")</f>
        <v>1800.414271763387</v>
      </c>
      <c r="L1482" s="2">
        <f ca="1">IFERROR(_xlfn.STDEV.S(OFFSET(Tabla3[[#This Row],[Close]],-29,0,30)),"")</f>
        <v>33.168483273513743</v>
      </c>
    </row>
    <row r="1483" spans="1:12" x14ac:dyDescent="0.3">
      <c r="A1483" s="1">
        <v>44558</v>
      </c>
      <c r="B1483" s="3">
        <f>YEAR(Tabla3[[#This Row],[Date]])</f>
        <v>2021</v>
      </c>
      <c r="C1483" s="1" t="str">
        <f>+TEXT(Tabla3[[#This Row],[Date]],"mmm")</f>
        <v>dic</v>
      </c>
      <c r="D1483" s="2">
        <v>1810.19995117187</v>
      </c>
      <c r="E1483" s="2">
        <v>1810.19995117187</v>
      </c>
      <c r="F1483" s="2">
        <v>1818</v>
      </c>
      <c r="G1483" s="2">
        <v>1805.5</v>
      </c>
      <c r="H1483" s="2">
        <v>1812</v>
      </c>
      <c r="I1483">
        <v>146</v>
      </c>
      <c r="J1483" s="2">
        <f ca="1">IFERROR((Tabla3[[#This Row],[Close]]-OFFSET(Tabla3[[#This Row],[Close]],-1,0))/OFFSET(Tabla3[[#This Row],[Close]],-1,0),"")</f>
        <v>1.1614266989077783E-3</v>
      </c>
      <c r="K1483" s="2">
        <f ca="1">IFERROR(AVERAGE(OFFSET(Tabla3[[#This Row],[Close]],-6,0,7)),"")</f>
        <v>1802.3571254185213</v>
      </c>
      <c r="L1483" s="2">
        <f ca="1">IFERROR(_xlfn.STDEV.S(OFFSET(Tabla3[[#This Row],[Close]],-29,0,30)),"")</f>
        <v>30.743248585817721</v>
      </c>
    </row>
    <row r="1484" spans="1:12" x14ac:dyDescent="0.3">
      <c r="A1484" s="1">
        <v>44559</v>
      </c>
      <c r="B1484" s="3">
        <f>YEAR(Tabla3[[#This Row],[Date]])</f>
        <v>2021</v>
      </c>
      <c r="C1484" s="1" t="str">
        <f>+TEXT(Tabla3[[#This Row],[Date]],"mmm")</f>
        <v>dic</v>
      </c>
      <c r="D1484" s="2">
        <v>1805.09997558593</v>
      </c>
      <c r="E1484" s="2">
        <v>1805.09997558593</v>
      </c>
      <c r="F1484" s="2">
        <v>1805.09997558593</v>
      </c>
      <c r="G1484" s="2">
        <v>1791.40002441406</v>
      </c>
      <c r="H1484" s="2">
        <v>1803.19995117187</v>
      </c>
      <c r="I1484">
        <v>623</v>
      </c>
      <c r="J1484" s="2">
        <f ca="1">IFERROR((Tabla3[[#This Row],[Close]]-OFFSET(Tabla3[[#This Row],[Close]],-1,0))/OFFSET(Tabla3[[#This Row],[Close]],-1,0),"")</f>
        <v>-2.8173548356569271E-3</v>
      </c>
      <c r="K1484" s="2">
        <f ca="1">IFERROR(AVERAGE(OFFSET(Tabla3[[#This Row],[Close]],-6,0,7)),"")</f>
        <v>1802.5428292410656</v>
      </c>
      <c r="L1484" s="2">
        <f ca="1">IFERROR(_xlfn.STDEV.S(OFFSET(Tabla3[[#This Row],[Close]],-29,0,30)),"")</f>
        <v>28.061947827954079</v>
      </c>
    </row>
    <row r="1485" spans="1:12" x14ac:dyDescent="0.3">
      <c r="A1485" s="1">
        <v>44560</v>
      </c>
      <c r="B1485" s="3">
        <f>YEAR(Tabla3[[#This Row],[Date]])</f>
        <v>2021</v>
      </c>
      <c r="C1485" s="1" t="str">
        <f>+TEXT(Tabla3[[#This Row],[Date]],"mmm")</f>
        <v>dic</v>
      </c>
      <c r="D1485" s="2">
        <v>1812.69995117187</v>
      </c>
      <c r="E1485" s="2">
        <v>1812.69995117187</v>
      </c>
      <c r="F1485" s="2">
        <v>1816</v>
      </c>
      <c r="G1485" s="2">
        <v>1796</v>
      </c>
      <c r="H1485" s="2">
        <v>1801.69995117187</v>
      </c>
      <c r="I1485">
        <v>306</v>
      </c>
      <c r="J1485" s="2">
        <f ca="1">IFERROR((Tabla3[[#This Row],[Close]]-OFFSET(Tabla3[[#This Row],[Close]],-1,0))/OFFSET(Tabla3[[#This Row],[Close]],-1,0),"")</f>
        <v>4.2102795904548568E-3</v>
      </c>
      <c r="K1485" s="2">
        <f ca="1">IFERROR(AVERAGE(OFFSET(Tabla3[[#This Row],[Close]],-6,0,7)),"")</f>
        <v>1805.2571149553514</v>
      </c>
      <c r="L1485" s="2">
        <f ca="1">IFERROR(_xlfn.STDEV.S(OFFSET(Tabla3[[#This Row],[Close]],-29,0,30)),"")</f>
        <v>26.150978969666898</v>
      </c>
    </row>
    <row r="1486" spans="1:12" x14ac:dyDescent="0.3">
      <c r="A1486" s="1">
        <v>44561</v>
      </c>
      <c r="B1486" s="3">
        <f>YEAR(Tabla3[[#This Row],[Date]])</f>
        <v>2021</v>
      </c>
      <c r="C1486" s="1" t="str">
        <f>+TEXT(Tabla3[[#This Row],[Date]],"mmm")</f>
        <v>dic</v>
      </c>
      <c r="D1486" s="2">
        <v>1827.5</v>
      </c>
      <c r="E1486" s="2">
        <v>1827.5</v>
      </c>
      <c r="F1486" s="2">
        <v>1827.80004882812</v>
      </c>
      <c r="G1486" s="2">
        <v>1821.40002441406</v>
      </c>
      <c r="H1486" s="2">
        <v>1825.09997558593</v>
      </c>
      <c r="I1486">
        <v>80</v>
      </c>
      <c r="J1486" s="2">
        <f ca="1">IFERROR((Tabla3[[#This Row],[Close]]-OFFSET(Tabla3[[#This Row],[Close]],-1,0))/OFFSET(Tabla3[[#This Row],[Close]],-1,0),"")</f>
        <v>8.1646434748134135E-3</v>
      </c>
      <c r="K1486" s="2">
        <f ca="1">IFERROR(AVERAGE(OFFSET(Tabla3[[#This Row],[Close]],-6,0,7)),"")</f>
        <v>1810.9142543247713</v>
      </c>
      <c r="L1486" s="2">
        <f ca="1">IFERROR(_xlfn.STDEV.S(OFFSET(Tabla3[[#This Row],[Close]],-29,0,30)),"")</f>
        <v>22.977949349966881</v>
      </c>
    </row>
    <row r="1487" spans="1:12" x14ac:dyDescent="0.3">
      <c r="A1487" s="1">
        <v>44564</v>
      </c>
      <c r="B1487" s="3">
        <f>YEAR(Tabla3[[#This Row],[Date]])</f>
        <v>2022</v>
      </c>
      <c r="C1487" s="1" t="str">
        <f>+TEXT(Tabla3[[#This Row],[Date]],"mmm")</f>
        <v>ene</v>
      </c>
      <c r="D1487" s="2">
        <v>1799.40002441406</v>
      </c>
      <c r="E1487" s="2">
        <v>1799.40002441406</v>
      </c>
      <c r="F1487" s="2">
        <v>1830.09997558593</v>
      </c>
      <c r="G1487" s="2">
        <v>1798.80004882812</v>
      </c>
      <c r="H1487" s="2">
        <v>1830.09997558593</v>
      </c>
      <c r="I1487">
        <v>116</v>
      </c>
      <c r="J1487" s="2">
        <f ca="1">IFERROR((Tabla3[[#This Row],[Close]]-OFFSET(Tabla3[[#This Row],[Close]],-1,0))/OFFSET(Tabla3[[#This Row],[Close]],-1,0),"")</f>
        <v>-1.5376183631157319E-2</v>
      </c>
      <c r="K1487" s="2">
        <f ca="1">IFERROR(AVERAGE(OFFSET(Tabla3[[#This Row],[Close]],-6,0,7)),"")</f>
        <v>1810.5999755859327</v>
      </c>
      <c r="L1487" s="2">
        <f ca="1">IFERROR(_xlfn.STDEV.S(OFFSET(Tabla3[[#This Row],[Close]],-29,0,30)),"")</f>
        <v>19.26792869703387</v>
      </c>
    </row>
    <row r="1488" spans="1:12" x14ac:dyDescent="0.3">
      <c r="A1488" s="1">
        <v>44565</v>
      </c>
      <c r="B1488" s="3">
        <f>YEAR(Tabla3[[#This Row],[Date]])</f>
        <v>2022</v>
      </c>
      <c r="C1488" s="1" t="str">
        <f>+TEXT(Tabla3[[#This Row],[Date]],"mmm")</f>
        <v>ene</v>
      </c>
      <c r="D1488" s="2">
        <v>1814</v>
      </c>
      <c r="E1488" s="2">
        <v>1814</v>
      </c>
      <c r="F1488" s="2">
        <v>1815.30004882812</v>
      </c>
      <c r="G1488" s="2">
        <v>1800</v>
      </c>
      <c r="H1488" s="2">
        <v>1800.5</v>
      </c>
      <c r="I1488">
        <v>38</v>
      </c>
      <c r="J1488" s="2">
        <f ca="1">IFERROR((Tabla3[[#This Row],[Close]]-OFFSET(Tabla3[[#This Row],[Close]],-1,0))/OFFSET(Tabla3[[#This Row],[Close]],-1,0),"")</f>
        <v>8.113802038373431E-3</v>
      </c>
      <c r="K1488" s="2">
        <f ca="1">IFERROR(AVERAGE(OFFSET(Tabla3[[#This Row],[Close]],-6,0,7)),"")</f>
        <v>1810.99998256138</v>
      </c>
      <c r="L1488" s="2">
        <f ca="1">IFERROR(_xlfn.STDEV.S(OFFSET(Tabla3[[#This Row],[Close]],-29,0,30)),"")</f>
        <v>16.31627972938864</v>
      </c>
    </row>
    <row r="1489" spans="1:12" x14ac:dyDescent="0.3">
      <c r="A1489" s="1">
        <v>44566</v>
      </c>
      <c r="B1489" s="3">
        <f>YEAR(Tabla3[[#This Row],[Date]])</f>
        <v>2022</v>
      </c>
      <c r="C1489" s="1" t="str">
        <f>+TEXT(Tabla3[[#This Row],[Date]],"mmm")</f>
        <v>ene</v>
      </c>
      <c r="D1489" s="2">
        <v>1824.59997558593</v>
      </c>
      <c r="E1489" s="2">
        <v>1824.59997558593</v>
      </c>
      <c r="F1489" s="2">
        <v>1824.59997558593</v>
      </c>
      <c r="G1489" s="2">
        <v>1813.09997558593</v>
      </c>
      <c r="H1489" s="2">
        <v>1813.09997558593</v>
      </c>
      <c r="I1489">
        <v>8</v>
      </c>
      <c r="J1489" s="2">
        <f ca="1">IFERROR((Tabla3[[#This Row],[Close]]-OFFSET(Tabla3[[#This Row],[Close]],-1,0))/OFFSET(Tabla3[[#This Row],[Close]],-1,0),"")</f>
        <v>5.8434264531036367E-3</v>
      </c>
      <c r="K1489" s="2">
        <f ca="1">IFERROR(AVERAGE(OFFSET(Tabla3[[#This Row],[Close]],-6,0,7)),"")</f>
        <v>1813.3571254185229</v>
      </c>
      <c r="L1489" s="2">
        <f ca="1">IFERROR(_xlfn.STDEV.S(OFFSET(Tabla3[[#This Row],[Close]],-29,0,30)),"")</f>
        <v>17.232034268145508</v>
      </c>
    </row>
    <row r="1490" spans="1:12" x14ac:dyDescent="0.3">
      <c r="A1490" s="1">
        <v>44567</v>
      </c>
      <c r="B1490" s="3">
        <f>YEAR(Tabla3[[#This Row],[Date]])</f>
        <v>2022</v>
      </c>
      <c r="C1490" s="1" t="str">
        <f>+TEXT(Tabla3[[#This Row],[Date]],"mmm")</f>
        <v>ene</v>
      </c>
      <c r="D1490" s="2">
        <v>1788.69995117187</v>
      </c>
      <c r="E1490" s="2">
        <v>1788.69995117187</v>
      </c>
      <c r="F1490" s="2">
        <v>1791.30004882812</v>
      </c>
      <c r="G1490" s="2">
        <v>1787.09997558593</v>
      </c>
      <c r="H1490" s="2">
        <v>1787.09997558593</v>
      </c>
      <c r="I1490">
        <v>30</v>
      </c>
      <c r="J1490" s="2">
        <f ca="1">IFERROR((Tabla3[[#This Row],[Close]]-OFFSET(Tabla3[[#This Row],[Close]],-1,0))/OFFSET(Tabla3[[#This Row],[Close]],-1,0),"")</f>
        <v>-1.9675558968771496E-2</v>
      </c>
      <c r="K1490" s="2">
        <f ca="1">IFERROR(AVERAGE(OFFSET(Tabla3[[#This Row],[Close]],-6,0,7)),"")</f>
        <v>1810.2856968470944</v>
      </c>
      <c r="L1490" s="2">
        <f ca="1">IFERROR(_xlfn.STDEV.S(OFFSET(Tabla3[[#This Row],[Close]],-29,0,30)),"")</f>
        <v>17.173176945762936</v>
      </c>
    </row>
    <row r="1491" spans="1:12" x14ac:dyDescent="0.3">
      <c r="A1491" s="1">
        <v>44568</v>
      </c>
      <c r="B1491" s="3">
        <f>YEAR(Tabla3[[#This Row],[Date]])</f>
        <v>2022</v>
      </c>
      <c r="C1491" s="1" t="str">
        <f>+TEXT(Tabla3[[#This Row],[Date]],"mmm")</f>
        <v>ene</v>
      </c>
      <c r="D1491" s="2">
        <v>1797</v>
      </c>
      <c r="E1491" s="2">
        <v>1797</v>
      </c>
      <c r="F1491" s="2">
        <v>1797</v>
      </c>
      <c r="G1491" s="2">
        <v>1784.40002441406</v>
      </c>
      <c r="H1491" s="2">
        <v>1791.80004882812</v>
      </c>
      <c r="I1491">
        <v>17</v>
      </c>
      <c r="J1491" s="2">
        <f ca="1">IFERROR((Tabla3[[#This Row],[Close]]-OFFSET(Tabla3[[#This Row],[Close]],-1,0))/OFFSET(Tabla3[[#This Row],[Close]],-1,0),"")</f>
        <v>4.6402689409658733E-3</v>
      </c>
      <c r="K1491" s="2">
        <f ca="1">IFERROR(AVERAGE(OFFSET(Tabla3[[#This Row],[Close]],-6,0,7)),"")</f>
        <v>1809.1285574776757</v>
      </c>
      <c r="L1491" s="2">
        <f ca="1">IFERROR(_xlfn.STDEV.S(OFFSET(Tabla3[[#This Row],[Close]],-29,0,30)),"")</f>
        <v>17.134322277396087</v>
      </c>
    </row>
    <row r="1492" spans="1:12" x14ac:dyDescent="0.3">
      <c r="A1492" s="1">
        <v>44571</v>
      </c>
      <c r="B1492" s="3">
        <f>YEAR(Tabla3[[#This Row],[Date]])</f>
        <v>2022</v>
      </c>
      <c r="C1492" s="1" t="str">
        <f>+TEXT(Tabla3[[#This Row],[Date]],"mmm")</f>
        <v>ene</v>
      </c>
      <c r="D1492" s="2">
        <v>1798.40002441406</v>
      </c>
      <c r="E1492" s="2">
        <v>1798.40002441406</v>
      </c>
      <c r="F1492" s="2">
        <v>1798.69995117187</v>
      </c>
      <c r="G1492" s="2">
        <v>1790.40002441406</v>
      </c>
      <c r="H1492" s="2">
        <v>1794.90002441406</v>
      </c>
      <c r="I1492">
        <v>534</v>
      </c>
      <c r="J1492" s="2">
        <f ca="1">IFERROR((Tabla3[[#This Row],[Close]]-OFFSET(Tabla3[[#This Row],[Close]],-1,0))/OFFSET(Tabla3[[#This Row],[Close]],-1,0),"")</f>
        <v>7.7908982418475176E-4</v>
      </c>
      <c r="K1492" s="2">
        <f ca="1">IFERROR(AVERAGE(OFFSET(Tabla3[[#This Row],[Close]],-6,0,7)),"")</f>
        <v>1807.0857107979887</v>
      </c>
      <c r="L1492" s="2">
        <f ca="1">IFERROR(_xlfn.STDEV.S(OFFSET(Tabla3[[#This Row],[Close]],-29,0,30)),"")</f>
        <v>17.11766230763314</v>
      </c>
    </row>
    <row r="1493" spans="1:12" x14ac:dyDescent="0.3">
      <c r="A1493" s="1">
        <v>44572</v>
      </c>
      <c r="B1493" s="3">
        <f>YEAR(Tabla3[[#This Row],[Date]])</f>
        <v>2022</v>
      </c>
      <c r="C1493" s="1" t="str">
        <f>+TEXT(Tabla3[[#This Row],[Date]],"mmm")</f>
        <v>ene</v>
      </c>
      <c r="D1493" s="2">
        <v>1818.59997558593</v>
      </c>
      <c r="E1493" s="2">
        <v>1818.59997558593</v>
      </c>
      <c r="F1493" s="2">
        <v>1822.5</v>
      </c>
      <c r="G1493" s="2">
        <v>1803</v>
      </c>
      <c r="H1493" s="2">
        <v>1803.90002441406</v>
      </c>
      <c r="I1493">
        <v>743</v>
      </c>
      <c r="J1493" s="2">
        <f ca="1">IFERROR((Tabla3[[#This Row],[Close]]-OFFSET(Tabla3[[#This Row],[Close]],-1,0))/OFFSET(Tabla3[[#This Row],[Close]],-1,0),"")</f>
        <v>1.1232179102339248E-2</v>
      </c>
      <c r="K1493" s="2">
        <f ca="1">IFERROR(AVERAGE(OFFSET(Tabla3[[#This Row],[Close]],-6,0,7)),"")</f>
        <v>1805.8142787388358</v>
      </c>
      <c r="L1493" s="2">
        <f ca="1">IFERROR(_xlfn.STDEV.S(OFFSET(Tabla3[[#This Row],[Close]],-29,0,30)),"")</f>
        <v>17.632399686574647</v>
      </c>
    </row>
    <row r="1494" spans="1:12" x14ac:dyDescent="0.3">
      <c r="A1494" s="1">
        <v>44573</v>
      </c>
      <c r="B1494" s="3">
        <f>YEAR(Tabla3[[#This Row],[Date]])</f>
        <v>2022</v>
      </c>
      <c r="C1494" s="1" t="str">
        <f>+TEXT(Tabla3[[#This Row],[Date]],"mmm")</f>
        <v>ene</v>
      </c>
      <c r="D1494" s="2">
        <v>1827.19995117187</v>
      </c>
      <c r="E1494" s="2">
        <v>1827.19995117187</v>
      </c>
      <c r="F1494" s="2">
        <v>1827.19995117187</v>
      </c>
      <c r="G1494" s="2">
        <v>1816.90002441406</v>
      </c>
      <c r="H1494" s="2">
        <v>1819</v>
      </c>
      <c r="I1494">
        <v>1547</v>
      </c>
      <c r="J1494" s="2">
        <f ca="1">IFERROR((Tabla3[[#This Row],[Close]]-OFFSET(Tabla3[[#This Row],[Close]],-1,0))/OFFSET(Tabla3[[#This Row],[Close]],-1,0),"")</f>
        <v>4.72889898899795E-3</v>
      </c>
      <c r="K1494" s="2">
        <f ca="1">IFERROR(AVERAGE(OFFSET(Tabla3[[#This Row],[Close]],-6,0,7)),"")</f>
        <v>1809.7856968470944</v>
      </c>
      <c r="L1494" s="2">
        <f ca="1">IFERROR(_xlfn.STDEV.S(OFFSET(Tabla3[[#This Row],[Close]],-29,0,30)),"")</f>
        <v>18.209606869445135</v>
      </c>
    </row>
    <row r="1495" spans="1:12" x14ac:dyDescent="0.3">
      <c r="A1495" s="1">
        <v>44574</v>
      </c>
      <c r="B1495" s="3">
        <f>YEAR(Tabla3[[#This Row],[Date]])</f>
        <v>2022</v>
      </c>
      <c r="C1495" s="1" t="str">
        <f>+TEXT(Tabla3[[#This Row],[Date]],"mmm")</f>
        <v>ene</v>
      </c>
      <c r="D1495" s="2">
        <v>1821.19995117187</v>
      </c>
      <c r="E1495" s="2">
        <v>1821.19995117187</v>
      </c>
      <c r="F1495" s="2">
        <v>1823</v>
      </c>
      <c r="G1495" s="2">
        <v>1815.40002441406</v>
      </c>
      <c r="H1495" s="2">
        <v>1819.80004882812</v>
      </c>
      <c r="I1495">
        <v>40</v>
      </c>
      <c r="J1495" s="2">
        <f ca="1">IFERROR((Tabla3[[#This Row],[Close]]-OFFSET(Tabla3[[#This Row],[Close]],-1,0))/OFFSET(Tabla3[[#This Row],[Close]],-1,0),"")</f>
        <v>-3.2837128723388568E-3</v>
      </c>
      <c r="K1495" s="2">
        <f ca="1">IFERROR(AVERAGE(OFFSET(Tabla3[[#This Row],[Close]],-6,0,7)),"")</f>
        <v>1810.8142613002183</v>
      </c>
      <c r="L1495" s="2">
        <f ca="1">IFERROR(_xlfn.STDEV.S(OFFSET(Tabla3[[#This Row],[Close]],-29,0,30)),"")</f>
        <v>18.583950691460881</v>
      </c>
    </row>
    <row r="1496" spans="1:12" x14ac:dyDescent="0.3">
      <c r="A1496" s="1">
        <v>44575</v>
      </c>
      <c r="B1496" s="3">
        <f>YEAR(Tabla3[[#This Row],[Date]])</f>
        <v>2022</v>
      </c>
      <c r="C1496" s="1" t="str">
        <f>+TEXT(Tabla3[[#This Row],[Date]],"mmm")</f>
        <v>ene</v>
      </c>
      <c r="D1496" s="2">
        <v>1816.5</v>
      </c>
      <c r="E1496" s="2">
        <v>1816.5</v>
      </c>
      <c r="F1496" s="2">
        <v>1822</v>
      </c>
      <c r="G1496" s="2">
        <v>1816.5</v>
      </c>
      <c r="H1496" s="2">
        <v>1821.5</v>
      </c>
      <c r="I1496">
        <v>816</v>
      </c>
      <c r="J1496" s="2">
        <f ca="1">IFERROR((Tabla3[[#This Row],[Close]]-OFFSET(Tabla3[[#This Row],[Close]],-1,0))/OFFSET(Tabla3[[#This Row],[Close]],-1,0),"")</f>
        <v>-2.5806892696465127E-3</v>
      </c>
      <c r="K1496" s="2">
        <f ca="1">IFERROR(AVERAGE(OFFSET(Tabla3[[#This Row],[Close]],-6,0,7)),"")</f>
        <v>1809.6571219308</v>
      </c>
      <c r="L1496" s="2">
        <f ca="1">IFERROR(_xlfn.STDEV.S(OFFSET(Tabla3[[#This Row],[Close]],-29,0,30)),"")</f>
        <v>17.589615970686111</v>
      </c>
    </row>
    <row r="1497" spans="1:12" x14ac:dyDescent="0.3">
      <c r="A1497" s="1">
        <v>44579</v>
      </c>
      <c r="B1497" s="3">
        <f>YEAR(Tabla3[[#This Row],[Date]])</f>
        <v>2022</v>
      </c>
      <c r="C1497" s="1" t="str">
        <f>+TEXT(Tabla3[[#This Row],[Date]],"mmm")</f>
        <v>ene</v>
      </c>
      <c r="D1497" s="2">
        <v>1812.30004882812</v>
      </c>
      <c r="E1497" s="2">
        <v>1812.30004882812</v>
      </c>
      <c r="F1497" s="2">
        <v>1820.09997558593</v>
      </c>
      <c r="G1497" s="2">
        <v>1812.30004882812</v>
      </c>
      <c r="H1497" s="2">
        <v>1816.80004882812</v>
      </c>
      <c r="I1497">
        <v>900</v>
      </c>
      <c r="J1497" s="2">
        <f ca="1">IFERROR((Tabla3[[#This Row],[Close]]-OFFSET(Tabla3[[#This Row],[Close]],-1,0))/OFFSET(Tabla3[[#This Row],[Close]],-1,0),"")</f>
        <v>-2.3121118479933951E-3</v>
      </c>
      <c r="K1497" s="2">
        <f ca="1">IFERROR(AVERAGE(OFFSET(Tabla3[[#This Row],[Close]],-6,0,7)),"")</f>
        <v>1813.0285644531214</v>
      </c>
      <c r="L1497" s="2">
        <f ca="1">IFERROR(_xlfn.STDEV.S(OFFSET(Tabla3[[#This Row],[Close]],-29,0,30)),"")</f>
        <v>17.456552927538457</v>
      </c>
    </row>
    <row r="1498" spans="1:12" x14ac:dyDescent="0.3">
      <c r="A1498" s="1">
        <v>44580</v>
      </c>
      <c r="B1498" s="3">
        <f>YEAR(Tabla3[[#This Row],[Date]])</f>
        <v>2022</v>
      </c>
      <c r="C1498" s="1" t="str">
        <f>+TEXT(Tabla3[[#This Row],[Date]],"mmm")</f>
        <v>ene</v>
      </c>
      <c r="D1498" s="2">
        <v>1843.09997558593</v>
      </c>
      <c r="E1498" s="2">
        <v>1843.09997558593</v>
      </c>
      <c r="F1498" s="2">
        <v>1843.09997558593</v>
      </c>
      <c r="G1498" s="2">
        <v>1817.40002441406</v>
      </c>
      <c r="H1498" s="2">
        <v>1817.40002441406</v>
      </c>
      <c r="I1498">
        <v>4</v>
      </c>
      <c r="J1498" s="2">
        <f ca="1">IFERROR((Tabla3[[#This Row],[Close]]-OFFSET(Tabla3[[#This Row],[Close]],-1,0))/OFFSET(Tabla3[[#This Row],[Close]],-1,0),"")</f>
        <v>1.6994937884444703E-2</v>
      </c>
      <c r="K1498" s="2">
        <f ca="1">IFERROR(AVERAGE(OFFSET(Tabla3[[#This Row],[Close]],-6,0,7)),"")</f>
        <v>1819.6142752511114</v>
      </c>
      <c r="L1498" s="2">
        <f ca="1">IFERROR(_xlfn.STDEV.S(OFFSET(Tabla3[[#This Row],[Close]],-29,0,30)),"")</f>
        <v>18.625149047744884</v>
      </c>
    </row>
    <row r="1499" spans="1:12" x14ac:dyDescent="0.3">
      <c r="A1499" s="1">
        <v>44581</v>
      </c>
      <c r="B1499" s="3">
        <f>YEAR(Tabla3[[#This Row],[Date]])</f>
        <v>2022</v>
      </c>
      <c r="C1499" s="1" t="str">
        <f>+TEXT(Tabla3[[#This Row],[Date]],"mmm")</f>
        <v>ene</v>
      </c>
      <c r="D1499" s="2">
        <v>1842.5</v>
      </c>
      <c r="E1499" s="2">
        <v>1842.5</v>
      </c>
      <c r="F1499" s="2">
        <v>1843</v>
      </c>
      <c r="G1499" s="2">
        <v>1838.19995117187</v>
      </c>
      <c r="H1499" s="2">
        <v>1840.59997558593</v>
      </c>
      <c r="I1499">
        <v>20</v>
      </c>
      <c r="J1499" s="2">
        <f ca="1">IFERROR((Tabla3[[#This Row],[Close]]-OFFSET(Tabla3[[#This Row],[Close]],-1,0))/OFFSET(Tabla3[[#This Row],[Close]],-1,0),"")</f>
        <v>-3.2552525303965765E-4</v>
      </c>
      <c r="K1499" s="2">
        <f ca="1">IFERROR(AVERAGE(OFFSET(Tabla3[[#This Row],[Close]],-6,0,7)),"")</f>
        <v>1825.9142717633883</v>
      </c>
      <c r="L1499" s="2">
        <f ca="1">IFERROR(_xlfn.STDEV.S(OFFSET(Tabla3[[#This Row],[Close]],-29,0,30)),"")</f>
        <v>19.648193379603121</v>
      </c>
    </row>
    <row r="1500" spans="1:12" x14ac:dyDescent="0.3">
      <c r="A1500" s="1">
        <v>44582</v>
      </c>
      <c r="B1500" s="3">
        <f>YEAR(Tabla3[[#This Row],[Date]])</f>
        <v>2022</v>
      </c>
      <c r="C1500" s="1" t="str">
        <f>+TEXT(Tabla3[[#This Row],[Date]],"mmm")</f>
        <v>ene</v>
      </c>
      <c r="D1500" s="2">
        <v>1831.80004882812</v>
      </c>
      <c r="E1500" s="2">
        <v>1831.80004882812</v>
      </c>
      <c r="F1500" s="2">
        <v>1842.40002441406</v>
      </c>
      <c r="G1500" s="2">
        <v>1828.90002441406</v>
      </c>
      <c r="H1500" s="2">
        <v>1838</v>
      </c>
      <c r="I1500">
        <v>19</v>
      </c>
      <c r="J1500" s="2">
        <f ca="1">IFERROR((Tabla3[[#This Row],[Close]]-OFFSET(Tabla3[[#This Row],[Close]],-1,0))/OFFSET(Tabla3[[#This Row],[Close]],-1,0),"")</f>
        <v>-5.8073005003419281E-3</v>
      </c>
      <c r="K1500" s="2">
        <f ca="1">IFERROR(AVERAGE(OFFSET(Tabla3[[#This Row],[Close]],-6,0,7)),"")</f>
        <v>1827.7999965122729</v>
      </c>
      <c r="L1500" s="2">
        <f ca="1">IFERROR(_xlfn.STDEV.S(OFFSET(Tabla3[[#This Row],[Close]],-29,0,30)),"")</f>
        <v>19.878177916482478</v>
      </c>
    </row>
    <row r="1501" spans="1:12" x14ac:dyDescent="0.3">
      <c r="A1501" s="1">
        <v>44585</v>
      </c>
      <c r="B1501" s="3">
        <f>YEAR(Tabla3[[#This Row],[Date]])</f>
        <v>2022</v>
      </c>
      <c r="C1501" s="1" t="str">
        <f>+TEXT(Tabla3[[#This Row],[Date]],"mmm")</f>
        <v>ene</v>
      </c>
      <c r="D1501" s="2">
        <v>1841.69995117187</v>
      </c>
      <c r="E1501" s="2">
        <v>1841.69995117187</v>
      </c>
      <c r="F1501" s="2">
        <v>1842.09997558593</v>
      </c>
      <c r="G1501" s="2">
        <v>1837.90002441406</v>
      </c>
      <c r="H1501" s="2">
        <v>1837.90002441406</v>
      </c>
      <c r="I1501">
        <v>8</v>
      </c>
      <c r="J1501" s="2">
        <f ca="1">IFERROR((Tabla3[[#This Row],[Close]]-OFFSET(Tabla3[[#This Row],[Close]],-1,0))/OFFSET(Tabla3[[#This Row],[Close]],-1,0),"")</f>
        <v>5.4044666884267125E-3</v>
      </c>
      <c r="K1501" s="2">
        <f ca="1">IFERROR(AVERAGE(OFFSET(Tabla3[[#This Row],[Close]],-6,0,7)),"")</f>
        <v>1829.8714250837013</v>
      </c>
      <c r="L1501" s="2">
        <f ca="1">IFERROR(_xlfn.STDEV.S(OFFSET(Tabla3[[#This Row],[Close]],-29,0,30)),"")</f>
        <v>20.034504082204531</v>
      </c>
    </row>
    <row r="1502" spans="1:12" x14ac:dyDescent="0.3">
      <c r="A1502" s="1">
        <v>44586</v>
      </c>
      <c r="B1502" s="3">
        <f>YEAR(Tabla3[[#This Row],[Date]])</f>
        <v>2022</v>
      </c>
      <c r="C1502" s="1" t="str">
        <f>+TEXT(Tabla3[[#This Row],[Date]],"mmm")</f>
        <v>ene</v>
      </c>
      <c r="D1502" s="2">
        <v>1852.69995117187</v>
      </c>
      <c r="E1502" s="2">
        <v>1852.69995117187</v>
      </c>
      <c r="F1502" s="2">
        <v>1852.69995117187</v>
      </c>
      <c r="G1502" s="2">
        <v>1842</v>
      </c>
      <c r="H1502" s="2">
        <v>1843</v>
      </c>
      <c r="I1502">
        <v>11</v>
      </c>
      <c r="J1502" s="2">
        <f ca="1">IFERROR((Tabla3[[#This Row],[Close]]-OFFSET(Tabla3[[#This Row],[Close]],-1,0))/OFFSET(Tabla3[[#This Row],[Close]],-1,0),"")</f>
        <v>5.9727427331475588E-3</v>
      </c>
      <c r="K1502" s="2">
        <f ca="1">IFERROR(AVERAGE(OFFSET(Tabla3[[#This Row],[Close]],-6,0,7)),"")</f>
        <v>1834.3714250837013</v>
      </c>
      <c r="L1502" s="2">
        <f ca="1">IFERROR(_xlfn.STDEV.S(OFFSET(Tabla3[[#This Row],[Close]],-29,0,30)),"")</f>
        <v>21.055676903907738</v>
      </c>
    </row>
    <row r="1503" spans="1:12" x14ac:dyDescent="0.3">
      <c r="A1503" s="1">
        <v>44587</v>
      </c>
      <c r="B1503" s="3">
        <f>YEAR(Tabla3[[#This Row],[Date]])</f>
        <v>2022</v>
      </c>
      <c r="C1503" s="1" t="str">
        <f>+TEXT(Tabla3[[#This Row],[Date]],"mmm")</f>
        <v>ene</v>
      </c>
      <c r="D1503" s="2">
        <v>1829.90002441406</v>
      </c>
      <c r="E1503" s="2">
        <v>1829.90002441406</v>
      </c>
      <c r="F1503" s="2">
        <v>1829.90002441406</v>
      </c>
      <c r="G1503" s="2">
        <v>1829.90002441406</v>
      </c>
      <c r="H1503" s="2">
        <v>1829.90002441406</v>
      </c>
      <c r="I1503">
        <v>55</v>
      </c>
      <c r="J1503" s="2">
        <f ca="1">IFERROR((Tabla3[[#This Row],[Close]]-OFFSET(Tabla3[[#This Row],[Close]],-1,0))/OFFSET(Tabla3[[#This Row],[Close]],-1,0),"")</f>
        <v>-1.230632447709009E-2</v>
      </c>
      <c r="K1503" s="2">
        <f ca="1">IFERROR(AVERAGE(OFFSET(Tabla3[[#This Row],[Close]],-6,0,7)),"")</f>
        <v>1836.2857142857099</v>
      </c>
      <c r="L1503" s="2">
        <f ca="1">IFERROR(_xlfn.STDEV.S(OFFSET(Tabla3[[#This Row],[Close]],-29,0,30)),"")</f>
        <v>20.849505131423246</v>
      </c>
    </row>
    <row r="1504" spans="1:12" x14ac:dyDescent="0.3">
      <c r="A1504" s="1">
        <v>44588</v>
      </c>
      <c r="B1504" s="3">
        <f>YEAR(Tabla3[[#This Row],[Date]])</f>
        <v>2022</v>
      </c>
      <c r="C1504" s="1" t="str">
        <f>+TEXT(Tabla3[[#This Row],[Date]],"mmm")</f>
        <v>ene</v>
      </c>
      <c r="D1504" s="2">
        <v>1793.30004882812</v>
      </c>
      <c r="E1504" s="2">
        <v>1793.30004882812</v>
      </c>
      <c r="F1504" s="2">
        <v>1793.30004882812</v>
      </c>
      <c r="G1504" s="2">
        <v>1793.30004882812</v>
      </c>
      <c r="H1504" s="2">
        <v>1793.30004882812</v>
      </c>
      <c r="I1504">
        <v>196036</v>
      </c>
      <c r="J1504" s="2">
        <f ca="1">IFERROR((Tabla3[[#This Row],[Close]]-OFFSET(Tabla3[[#This Row],[Close]],-1,0))/OFFSET(Tabla3[[#This Row],[Close]],-1,0),"")</f>
        <v>-2.0001079347304471E-2</v>
      </c>
      <c r="K1504" s="2">
        <f ca="1">IFERROR(AVERAGE(OFFSET(Tabla3[[#This Row],[Close]],-6,0,7)),"")</f>
        <v>1833.5714285714241</v>
      </c>
      <c r="L1504" s="2">
        <f ca="1">IFERROR(_xlfn.STDEV.S(OFFSET(Tabla3[[#This Row],[Close]],-29,0,30)),"")</f>
        <v>19.671215160419269</v>
      </c>
    </row>
    <row r="1505" spans="1:12" x14ac:dyDescent="0.3">
      <c r="A1505" s="1">
        <v>44589</v>
      </c>
      <c r="B1505" s="3">
        <f>YEAR(Tabla3[[#This Row],[Date]])</f>
        <v>2022</v>
      </c>
      <c r="C1505" s="1" t="str">
        <f>+TEXT(Tabla3[[#This Row],[Date]],"mmm")</f>
        <v>ene</v>
      </c>
      <c r="D1505" s="2">
        <v>1784.90002441406</v>
      </c>
      <c r="E1505" s="2">
        <v>1784.90002441406</v>
      </c>
      <c r="F1505" s="2">
        <v>1798.40002441406</v>
      </c>
      <c r="G1505" s="2">
        <v>1778.80004882812</v>
      </c>
      <c r="H1505" s="2">
        <v>1797.5</v>
      </c>
      <c r="I1505">
        <v>28521</v>
      </c>
      <c r="J1505" s="2">
        <f ca="1">IFERROR((Tabla3[[#This Row],[Close]]-OFFSET(Tabla3[[#This Row],[Close]],-1,0))/OFFSET(Tabla3[[#This Row],[Close]],-1,0),"")</f>
        <v>-4.6841154214818763E-3</v>
      </c>
      <c r="K1505" s="2">
        <f ca="1">IFERROR(AVERAGE(OFFSET(Tabla3[[#This Row],[Close]],-6,0,7)),"")</f>
        <v>1825.2571498325858</v>
      </c>
      <c r="L1505" s="2">
        <f ca="1">IFERROR(_xlfn.STDEV.S(OFFSET(Tabla3[[#This Row],[Close]],-29,0,30)),"")</f>
        <v>18.078898087498249</v>
      </c>
    </row>
    <row r="1506" spans="1:12" x14ac:dyDescent="0.3">
      <c r="A1506" s="1">
        <v>44592</v>
      </c>
      <c r="B1506" s="3">
        <f>YEAR(Tabla3[[#This Row],[Date]])</f>
        <v>2022</v>
      </c>
      <c r="C1506" s="1" t="str">
        <f>+TEXT(Tabla3[[#This Row],[Date]],"mmm")</f>
        <v>ene</v>
      </c>
      <c r="D1506" s="2">
        <v>1795</v>
      </c>
      <c r="E1506" s="2">
        <v>1795</v>
      </c>
      <c r="F1506" s="2">
        <v>1798.5</v>
      </c>
      <c r="G1506" s="2">
        <v>1785.09997558593</v>
      </c>
      <c r="H1506" s="2">
        <v>1788.5</v>
      </c>
      <c r="I1506">
        <v>1735</v>
      </c>
      <c r="J1506" s="2">
        <f ca="1">IFERROR((Tabla3[[#This Row],[Close]]-OFFSET(Tabla3[[#This Row],[Close]],-1,0))/OFFSET(Tabla3[[#This Row],[Close]],-1,0),"")</f>
        <v>5.6585665571132378E-3</v>
      </c>
      <c r="K1506" s="2">
        <f ca="1">IFERROR(AVERAGE(OFFSET(Tabla3[[#This Row],[Close]],-6,0,7)),"")</f>
        <v>1818.4714355468716</v>
      </c>
      <c r="L1506" s="2">
        <f ca="1">IFERROR(_xlfn.STDEV.S(OFFSET(Tabla3[[#This Row],[Close]],-29,0,30)),"")</f>
        <v>18.131859259675437</v>
      </c>
    </row>
    <row r="1507" spans="1:12" x14ac:dyDescent="0.3">
      <c r="A1507" s="1">
        <v>44593</v>
      </c>
      <c r="B1507" s="3">
        <f>YEAR(Tabla3[[#This Row],[Date]])</f>
        <v>2022</v>
      </c>
      <c r="C1507" s="1" t="str">
        <f>+TEXT(Tabla3[[#This Row],[Date]],"mmm")</f>
        <v>feb</v>
      </c>
      <c r="D1507" s="2">
        <v>1800.30004882812</v>
      </c>
      <c r="E1507" s="2">
        <v>1800.30004882812</v>
      </c>
      <c r="F1507" s="2">
        <v>1806.09997558593</v>
      </c>
      <c r="G1507" s="2">
        <v>1797.09997558593</v>
      </c>
      <c r="H1507" s="2">
        <v>1797.19995117187</v>
      </c>
      <c r="I1507">
        <v>223</v>
      </c>
      <c r="J1507" s="2">
        <f ca="1">IFERROR((Tabla3[[#This Row],[Close]]-OFFSET(Tabla3[[#This Row],[Close]],-1,0))/OFFSET(Tabla3[[#This Row],[Close]],-1,0),"")</f>
        <v>2.9526734418495811E-3</v>
      </c>
      <c r="K1507" s="2">
        <f ca="1">IFERROR(AVERAGE(OFFSET(Tabla3[[#This Row],[Close]],-6,0,7)),"")</f>
        <v>1813.9714355468714</v>
      </c>
      <c r="L1507" s="2">
        <f ca="1">IFERROR(_xlfn.STDEV.S(OFFSET(Tabla3[[#This Row],[Close]],-29,0,30)),"")</f>
        <v>18.205228390452913</v>
      </c>
    </row>
    <row r="1508" spans="1:12" x14ac:dyDescent="0.3">
      <c r="A1508" s="1">
        <v>44594</v>
      </c>
      <c r="B1508" s="3">
        <f>YEAR(Tabla3[[#This Row],[Date]])</f>
        <v>2022</v>
      </c>
      <c r="C1508" s="1" t="str">
        <f>+TEXT(Tabla3[[#This Row],[Date]],"mmm")</f>
        <v>feb</v>
      </c>
      <c r="D1508" s="2">
        <v>1809.19995117187</v>
      </c>
      <c r="E1508" s="2">
        <v>1809.19995117187</v>
      </c>
      <c r="F1508" s="2">
        <v>1810.09997558593</v>
      </c>
      <c r="G1508" s="2">
        <v>1795.09997558593</v>
      </c>
      <c r="H1508" s="2">
        <v>1797.80004882812</v>
      </c>
      <c r="I1508">
        <v>1690</v>
      </c>
      <c r="J1508" s="2">
        <f ca="1">IFERROR((Tabla3[[#This Row],[Close]]-OFFSET(Tabla3[[#This Row],[Close]],-1,0))/OFFSET(Tabla3[[#This Row],[Close]],-1,0),"")</f>
        <v>4.9435661291812255E-3</v>
      </c>
      <c r="K1508" s="2">
        <f ca="1">IFERROR(AVERAGE(OFFSET(Tabla3[[#This Row],[Close]],-6,0,7)),"")</f>
        <v>1809.3285784040143</v>
      </c>
      <c r="L1508" s="2">
        <f ca="1">IFERROR(_xlfn.STDEV.S(OFFSET(Tabla3[[#This Row],[Close]],-29,0,30)),"")</f>
        <v>17.854086410971458</v>
      </c>
    </row>
    <row r="1509" spans="1:12" x14ac:dyDescent="0.3">
      <c r="A1509" s="1">
        <v>44595</v>
      </c>
      <c r="B1509" s="3">
        <f>YEAR(Tabla3[[#This Row],[Date]])</f>
        <v>2022</v>
      </c>
      <c r="C1509" s="1" t="str">
        <f>+TEXT(Tabla3[[#This Row],[Date]],"mmm")</f>
        <v>feb</v>
      </c>
      <c r="D1509" s="2">
        <v>1803</v>
      </c>
      <c r="E1509" s="2">
        <v>1803</v>
      </c>
      <c r="F1509" s="2">
        <v>1808.09997558593</v>
      </c>
      <c r="G1509" s="2">
        <v>1787.90002441406</v>
      </c>
      <c r="H1509" s="2">
        <v>1805.80004882812</v>
      </c>
      <c r="I1509">
        <v>466</v>
      </c>
      <c r="J1509" s="2">
        <f ca="1">IFERROR((Tabla3[[#This Row],[Close]]-OFFSET(Tabla3[[#This Row],[Close]],-1,0))/OFFSET(Tabla3[[#This Row],[Close]],-1,0),"")</f>
        <v>-3.426902133097071E-3</v>
      </c>
      <c r="K1509" s="2">
        <f ca="1">IFERROR(AVERAGE(OFFSET(Tabla3[[#This Row],[Close]],-6,0,7)),"")</f>
        <v>1802.2285853794615</v>
      </c>
      <c r="L1509" s="2">
        <f ca="1">IFERROR(_xlfn.STDEV.S(OFFSET(Tabla3[[#This Row],[Close]],-29,0,30)),"")</f>
        <v>17.310515234734833</v>
      </c>
    </row>
    <row r="1510" spans="1:12" x14ac:dyDescent="0.3">
      <c r="A1510" s="1">
        <v>44596</v>
      </c>
      <c r="B1510" s="3">
        <f>YEAR(Tabla3[[#This Row],[Date]])</f>
        <v>2022</v>
      </c>
      <c r="C1510" s="1" t="str">
        <f>+TEXT(Tabla3[[#This Row],[Date]],"mmm")</f>
        <v>feb</v>
      </c>
      <c r="D1510" s="2">
        <v>1806.59997558593</v>
      </c>
      <c r="E1510" s="2">
        <v>1806.59997558593</v>
      </c>
      <c r="F1510" s="2">
        <v>1813.69995117187</v>
      </c>
      <c r="G1510" s="2">
        <v>1792.5</v>
      </c>
      <c r="H1510" s="2">
        <v>1806</v>
      </c>
      <c r="I1510">
        <v>571</v>
      </c>
      <c r="J1510" s="2">
        <f ca="1">IFERROR((Tabla3[[#This Row],[Close]]-OFFSET(Tabla3[[#This Row],[Close]],-1,0))/OFFSET(Tabla3[[#This Row],[Close]],-1,0),"")</f>
        <v>1.9966586721741524E-3</v>
      </c>
      <c r="K1510" s="2">
        <f ca="1">IFERROR(AVERAGE(OFFSET(Tabla3[[#This Row],[Close]],-6,0,7)),"")</f>
        <v>1798.9000069754427</v>
      </c>
      <c r="L1510" s="2">
        <f ca="1">IFERROR(_xlfn.STDEV.S(OFFSET(Tabla3[[#This Row],[Close]],-29,0,30)),"")</f>
        <v>17.210225555619047</v>
      </c>
    </row>
    <row r="1511" spans="1:12" x14ac:dyDescent="0.3">
      <c r="A1511" s="1">
        <v>44599</v>
      </c>
      <c r="B1511" s="3">
        <f>YEAR(Tabla3[[#This Row],[Date]])</f>
        <v>2022</v>
      </c>
      <c r="C1511" s="1" t="str">
        <f>+TEXT(Tabla3[[#This Row],[Date]],"mmm")</f>
        <v>feb</v>
      </c>
      <c r="D1511" s="2">
        <v>1820.59997558593</v>
      </c>
      <c r="E1511" s="2">
        <v>1820.59997558593</v>
      </c>
      <c r="F1511" s="2">
        <v>1821.30004882812</v>
      </c>
      <c r="G1511" s="2">
        <v>1809.09997558593</v>
      </c>
      <c r="H1511" s="2">
        <v>1812.19995117187</v>
      </c>
      <c r="I1511">
        <v>601</v>
      </c>
      <c r="J1511" s="2">
        <f ca="1">IFERROR((Tabla3[[#This Row],[Close]]-OFFSET(Tabla3[[#This Row],[Close]],-1,0))/OFFSET(Tabla3[[#This Row],[Close]],-1,0),"")</f>
        <v>7.7493635498690934E-3</v>
      </c>
      <c r="K1511" s="2">
        <f ca="1">IFERROR(AVERAGE(OFFSET(Tabla3[[#This Row],[Close]],-6,0,7)),"")</f>
        <v>1802.7999965122729</v>
      </c>
      <c r="L1511" s="2">
        <f ca="1">IFERROR(_xlfn.STDEV.S(OFFSET(Tabla3[[#This Row],[Close]],-29,0,30)),"")</f>
        <v>17.238829074833102</v>
      </c>
    </row>
    <row r="1512" spans="1:12" x14ac:dyDescent="0.3">
      <c r="A1512" s="1">
        <v>44600</v>
      </c>
      <c r="B1512" s="3">
        <f>YEAR(Tabla3[[#This Row],[Date]])</f>
        <v>2022</v>
      </c>
      <c r="C1512" s="1" t="str">
        <f>+TEXT(Tabla3[[#This Row],[Date]],"mmm")</f>
        <v>feb</v>
      </c>
      <c r="D1512" s="2">
        <v>1826.59997558593</v>
      </c>
      <c r="E1512" s="2">
        <v>1826.59997558593</v>
      </c>
      <c r="F1512" s="2">
        <v>1827.59997558593</v>
      </c>
      <c r="G1512" s="2">
        <v>1815</v>
      </c>
      <c r="H1512" s="2">
        <v>1818.90002441406</v>
      </c>
      <c r="I1512">
        <v>108</v>
      </c>
      <c r="J1512" s="2">
        <f ca="1">IFERROR((Tabla3[[#This Row],[Close]]-OFFSET(Tabla3[[#This Row],[Close]],-1,0))/OFFSET(Tabla3[[#This Row],[Close]],-1,0),"")</f>
        <v>3.2956168738105134E-3</v>
      </c>
      <c r="K1512" s="2">
        <f ca="1">IFERROR(AVERAGE(OFFSET(Tabla3[[#This Row],[Close]],-6,0,7)),"")</f>
        <v>1808.7571323939685</v>
      </c>
      <c r="L1512" s="2">
        <f ca="1">IFERROR(_xlfn.STDEV.S(OFFSET(Tabla3[[#This Row],[Close]],-29,0,30)),"")</f>
        <v>17.331279313033431</v>
      </c>
    </row>
    <row r="1513" spans="1:12" x14ac:dyDescent="0.3">
      <c r="A1513" s="1">
        <v>44601</v>
      </c>
      <c r="B1513" s="3">
        <f>YEAR(Tabla3[[#This Row],[Date]])</f>
        <v>2022</v>
      </c>
      <c r="C1513" s="1" t="str">
        <f>+TEXT(Tabla3[[#This Row],[Date]],"mmm")</f>
        <v>feb</v>
      </c>
      <c r="D1513" s="2">
        <v>1835.19995117187</v>
      </c>
      <c r="E1513" s="2">
        <v>1835.19995117187</v>
      </c>
      <c r="F1513" s="2">
        <v>1835.19995117187</v>
      </c>
      <c r="G1513" s="2">
        <v>1825.30004882812</v>
      </c>
      <c r="H1513" s="2">
        <v>1825.40002441406</v>
      </c>
      <c r="I1513">
        <v>683</v>
      </c>
      <c r="J1513" s="2">
        <f ca="1">IFERROR((Tabla3[[#This Row],[Close]]-OFFSET(Tabla3[[#This Row],[Close]],-1,0))/OFFSET(Tabla3[[#This Row],[Close]],-1,0),"")</f>
        <v>4.7081877263144781E-3</v>
      </c>
      <c r="K1513" s="2">
        <f ca="1">IFERROR(AVERAGE(OFFSET(Tabla3[[#This Row],[Close]],-6,0,7)),"")</f>
        <v>1814.4999825613784</v>
      </c>
      <c r="L1513" s="2">
        <f ca="1">IFERROR(_xlfn.STDEV.S(OFFSET(Tabla3[[#This Row],[Close]],-29,0,30)),"")</f>
        <v>17.682371937113238</v>
      </c>
    </row>
    <row r="1514" spans="1:12" x14ac:dyDescent="0.3">
      <c r="A1514" s="1">
        <v>44602</v>
      </c>
      <c r="B1514" s="3">
        <f>YEAR(Tabla3[[#This Row],[Date]])</f>
        <v>2022</v>
      </c>
      <c r="C1514" s="1" t="str">
        <f>+TEXT(Tabla3[[#This Row],[Date]],"mmm")</f>
        <v>feb</v>
      </c>
      <c r="D1514" s="2">
        <v>1836.19995117187</v>
      </c>
      <c r="E1514" s="2">
        <v>1836.19995117187</v>
      </c>
      <c r="F1514" s="2">
        <v>1842.09997558593</v>
      </c>
      <c r="G1514" s="2">
        <v>1820.80004882812</v>
      </c>
      <c r="H1514" s="2">
        <v>1833.30004882812</v>
      </c>
      <c r="I1514">
        <v>365</v>
      </c>
      <c r="J1514" s="2">
        <f ca="1">IFERROR((Tabla3[[#This Row],[Close]]-OFFSET(Tabla3[[#This Row],[Close]],-1,0))/OFFSET(Tabla3[[#This Row],[Close]],-1,0),"")</f>
        <v>5.4489975294596551E-4</v>
      </c>
      <c r="K1514" s="2">
        <f ca="1">IFERROR(AVERAGE(OFFSET(Tabla3[[#This Row],[Close]],-6,0,7)),"")</f>
        <v>1819.628540039057</v>
      </c>
      <c r="L1514" s="2">
        <f ca="1">IFERROR(_xlfn.STDEV.S(OFFSET(Tabla3[[#This Row],[Close]],-29,0,30)),"")</f>
        <v>17.931997161920979</v>
      </c>
    </row>
    <row r="1515" spans="1:12" x14ac:dyDescent="0.3">
      <c r="A1515" s="1">
        <v>44603</v>
      </c>
      <c r="B1515" s="3">
        <f>YEAR(Tabla3[[#This Row],[Date]])</f>
        <v>2022</v>
      </c>
      <c r="C1515" s="1" t="str">
        <f>+TEXT(Tabla3[[#This Row],[Date]],"mmm")</f>
        <v>feb</v>
      </c>
      <c r="D1515" s="2">
        <v>1840.80004882812</v>
      </c>
      <c r="E1515" s="2">
        <v>1840.80004882812</v>
      </c>
      <c r="F1515" s="2">
        <v>1864.80004882812</v>
      </c>
      <c r="G1515" s="2">
        <v>1822</v>
      </c>
      <c r="H1515" s="2">
        <v>1822</v>
      </c>
      <c r="I1515">
        <v>181</v>
      </c>
      <c r="J1515" s="2">
        <f ca="1">IFERROR((Tabla3[[#This Row],[Close]]-OFFSET(Tabla3[[#This Row],[Close]],-1,0))/OFFSET(Tabla3[[#This Row],[Close]],-1,0),"")</f>
        <v>2.5052269788560879E-3</v>
      </c>
      <c r="K1515" s="2">
        <f ca="1">IFERROR(AVERAGE(OFFSET(Tabla3[[#This Row],[Close]],-6,0,7)),"")</f>
        <v>1824.1428397042357</v>
      </c>
      <c r="L1515" s="2">
        <f ca="1">IFERROR(_xlfn.STDEV.S(OFFSET(Tabla3[[#This Row],[Close]],-29,0,30)),"")</f>
        <v>18.425488103017724</v>
      </c>
    </row>
    <row r="1516" spans="1:12" x14ac:dyDescent="0.3">
      <c r="A1516" s="1">
        <v>44606</v>
      </c>
      <c r="B1516" s="3">
        <f>YEAR(Tabla3[[#This Row],[Date]])</f>
        <v>2022</v>
      </c>
      <c r="C1516" s="1" t="str">
        <f>+TEXT(Tabla3[[#This Row],[Date]],"mmm")</f>
        <v>feb</v>
      </c>
      <c r="D1516" s="2">
        <v>1868</v>
      </c>
      <c r="E1516" s="2">
        <v>1868</v>
      </c>
      <c r="F1516" s="2">
        <v>1870.59997558593</v>
      </c>
      <c r="G1516" s="2">
        <v>1854.59997558593</v>
      </c>
      <c r="H1516" s="2">
        <v>1861.80004882812</v>
      </c>
      <c r="I1516">
        <v>79</v>
      </c>
      <c r="J1516" s="2">
        <f ca="1">IFERROR((Tabla3[[#This Row],[Close]]-OFFSET(Tabla3[[#This Row],[Close]],-1,0))/OFFSET(Tabla3[[#This Row],[Close]],-1,0),"")</f>
        <v>1.4776157350275976E-2</v>
      </c>
      <c r="K1516" s="2">
        <f ca="1">IFERROR(AVERAGE(OFFSET(Tabla3[[#This Row],[Close]],-6,0,7)),"")</f>
        <v>1833.4285539899499</v>
      </c>
      <c r="L1516" s="2">
        <f ca="1">IFERROR(_xlfn.STDEV.S(OFFSET(Tabla3[[#This Row],[Close]],-29,0,30)),"")</f>
        <v>20.513893753143936</v>
      </c>
    </row>
    <row r="1517" spans="1:12" x14ac:dyDescent="0.3">
      <c r="A1517" s="1">
        <v>44607</v>
      </c>
      <c r="B1517" s="3">
        <f>YEAR(Tabla3[[#This Row],[Date]])</f>
        <v>2022</v>
      </c>
      <c r="C1517" s="1" t="str">
        <f>+TEXT(Tabla3[[#This Row],[Date]],"mmm")</f>
        <v>feb</v>
      </c>
      <c r="D1517" s="2">
        <v>1854.80004882812</v>
      </c>
      <c r="E1517" s="2">
        <v>1854.80004882812</v>
      </c>
      <c r="F1517" s="2">
        <v>1879.69995117187</v>
      </c>
      <c r="G1517" s="2">
        <v>1847.40002441406</v>
      </c>
      <c r="H1517" s="2">
        <v>1872.59997558593</v>
      </c>
      <c r="I1517">
        <v>86</v>
      </c>
      <c r="J1517" s="2">
        <f ca="1">IFERROR((Tabla3[[#This Row],[Close]]-OFFSET(Tabla3[[#This Row],[Close]],-1,0))/OFFSET(Tabla3[[#This Row],[Close]],-1,0),"")</f>
        <v>-7.066355017066382E-3</v>
      </c>
      <c r="K1517" s="2">
        <f ca="1">IFERROR(AVERAGE(OFFSET(Tabla3[[#This Row],[Close]],-6,0,7)),"")</f>
        <v>1840.314278738834</v>
      </c>
      <c r="L1517" s="2">
        <f ca="1">IFERROR(_xlfn.STDEV.S(OFFSET(Tabla3[[#This Row],[Close]],-29,0,30)),"")</f>
        <v>21.143684967698402</v>
      </c>
    </row>
    <row r="1518" spans="1:12" x14ac:dyDescent="0.3">
      <c r="A1518" s="1">
        <v>44608</v>
      </c>
      <c r="B1518" s="3">
        <f>YEAR(Tabla3[[#This Row],[Date]])</f>
        <v>2022</v>
      </c>
      <c r="C1518" s="1" t="str">
        <f>+TEXT(Tabla3[[#This Row],[Date]],"mmm")</f>
        <v>feb</v>
      </c>
      <c r="D1518" s="2">
        <v>1870.19995117187</v>
      </c>
      <c r="E1518" s="2">
        <v>1870.19995117187</v>
      </c>
      <c r="F1518" s="2">
        <v>1870.19995117187</v>
      </c>
      <c r="G1518" s="2">
        <v>1856.30004882812</v>
      </c>
      <c r="H1518" s="2">
        <v>1858.69995117187</v>
      </c>
      <c r="I1518">
        <v>34</v>
      </c>
      <c r="J1518" s="2">
        <f ca="1">IFERROR((Tabla3[[#This Row],[Close]]-OFFSET(Tabla3[[#This Row],[Close]],-1,0))/OFFSET(Tabla3[[#This Row],[Close]],-1,0),"")</f>
        <v>8.3027291019750638E-3</v>
      </c>
      <c r="K1518" s="2">
        <f ca="1">IFERROR(AVERAGE(OFFSET(Tabla3[[#This Row],[Close]],-6,0,7)),"")</f>
        <v>1847.3999895368254</v>
      </c>
      <c r="L1518" s="2">
        <f ca="1">IFERROR(_xlfn.STDEV.S(OFFSET(Tabla3[[#This Row],[Close]],-29,0,30)),"")</f>
        <v>22.904112244517492</v>
      </c>
    </row>
    <row r="1519" spans="1:12" x14ac:dyDescent="0.3">
      <c r="A1519" s="1">
        <v>44609</v>
      </c>
      <c r="B1519" s="3">
        <f>YEAR(Tabla3[[#This Row],[Date]])</f>
        <v>2022</v>
      </c>
      <c r="C1519" s="1" t="str">
        <f>+TEXT(Tabla3[[#This Row],[Date]],"mmm")</f>
        <v>feb</v>
      </c>
      <c r="D1519" s="2">
        <v>1900.69995117187</v>
      </c>
      <c r="E1519" s="2">
        <v>1900.69995117187</v>
      </c>
      <c r="F1519" s="2">
        <v>1900.69995117187</v>
      </c>
      <c r="G1519" s="2">
        <v>1876.19995117187</v>
      </c>
      <c r="H1519" s="2">
        <v>1876.30004882812</v>
      </c>
      <c r="I1519">
        <v>393</v>
      </c>
      <c r="J1519" s="2">
        <f ca="1">IFERROR((Tabla3[[#This Row],[Close]]-OFFSET(Tabla3[[#This Row],[Close]],-1,0))/OFFSET(Tabla3[[#This Row],[Close]],-1,0),"")</f>
        <v>1.6308416637958234E-2</v>
      </c>
      <c r="K1519" s="2">
        <f ca="1">IFERROR(AVERAGE(OFFSET(Tabla3[[#This Row],[Close]],-6,0,7)),"")</f>
        <v>1857.985700334817</v>
      </c>
      <c r="L1519" s="2">
        <f ca="1">IFERROR(_xlfn.STDEV.S(OFFSET(Tabla3[[#This Row],[Close]],-29,0,30)),"")</f>
        <v>26.942128125854069</v>
      </c>
    </row>
    <row r="1520" spans="1:12" x14ac:dyDescent="0.3">
      <c r="A1520" s="1">
        <v>44610</v>
      </c>
      <c r="B1520" s="3">
        <f>YEAR(Tabla3[[#This Row],[Date]])</f>
        <v>2022</v>
      </c>
      <c r="C1520" s="1" t="str">
        <f>+TEXT(Tabla3[[#This Row],[Date]],"mmm")</f>
        <v>feb</v>
      </c>
      <c r="D1520" s="2">
        <v>1898.59997558593</v>
      </c>
      <c r="E1520" s="2">
        <v>1898.59997558593</v>
      </c>
      <c r="F1520" s="2">
        <v>1899.40002441406</v>
      </c>
      <c r="G1520" s="2">
        <v>1890.69995117187</v>
      </c>
      <c r="H1520" s="2">
        <v>1899.40002441406</v>
      </c>
      <c r="I1520">
        <v>51</v>
      </c>
      <c r="J1520" s="2">
        <f ca="1">IFERROR((Tabla3[[#This Row],[Close]]-OFFSET(Tabla3[[#This Row],[Close]],-1,0))/OFFSET(Tabla3[[#This Row],[Close]],-1,0),"")</f>
        <v>-1.104843289255239E-3</v>
      </c>
      <c r="K1520" s="2">
        <f ca="1">IFERROR(AVERAGE(OFFSET(Tabla3[[#This Row],[Close]],-6,0,7)),"")</f>
        <v>1867.0428466796827</v>
      </c>
      <c r="L1520" s="2">
        <f ca="1">IFERROR(_xlfn.STDEV.S(OFFSET(Tabla3[[#This Row],[Close]],-29,0,30)),"")</f>
        <v>29.138539799285436</v>
      </c>
    </row>
    <row r="1521" spans="1:12" x14ac:dyDescent="0.3">
      <c r="A1521" s="1">
        <v>44614</v>
      </c>
      <c r="B1521" s="3">
        <f>YEAR(Tabla3[[#This Row],[Date]])</f>
        <v>2022</v>
      </c>
      <c r="C1521" s="1" t="str">
        <f>+TEXT(Tabla3[[#This Row],[Date]],"mmm")</f>
        <v>feb</v>
      </c>
      <c r="D1521" s="2">
        <v>1906.09997558593</v>
      </c>
      <c r="E1521" s="2">
        <v>1906.09997558593</v>
      </c>
      <c r="F1521" s="2">
        <v>1912</v>
      </c>
      <c r="G1521" s="2">
        <v>1890.80004882812</v>
      </c>
      <c r="H1521" s="2">
        <v>1908.09997558593</v>
      </c>
      <c r="I1521">
        <v>173</v>
      </c>
      <c r="J1521" s="2">
        <f ca="1">IFERROR((Tabla3[[#This Row],[Close]]-OFFSET(Tabla3[[#This Row],[Close]],-1,0))/OFFSET(Tabla3[[#This Row],[Close]],-1,0),"")</f>
        <v>3.9502792038567328E-3</v>
      </c>
      <c r="K1521" s="2">
        <f ca="1">IFERROR(AVERAGE(OFFSET(Tabla3[[#This Row],[Close]],-6,0,7)),"")</f>
        <v>1877.02856445312</v>
      </c>
      <c r="L1521" s="2">
        <f ca="1">IFERROR(_xlfn.STDEV.S(OFFSET(Tabla3[[#This Row],[Close]],-29,0,30)),"")</f>
        <v>31.675097493993928</v>
      </c>
    </row>
    <row r="1522" spans="1:12" x14ac:dyDescent="0.3">
      <c r="A1522" s="1">
        <v>44615</v>
      </c>
      <c r="B1522" s="3">
        <f>YEAR(Tabla3[[#This Row],[Date]])</f>
        <v>2022</v>
      </c>
      <c r="C1522" s="1" t="str">
        <f>+TEXT(Tabla3[[#This Row],[Date]],"mmm")</f>
        <v>feb</v>
      </c>
      <c r="D1522" s="2">
        <v>1909.19995117187</v>
      </c>
      <c r="E1522" s="2">
        <v>1909.19995117187</v>
      </c>
      <c r="F1522" s="2">
        <v>1910.59997558593</v>
      </c>
      <c r="G1522" s="2">
        <v>1895.69995117187</v>
      </c>
      <c r="H1522" s="2">
        <v>1896.59997558593</v>
      </c>
      <c r="I1522">
        <v>73</v>
      </c>
      <c r="J1522" s="2">
        <f ca="1">IFERROR((Tabla3[[#This Row],[Close]]-OFFSET(Tabla3[[#This Row],[Close]],-1,0))/OFFSET(Tabla3[[#This Row],[Close]],-1,0),"")</f>
        <v>1.6263446963148283E-3</v>
      </c>
      <c r="K1522" s="2">
        <f ca="1">IFERROR(AVERAGE(OFFSET(Tabla3[[#This Row],[Close]],-6,0,7)),"")</f>
        <v>1886.7999790736558</v>
      </c>
      <c r="L1522" s="2">
        <f ca="1">IFERROR(_xlfn.STDEV.S(OFFSET(Tabla3[[#This Row],[Close]],-29,0,30)),"")</f>
        <v>33.899264635812756</v>
      </c>
    </row>
    <row r="1523" spans="1:12" x14ac:dyDescent="0.3">
      <c r="A1523" s="1">
        <v>44616</v>
      </c>
      <c r="B1523" s="3">
        <f>YEAR(Tabla3[[#This Row],[Date]])</f>
        <v>2022</v>
      </c>
      <c r="C1523" s="1" t="str">
        <f>+TEXT(Tabla3[[#This Row],[Date]],"mmm")</f>
        <v>feb</v>
      </c>
      <c r="D1523" s="2">
        <v>1925.09997558593</v>
      </c>
      <c r="E1523" s="2">
        <v>1925.09997558593</v>
      </c>
      <c r="F1523" s="2">
        <v>1972.5</v>
      </c>
      <c r="G1523" s="2">
        <v>1911.69995117187</v>
      </c>
      <c r="H1523" s="2">
        <v>1911.90002441406</v>
      </c>
      <c r="I1523">
        <v>2706</v>
      </c>
      <c r="J1523" s="2">
        <f ca="1">IFERROR((Tabla3[[#This Row],[Close]]-OFFSET(Tabla3[[#This Row],[Close]],-1,0))/OFFSET(Tabla3[[#This Row],[Close]],-1,0),"")</f>
        <v>8.3281085379771445E-3</v>
      </c>
      <c r="K1523" s="2">
        <f ca="1">IFERROR(AVERAGE(OFFSET(Tabla3[[#This Row],[Close]],-6,0,7)),"")</f>
        <v>1894.9571184430745</v>
      </c>
      <c r="L1523" s="2">
        <f ca="1">IFERROR(_xlfn.STDEV.S(OFFSET(Tabla3[[#This Row],[Close]],-29,0,30)),"")</f>
        <v>37.35400832290366</v>
      </c>
    </row>
    <row r="1524" spans="1:12" x14ac:dyDescent="0.3">
      <c r="A1524" s="1">
        <v>44617</v>
      </c>
      <c r="B1524" s="3">
        <f>YEAR(Tabla3[[#This Row],[Date]])</f>
        <v>2022</v>
      </c>
      <c r="C1524" s="1" t="str">
        <f>+TEXT(Tabla3[[#This Row],[Date]],"mmm")</f>
        <v>feb</v>
      </c>
      <c r="D1524" s="2">
        <v>1886.5</v>
      </c>
      <c r="E1524" s="2">
        <v>1886.5</v>
      </c>
      <c r="F1524" s="2">
        <v>1920</v>
      </c>
      <c r="G1524" s="2">
        <v>1883.59997558593</v>
      </c>
      <c r="H1524" s="2">
        <v>1906.90002441406</v>
      </c>
      <c r="I1524">
        <v>586</v>
      </c>
      <c r="J1524" s="2">
        <f ca="1">IFERROR((Tabla3[[#This Row],[Close]]-OFFSET(Tabla3[[#This Row],[Close]],-1,0))/OFFSET(Tabla3[[#This Row],[Close]],-1,0),"")</f>
        <v>-2.0050894018728341E-2</v>
      </c>
      <c r="K1524" s="2">
        <f ca="1">IFERROR(AVERAGE(OFFSET(Tabla3[[#This Row],[Close]],-6,0,7)),"")</f>
        <v>1899.4856828962002</v>
      </c>
      <c r="L1524" s="2">
        <f ca="1">IFERROR(_xlfn.STDEV.S(OFFSET(Tabla3[[#This Row],[Close]],-29,0,30)),"")</f>
        <v>38.206554620653662</v>
      </c>
    </row>
    <row r="1525" spans="1:12" x14ac:dyDescent="0.3">
      <c r="A1525" s="1">
        <v>44620</v>
      </c>
      <c r="B1525" s="3">
        <f>YEAR(Tabla3[[#This Row],[Date]])</f>
        <v>2022</v>
      </c>
      <c r="C1525" s="1" t="str">
        <f>+TEXT(Tabla3[[#This Row],[Date]],"mmm")</f>
        <v>feb</v>
      </c>
      <c r="D1525" s="2">
        <v>1899.40002441406</v>
      </c>
      <c r="E1525" s="2">
        <v>1899.40002441406</v>
      </c>
      <c r="F1525" s="2">
        <v>1928.40002441406</v>
      </c>
      <c r="G1525" s="2">
        <v>1894.19995117187</v>
      </c>
      <c r="H1525" s="2">
        <v>1928.30004882812</v>
      </c>
      <c r="I1525">
        <v>390</v>
      </c>
      <c r="J1525" s="2">
        <f ca="1">IFERROR((Tabla3[[#This Row],[Close]]-OFFSET(Tabla3[[#This Row],[Close]],-1,0))/OFFSET(Tabla3[[#This Row],[Close]],-1,0),"")</f>
        <v>6.8380728407421145E-3</v>
      </c>
      <c r="K1525" s="2">
        <f ca="1">IFERROR(AVERAGE(OFFSET(Tabla3[[#This Row],[Close]],-6,0,7)),"")</f>
        <v>1903.6571219307987</v>
      </c>
      <c r="L1525" s="2">
        <f ca="1">IFERROR(_xlfn.STDEV.S(OFFSET(Tabla3[[#This Row],[Close]],-29,0,30)),"")</f>
        <v>39.381953437682739</v>
      </c>
    </row>
    <row r="1526" spans="1:12" x14ac:dyDescent="0.3">
      <c r="A1526" s="1">
        <v>44621</v>
      </c>
      <c r="B1526" s="3">
        <f>YEAR(Tabla3[[#This Row],[Date]])</f>
        <v>2022</v>
      </c>
      <c r="C1526" s="1" t="str">
        <f>+TEXT(Tabla3[[#This Row],[Date]],"mmm")</f>
        <v>mar</v>
      </c>
      <c r="D1526" s="2">
        <v>1942.40002441406</v>
      </c>
      <c r="E1526" s="2">
        <v>1942.40002441406</v>
      </c>
      <c r="F1526" s="2">
        <v>1942.40002441406</v>
      </c>
      <c r="G1526" s="2">
        <v>1903.80004882812</v>
      </c>
      <c r="H1526" s="2">
        <v>1908.30004882812</v>
      </c>
      <c r="I1526">
        <v>547</v>
      </c>
      <c r="J1526" s="2">
        <f ca="1">IFERROR((Tabla3[[#This Row],[Close]]-OFFSET(Tabla3[[#This Row],[Close]],-1,0))/OFFSET(Tabla3[[#This Row],[Close]],-1,0),"")</f>
        <v>2.2638727728386196E-2</v>
      </c>
      <c r="K1526" s="2">
        <f ca="1">IFERROR(AVERAGE(OFFSET(Tabla3[[#This Row],[Close]],-6,0,7)),"")</f>
        <v>1909.6142752511116</v>
      </c>
      <c r="L1526" s="2">
        <f ca="1">IFERROR(_xlfn.STDEV.S(OFFSET(Tabla3[[#This Row],[Close]],-29,0,30)),"")</f>
        <v>42.831097298914052</v>
      </c>
    </row>
    <row r="1527" spans="1:12" x14ac:dyDescent="0.3">
      <c r="A1527" s="1">
        <v>44622</v>
      </c>
      <c r="B1527" s="3">
        <f>YEAR(Tabla3[[#This Row],[Date]])</f>
        <v>2022</v>
      </c>
      <c r="C1527" s="1" t="str">
        <f>+TEXT(Tabla3[[#This Row],[Date]],"mmm")</f>
        <v>mar</v>
      </c>
      <c r="D1527" s="2">
        <v>1920.90002441406</v>
      </c>
      <c r="E1527" s="2">
        <v>1920.90002441406</v>
      </c>
      <c r="F1527" s="2">
        <v>1948.19995117187</v>
      </c>
      <c r="G1527" s="2">
        <v>1919.80004882812</v>
      </c>
      <c r="H1527" s="2">
        <v>1945.59997558593</v>
      </c>
      <c r="I1527">
        <v>109</v>
      </c>
      <c r="J1527" s="2">
        <f ca="1">IFERROR((Tabla3[[#This Row],[Close]]-OFFSET(Tabla3[[#This Row],[Close]],-1,0))/OFFSET(Tabla3[[#This Row],[Close]],-1,0),"")</f>
        <v>-1.1068780750497387E-2</v>
      </c>
      <c r="K1527" s="2">
        <f ca="1">IFERROR(AVERAGE(OFFSET(Tabla3[[#This Row],[Close]],-6,0,7)),"")</f>
        <v>1912.7999965122731</v>
      </c>
      <c r="L1527" s="2">
        <f ca="1">IFERROR(_xlfn.STDEV.S(OFFSET(Tabla3[[#This Row],[Close]],-29,0,30)),"")</f>
        <v>44.199419750621928</v>
      </c>
    </row>
    <row r="1528" spans="1:12" x14ac:dyDescent="0.3">
      <c r="A1528" s="1">
        <v>44623</v>
      </c>
      <c r="B1528" s="3">
        <f>YEAR(Tabla3[[#This Row],[Date]])</f>
        <v>2022</v>
      </c>
      <c r="C1528" s="1" t="str">
        <f>+TEXT(Tabla3[[#This Row],[Date]],"mmm")</f>
        <v>mar</v>
      </c>
      <c r="D1528" s="2">
        <v>1934.40002441406</v>
      </c>
      <c r="E1528" s="2">
        <v>1934.40002441406</v>
      </c>
      <c r="F1528" s="2">
        <v>1940.30004882812</v>
      </c>
      <c r="G1528" s="2">
        <v>1924.80004882812</v>
      </c>
      <c r="H1528" s="2">
        <v>1930.5</v>
      </c>
      <c r="I1528">
        <v>122</v>
      </c>
      <c r="J1528" s="2">
        <f ca="1">IFERROR((Tabla3[[#This Row],[Close]]-OFFSET(Tabla3[[#This Row],[Close]],-1,0))/OFFSET(Tabla3[[#This Row],[Close]],-1,0),"")</f>
        <v>7.0279555564678386E-3</v>
      </c>
      <c r="K1528" s="2">
        <f ca="1">IFERROR(AVERAGE(OFFSET(Tabla3[[#This Row],[Close]],-6,0,7)),"")</f>
        <v>1916.8428606305772</v>
      </c>
      <c r="L1528" s="2">
        <f ca="1">IFERROR(_xlfn.STDEV.S(OFFSET(Tabla3[[#This Row],[Close]],-29,0,30)),"")</f>
        <v>46.606808951937573</v>
      </c>
    </row>
    <row r="1529" spans="1:12" x14ac:dyDescent="0.3">
      <c r="A1529" s="1">
        <v>44624</v>
      </c>
      <c r="B1529" s="3">
        <f>YEAR(Tabla3[[#This Row],[Date]])</f>
        <v>2022</v>
      </c>
      <c r="C1529" s="1" t="str">
        <f>+TEXT(Tabla3[[#This Row],[Date]],"mmm")</f>
        <v>mar</v>
      </c>
      <c r="D1529" s="2">
        <v>1965.09997558593</v>
      </c>
      <c r="E1529" s="2">
        <v>1965.09997558593</v>
      </c>
      <c r="F1529" s="2">
        <v>1970.90002441406</v>
      </c>
      <c r="G1529" s="2">
        <v>1935.59997558593</v>
      </c>
      <c r="H1529" s="2">
        <v>1937</v>
      </c>
      <c r="I1529">
        <v>47</v>
      </c>
      <c r="J1529" s="2">
        <f ca="1">IFERROR((Tabla3[[#This Row],[Close]]-OFFSET(Tabla3[[#This Row],[Close]],-1,0))/OFFSET(Tabla3[[#This Row],[Close]],-1,0),"")</f>
        <v>1.5870528734701177E-2</v>
      </c>
      <c r="K1529" s="2">
        <f ca="1">IFERROR(AVERAGE(OFFSET(Tabla3[[#This Row],[Close]],-6,0,7)),"")</f>
        <v>1924.8285784040145</v>
      </c>
      <c r="L1529" s="2">
        <f ca="1">IFERROR(_xlfn.STDEV.S(OFFSET(Tabla3[[#This Row],[Close]],-29,0,30)),"")</f>
        <v>50.624615098059834</v>
      </c>
    </row>
    <row r="1530" spans="1:12" x14ac:dyDescent="0.3">
      <c r="A1530" s="1">
        <v>44627</v>
      </c>
      <c r="B1530" s="3">
        <f>YEAR(Tabla3[[#This Row],[Date]])</f>
        <v>2022</v>
      </c>
      <c r="C1530" s="1" t="str">
        <f>+TEXT(Tabla3[[#This Row],[Date]],"mmm")</f>
        <v>mar</v>
      </c>
      <c r="D1530" s="2">
        <v>1993.90002441406</v>
      </c>
      <c r="E1530" s="2">
        <v>1993.90002441406</v>
      </c>
      <c r="F1530" s="2">
        <v>2001.09997558593</v>
      </c>
      <c r="G1530" s="2">
        <v>1963</v>
      </c>
      <c r="H1530" s="2">
        <v>1989</v>
      </c>
      <c r="I1530">
        <v>2516</v>
      </c>
      <c r="J1530" s="2">
        <f ca="1">IFERROR((Tabla3[[#This Row],[Close]]-OFFSET(Tabla3[[#This Row],[Close]],-1,0))/OFFSET(Tabla3[[#This Row],[Close]],-1,0),"")</f>
        <v>1.4655767740032031E-2</v>
      </c>
      <c r="K1530" s="2">
        <f ca="1">IFERROR(AVERAGE(OFFSET(Tabla3[[#This Row],[Close]],-6,0,7)),"")</f>
        <v>1934.6571568080328</v>
      </c>
      <c r="L1530" s="2">
        <f ca="1">IFERROR(_xlfn.STDEV.S(OFFSET(Tabla3[[#This Row],[Close]],-29,0,30)),"")</f>
        <v>55.924059042145132</v>
      </c>
    </row>
    <row r="1531" spans="1:12" x14ac:dyDescent="0.3">
      <c r="A1531" s="1">
        <v>44628</v>
      </c>
      <c r="B1531" s="3">
        <f>YEAR(Tabla3[[#This Row],[Date]])</f>
        <v>2022</v>
      </c>
      <c r="C1531" s="1" t="str">
        <f>+TEXT(Tabla3[[#This Row],[Date]],"mmm")</f>
        <v>mar</v>
      </c>
      <c r="D1531" s="2">
        <v>2040.09997558593</v>
      </c>
      <c r="E1531" s="2">
        <v>2040.09997558593</v>
      </c>
      <c r="F1531" s="2">
        <v>2072</v>
      </c>
      <c r="G1531" s="2">
        <v>1998</v>
      </c>
      <c r="H1531" s="2">
        <v>1999.40002441406</v>
      </c>
      <c r="I1531">
        <v>1813</v>
      </c>
      <c r="J1531" s="2">
        <f ca="1">IFERROR((Tabla3[[#This Row],[Close]]-OFFSET(Tabla3[[#This Row],[Close]],-1,0))/OFFSET(Tabla3[[#This Row],[Close]],-1,0),"")</f>
        <v>2.3170645772696955E-2</v>
      </c>
      <c r="K1531" s="2">
        <f ca="1">IFERROR(AVERAGE(OFFSET(Tabla3[[#This Row],[Close]],-6,0,7)),"")</f>
        <v>1956.6000104631657</v>
      </c>
      <c r="L1531" s="2">
        <f ca="1">IFERROR(_xlfn.STDEV.S(OFFSET(Tabla3[[#This Row],[Close]],-29,0,30)),"")</f>
        <v>64.188661165895368</v>
      </c>
    </row>
    <row r="1532" spans="1:12" x14ac:dyDescent="0.3">
      <c r="A1532" s="1">
        <v>44629</v>
      </c>
      <c r="B1532" s="3">
        <f>YEAR(Tabla3[[#This Row],[Date]])</f>
        <v>2022</v>
      </c>
      <c r="C1532" s="1" t="str">
        <f>+TEXT(Tabla3[[#This Row],[Date]],"mmm")</f>
        <v>mar</v>
      </c>
      <c r="D1532" s="2">
        <v>1985.90002441406</v>
      </c>
      <c r="E1532" s="2">
        <v>1985.90002441406</v>
      </c>
      <c r="F1532" s="2">
        <v>2063</v>
      </c>
      <c r="G1532" s="2">
        <v>1980.80004882812</v>
      </c>
      <c r="H1532" s="2">
        <v>2053.60009765625</v>
      </c>
      <c r="I1532">
        <v>1022</v>
      </c>
      <c r="J1532" s="2">
        <f ca="1">IFERROR((Tabla3[[#This Row],[Close]]-OFFSET(Tabla3[[#This Row],[Close]],-1,0))/OFFSET(Tabla3[[#This Row],[Close]],-1,0),"")</f>
        <v>-2.6567301514869839E-2</v>
      </c>
      <c r="K1532" s="2">
        <f ca="1">IFERROR(AVERAGE(OFFSET(Tabla3[[#This Row],[Close]],-6,0,7)),"")</f>
        <v>1968.9571533203089</v>
      </c>
      <c r="L1532" s="2">
        <f ca="1">IFERROR(_xlfn.STDEV.S(OFFSET(Tabla3[[#This Row],[Close]],-29,0,30)),"")</f>
        <v>67.360615485780272</v>
      </c>
    </row>
    <row r="1533" spans="1:12" x14ac:dyDescent="0.3">
      <c r="A1533" s="1">
        <v>44630</v>
      </c>
      <c r="B1533" s="3">
        <f>YEAR(Tabla3[[#This Row],[Date]])</f>
        <v>2022</v>
      </c>
      <c r="C1533" s="1" t="str">
        <f>+TEXT(Tabla3[[#This Row],[Date]],"mmm")</f>
        <v>mar</v>
      </c>
      <c r="D1533" s="2">
        <v>1998.09997558593</v>
      </c>
      <c r="E1533" s="2">
        <v>1998.09997558593</v>
      </c>
      <c r="F1533" s="2">
        <v>2010.5</v>
      </c>
      <c r="G1533" s="2">
        <v>1978.09997558593</v>
      </c>
      <c r="H1533" s="2">
        <v>1978.09997558593</v>
      </c>
      <c r="I1533">
        <v>670</v>
      </c>
      <c r="J1533" s="2">
        <f ca="1">IFERROR((Tabla3[[#This Row],[Close]]-OFFSET(Tabla3[[#This Row],[Close]],-1,0))/OFFSET(Tabla3[[#This Row],[Close]],-1,0),"")</f>
        <v>6.1432856749521385E-3</v>
      </c>
      <c r="K1533" s="2">
        <f ca="1">IFERROR(AVERAGE(OFFSET(Tabla3[[#This Row],[Close]],-6,0,7)),"")</f>
        <v>1976.9142892020043</v>
      </c>
      <c r="L1533" s="2">
        <f ca="1">IFERROR(_xlfn.STDEV.S(OFFSET(Tabla3[[#This Row],[Close]],-29,0,30)),"")</f>
        <v>70.317938306138444</v>
      </c>
    </row>
    <row r="1534" spans="1:12" x14ac:dyDescent="0.3">
      <c r="A1534" s="1">
        <v>44631</v>
      </c>
      <c r="B1534" s="3">
        <f>YEAR(Tabla3[[#This Row],[Date]])</f>
        <v>2022</v>
      </c>
      <c r="C1534" s="1" t="str">
        <f>+TEXT(Tabla3[[#This Row],[Date]],"mmm")</f>
        <v>mar</v>
      </c>
      <c r="D1534" s="2">
        <v>1982.69995117187</v>
      </c>
      <c r="E1534" s="2">
        <v>1982.69995117187</v>
      </c>
      <c r="F1534" s="2">
        <v>1996</v>
      </c>
      <c r="G1534" s="2">
        <v>1959.90002441406</v>
      </c>
      <c r="H1534" s="2">
        <v>1985</v>
      </c>
      <c r="I1534">
        <v>865</v>
      </c>
      <c r="J1534" s="2">
        <f ca="1">IFERROR((Tabla3[[#This Row],[Close]]-OFFSET(Tabla3[[#This Row],[Close]],-1,0))/OFFSET(Tabla3[[#This Row],[Close]],-1,0),"")</f>
        <v>-7.707334268668934E-3</v>
      </c>
      <c r="K1534" s="2">
        <f ca="1">IFERROR(AVERAGE(OFFSET(Tabla3[[#This Row],[Close]],-6,0,7)),"")</f>
        <v>1985.7428501674058</v>
      </c>
      <c r="L1534" s="2">
        <f ca="1">IFERROR(_xlfn.STDEV.S(OFFSET(Tabla3[[#This Row],[Close]],-29,0,30)),"")</f>
        <v>70.608975407305337</v>
      </c>
    </row>
    <row r="1535" spans="1:12" x14ac:dyDescent="0.3">
      <c r="A1535" s="1">
        <v>44634</v>
      </c>
      <c r="B1535" s="3">
        <f>YEAR(Tabla3[[#This Row],[Date]])</f>
        <v>2022</v>
      </c>
      <c r="C1535" s="1" t="str">
        <f>+TEXT(Tabla3[[#This Row],[Date]],"mmm")</f>
        <v>mar</v>
      </c>
      <c r="D1535" s="2">
        <v>1959.59997558593</v>
      </c>
      <c r="E1535" s="2">
        <v>1959.59997558593</v>
      </c>
      <c r="F1535" s="2">
        <v>1977.69995117187</v>
      </c>
      <c r="G1535" s="2">
        <v>1959.59997558593</v>
      </c>
      <c r="H1535" s="2">
        <v>1976.5</v>
      </c>
      <c r="I1535">
        <v>145</v>
      </c>
      <c r="J1535" s="2">
        <f ca="1">IFERROR((Tabla3[[#This Row],[Close]]-OFFSET(Tabla3[[#This Row],[Close]],-1,0))/OFFSET(Tabla3[[#This Row],[Close]],-1,0),"")</f>
        <v>-1.1650767213812063E-2</v>
      </c>
      <c r="K1535" s="2">
        <f ca="1">IFERROR(AVERAGE(OFFSET(Tabla3[[#This Row],[Close]],-6,0,7)),"")</f>
        <v>1989.3428431919585</v>
      </c>
      <c r="L1535" s="2">
        <f ca="1">IFERROR(_xlfn.STDEV.S(OFFSET(Tabla3[[#This Row],[Close]],-29,0,30)),"")</f>
        <v>68.996998965014825</v>
      </c>
    </row>
    <row r="1536" spans="1:12" x14ac:dyDescent="0.3">
      <c r="A1536" s="1">
        <v>44635</v>
      </c>
      <c r="B1536" s="3">
        <f>YEAR(Tabla3[[#This Row],[Date]])</f>
        <v>2022</v>
      </c>
      <c r="C1536" s="1" t="str">
        <f>+TEXT(Tabla3[[#This Row],[Date]],"mmm")</f>
        <v>mar</v>
      </c>
      <c r="D1536" s="2">
        <v>1928.5</v>
      </c>
      <c r="E1536" s="2">
        <v>1928.5</v>
      </c>
      <c r="F1536" s="2">
        <v>1939.90002441406</v>
      </c>
      <c r="G1536" s="2">
        <v>1910.69995117187</v>
      </c>
      <c r="H1536" s="2">
        <v>1939.80004882812</v>
      </c>
      <c r="I1536">
        <v>71</v>
      </c>
      <c r="J1536" s="2">
        <f ca="1">IFERROR((Tabla3[[#This Row],[Close]]-OFFSET(Tabla3[[#This Row],[Close]],-1,0))/OFFSET(Tabla3[[#This Row],[Close]],-1,0),"")</f>
        <v>-1.5870573572869612E-2</v>
      </c>
      <c r="K1536" s="2">
        <f ca="1">IFERROR(AVERAGE(OFFSET(Tabla3[[#This Row],[Close]],-6,0,7)),"")</f>
        <v>1984.1142752511114</v>
      </c>
      <c r="L1536" s="2">
        <f ca="1">IFERROR(_xlfn.STDEV.S(OFFSET(Tabla3[[#This Row],[Close]],-29,0,30)),"")</f>
        <v>66.668218072159277</v>
      </c>
    </row>
    <row r="1537" spans="1:12" x14ac:dyDescent="0.3">
      <c r="A1537" s="1">
        <v>44636</v>
      </c>
      <c r="B1537" s="3">
        <f>YEAR(Tabla3[[#This Row],[Date]])</f>
        <v>2022</v>
      </c>
      <c r="C1537" s="1" t="str">
        <f>+TEXT(Tabla3[[#This Row],[Date]],"mmm")</f>
        <v>mar</v>
      </c>
      <c r="D1537" s="2">
        <v>1908</v>
      </c>
      <c r="E1537" s="2">
        <v>1908</v>
      </c>
      <c r="F1537" s="2">
        <v>1922.40002441406</v>
      </c>
      <c r="G1537" s="2">
        <v>1907.19995117187</v>
      </c>
      <c r="H1537" s="2">
        <v>1922.40002441406</v>
      </c>
      <c r="I1537">
        <v>104</v>
      </c>
      <c r="J1537" s="2">
        <f ca="1">IFERROR((Tabla3[[#This Row],[Close]]-OFFSET(Tabla3[[#This Row],[Close]],-1,0))/OFFSET(Tabla3[[#This Row],[Close]],-1,0),"")</f>
        <v>-1.0630023334197563E-2</v>
      </c>
      <c r="K1537" s="2">
        <f ca="1">IFERROR(AVERAGE(OFFSET(Tabla3[[#This Row],[Close]],-6,0,7)),"")</f>
        <v>1971.8428431919601</v>
      </c>
      <c r="L1537" s="2">
        <f ca="1">IFERROR(_xlfn.STDEV.S(OFFSET(Tabla3[[#This Row],[Close]],-29,0,30)),"")</f>
        <v>64.058298003493405</v>
      </c>
    </row>
    <row r="1538" spans="1:12" x14ac:dyDescent="0.3">
      <c r="A1538" s="1">
        <v>44637</v>
      </c>
      <c r="B1538" s="3">
        <f>YEAR(Tabla3[[#This Row],[Date]])</f>
        <v>2022</v>
      </c>
      <c r="C1538" s="1" t="str">
        <f>+TEXT(Tabla3[[#This Row],[Date]],"mmm")</f>
        <v>mar</v>
      </c>
      <c r="D1538" s="2">
        <v>1942.09997558593</v>
      </c>
      <c r="E1538" s="2">
        <v>1942.09997558593</v>
      </c>
      <c r="F1538" s="2">
        <v>1947.19995117187</v>
      </c>
      <c r="G1538" s="2">
        <v>1933.90002441406</v>
      </c>
      <c r="H1538" s="2">
        <v>1933.90002441406</v>
      </c>
      <c r="I1538">
        <v>39</v>
      </c>
      <c r="J1538" s="2">
        <f ca="1">IFERROR((Tabla3[[#This Row],[Close]]-OFFSET(Tabla3[[#This Row],[Close]],-1,0))/OFFSET(Tabla3[[#This Row],[Close]],-1,0),"")</f>
        <v>1.7872104604785114E-2</v>
      </c>
      <c r="K1538" s="2">
        <f ca="1">IFERROR(AVERAGE(OFFSET(Tabla3[[#This Row],[Close]],-6,0,7)),"")</f>
        <v>1957.8428431919601</v>
      </c>
      <c r="L1538" s="2">
        <f ca="1">IFERROR(_xlfn.STDEV.S(OFFSET(Tabla3[[#This Row],[Close]],-29,0,30)),"")</f>
        <v>61.989935653489241</v>
      </c>
    </row>
    <row r="1539" spans="1:12" x14ac:dyDescent="0.3">
      <c r="A1539" s="1">
        <v>44638</v>
      </c>
      <c r="B1539" s="3">
        <f>YEAR(Tabla3[[#This Row],[Date]])</f>
        <v>2022</v>
      </c>
      <c r="C1539" s="1" t="str">
        <f>+TEXT(Tabla3[[#This Row],[Date]],"mmm")</f>
        <v>mar</v>
      </c>
      <c r="D1539" s="2">
        <v>1928.19995117187</v>
      </c>
      <c r="E1539" s="2">
        <v>1928.19995117187</v>
      </c>
      <c r="F1539" s="2">
        <v>1939.30004882812</v>
      </c>
      <c r="G1539" s="2">
        <v>1928.19995117187</v>
      </c>
      <c r="H1539" s="2">
        <v>1934.5</v>
      </c>
      <c r="I1539">
        <v>28</v>
      </c>
      <c r="J1539" s="2">
        <f ca="1">IFERROR((Tabla3[[#This Row],[Close]]-OFFSET(Tabla3[[#This Row],[Close]],-1,0))/OFFSET(Tabla3[[#This Row],[Close]],-1,0),"")</f>
        <v>-7.1572136289566515E-3</v>
      </c>
      <c r="K1539" s="2">
        <f ca="1">IFERROR(AVERAGE(OFFSET(Tabla3[[#This Row],[Close]],-6,0,7)),"")</f>
        <v>1949.5999755859327</v>
      </c>
      <c r="L1539" s="2">
        <f ca="1">IFERROR(_xlfn.STDEV.S(OFFSET(Tabla3[[#This Row],[Close]],-29,0,30)),"")</f>
        <v>58.934073960246565</v>
      </c>
    </row>
    <row r="1540" spans="1:12" x14ac:dyDescent="0.3">
      <c r="A1540" s="1">
        <v>44641</v>
      </c>
      <c r="B1540" s="3">
        <f>YEAR(Tabla3[[#This Row],[Date]])</f>
        <v>2022</v>
      </c>
      <c r="C1540" s="1" t="str">
        <f>+TEXT(Tabla3[[#This Row],[Date]],"mmm")</f>
        <v>mar</v>
      </c>
      <c r="D1540" s="2">
        <v>1928.59997558593</v>
      </c>
      <c r="E1540" s="2">
        <v>1928.59997558593</v>
      </c>
      <c r="F1540" s="2">
        <v>1928.59997558593</v>
      </c>
      <c r="G1540" s="2">
        <v>1925</v>
      </c>
      <c r="H1540" s="2">
        <v>1925.40002441406</v>
      </c>
      <c r="I1540">
        <v>5</v>
      </c>
      <c r="J1540" s="2">
        <f ca="1">IFERROR((Tabla3[[#This Row],[Close]]-OFFSET(Tabla3[[#This Row],[Close]],-1,0))/OFFSET(Tabla3[[#This Row],[Close]],-1,0),"")</f>
        <v>2.0746002706663419E-4</v>
      </c>
      <c r="K1540" s="2">
        <f ca="1">IFERROR(AVERAGE(OFFSET(Tabla3[[#This Row],[Close]],-6,0,7)),"")</f>
        <v>1939.6714041573614</v>
      </c>
      <c r="L1540" s="2">
        <f ca="1">IFERROR(_xlfn.STDEV.S(OFFSET(Tabla3[[#This Row],[Close]],-29,0,30)),"")</f>
        <v>55.635469177625076</v>
      </c>
    </row>
    <row r="1541" spans="1:12" x14ac:dyDescent="0.3">
      <c r="A1541" s="1">
        <v>44642</v>
      </c>
      <c r="B1541" s="3">
        <f>YEAR(Tabla3[[#This Row],[Date]])</f>
        <v>2022</v>
      </c>
      <c r="C1541" s="1" t="str">
        <f>+TEXT(Tabla3[[#This Row],[Date]],"mmm")</f>
        <v>mar</v>
      </c>
      <c r="D1541" s="2">
        <v>1920.69995117187</v>
      </c>
      <c r="E1541" s="2">
        <v>1920.69995117187</v>
      </c>
      <c r="F1541" s="2">
        <v>1920.69995117187</v>
      </c>
      <c r="G1541" s="2">
        <v>1920.69995117187</v>
      </c>
      <c r="H1541" s="2">
        <v>1920.69995117187</v>
      </c>
      <c r="I1541">
        <v>26</v>
      </c>
      <c r="J1541" s="2">
        <f ca="1">IFERROR((Tabla3[[#This Row],[Close]]-OFFSET(Tabla3[[#This Row],[Close]],-1,0))/OFFSET(Tabla3[[#This Row],[Close]],-1,0),"")</f>
        <v>-4.0962483221332014E-3</v>
      </c>
      <c r="K1541" s="2">
        <f ca="1">IFERROR(AVERAGE(OFFSET(Tabla3[[#This Row],[Close]],-6,0,7)),"")</f>
        <v>1930.8142613002185</v>
      </c>
      <c r="L1541" s="2">
        <f ca="1">IFERROR(_xlfn.STDEV.S(OFFSET(Tabla3[[#This Row],[Close]],-29,0,30)),"")</f>
        <v>52.73259627045767</v>
      </c>
    </row>
    <row r="1542" spans="1:12" x14ac:dyDescent="0.3">
      <c r="A1542" s="1">
        <v>44643</v>
      </c>
      <c r="B1542" s="3">
        <f>YEAR(Tabla3[[#This Row],[Date]])</f>
        <v>2022</v>
      </c>
      <c r="C1542" s="1" t="str">
        <f>+TEXT(Tabla3[[#This Row],[Date]],"mmm")</f>
        <v>mar</v>
      </c>
      <c r="D1542" s="2">
        <v>1936.59997558593</v>
      </c>
      <c r="E1542" s="2">
        <v>1936.59997558593</v>
      </c>
      <c r="F1542" s="2">
        <v>1936.59997558593</v>
      </c>
      <c r="G1542" s="2">
        <v>1936.59997558593</v>
      </c>
      <c r="H1542" s="2">
        <v>1936.59997558593</v>
      </c>
      <c r="I1542">
        <v>204</v>
      </c>
      <c r="J1542" s="2">
        <f ca="1">IFERROR((Tabla3[[#This Row],[Close]]-OFFSET(Tabla3[[#This Row],[Close]],-1,0))/OFFSET(Tabla3[[#This Row],[Close]],-1,0),"")</f>
        <v>8.2782448160937227E-3</v>
      </c>
      <c r="K1542" s="2">
        <f ca="1">IFERROR(AVERAGE(OFFSET(Tabla3[[#This Row],[Close]],-6,0,7)),"")</f>
        <v>1927.5285470145043</v>
      </c>
      <c r="L1542" s="2">
        <f ca="1">IFERROR(_xlfn.STDEV.S(OFFSET(Tabla3[[#This Row],[Close]],-29,0,30)),"")</f>
        <v>49.915332475053368</v>
      </c>
    </row>
    <row r="1543" spans="1:12" x14ac:dyDescent="0.3">
      <c r="A1543" s="1">
        <v>44644</v>
      </c>
      <c r="B1543" s="3">
        <f>YEAR(Tabla3[[#This Row],[Date]])</f>
        <v>2022</v>
      </c>
      <c r="C1543" s="1" t="str">
        <f>+TEXT(Tabla3[[#This Row],[Date]],"mmm")</f>
        <v>mar</v>
      </c>
      <c r="D1543" s="2">
        <v>1961.59997558593</v>
      </c>
      <c r="E1543" s="2">
        <v>1961.59997558593</v>
      </c>
      <c r="F1543" s="2">
        <v>1964</v>
      </c>
      <c r="G1543" s="2">
        <v>1961.59997558593</v>
      </c>
      <c r="H1543" s="2">
        <v>1963.59997558593</v>
      </c>
      <c r="I1543">
        <v>8</v>
      </c>
      <c r="J1543" s="2">
        <f ca="1">IFERROR((Tabla3[[#This Row],[Close]]-OFFSET(Tabla3[[#This Row],[Close]],-1,0))/OFFSET(Tabla3[[#This Row],[Close]],-1,0),"")</f>
        <v>1.2909222511187991E-2</v>
      </c>
      <c r="K1543" s="2">
        <f ca="1">IFERROR(AVERAGE(OFFSET(Tabla3[[#This Row],[Close]],-6,0,7)),"")</f>
        <v>1932.2571149553514</v>
      </c>
      <c r="L1543" s="2">
        <f ca="1">IFERROR(_xlfn.STDEV.S(OFFSET(Tabla3[[#This Row],[Close]],-29,0,30)),"")</f>
        <v>47.658605173111049</v>
      </c>
    </row>
    <row r="1544" spans="1:12" x14ac:dyDescent="0.3">
      <c r="A1544" s="1">
        <v>44645</v>
      </c>
      <c r="B1544" s="3">
        <f>YEAR(Tabla3[[#This Row],[Date]])</f>
        <v>2022</v>
      </c>
      <c r="C1544" s="1" t="str">
        <f>+TEXT(Tabla3[[#This Row],[Date]],"mmm")</f>
        <v>mar</v>
      </c>
      <c r="D1544" s="2">
        <v>1953.80004882812</v>
      </c>
      <c r="E1544" s="2">
        <v>1953.80004882812</v>
      </c>
      <c r="F1544" s="2">
        <v>1953.80004882812</v>
      </c>
      <c r="G1544" s="2">
        <v>1953.80004882812</v>
      </c>
      <c r="H1544" s="2">
        <v>1953.80004882812</v>
      </c>
      <c r="I1544">
        <v>83</v>
      </c>
      <c r="J1544" s="2">
        <f ca="1">IFERROR((Tabla3[[#This Row],[Close]]-OFFSET(Tabla3[[#This Row],[Close]],-1,0))/OFFSET(Tabla3[[#This Row],[Close]],-1,0),"")</f>
        <v>-3.9763085516353359E-3</v>
      </c>
      <c r="K1544" s="2">
        <f ca="1">IFERROR(AVERAGE(OFFSET(Tabla3[[#This Row],[Close]],-6,0,7)),"")</f>
        <v>1938.7999790736542</v>
      </c>
      <c r="L1544" s="2">
        <f ca="1">IFERROR(_xlfn.STDEV.S(OFFSET(Tabla3[[#This Row],[Close]],-29,0,30)),"")</f>
        <v>44.787475489403754</v>
      </c>
    </row>
    <row r="1545" spans="1:12" x14ac:dyDescent="0.3">
      <c r="A1545" s="1">
        <v>44648</v>
      </c>
      <c r="B1545" s="3">
        <f>YEAR(Tabla3[[#This Row],[Date]])</f>
        <v>2022</v>
      </c>
      <c r="C1545" s="1" t="str">
        <f>+TEXT(Tabla3[[#This Row],[Date]],"mmm")</f>
        <v>mar</v>
      </c>
      <c r="D1545" s="2">
        <v>1939.59997558593</v>
      </c>
      <c r="E1545" s="2">
        <v>1939.59997558593</v>
      </c>
      <c r="F1545" s="2">
        <v>1939.59997558593</v>
      </c>
      <c r="G1545" s="2">
        <v>1932.59997558593</v>
      </c>
      <c r="H1545" s="2">
        <v>1932.59997558593</v>
      </c>
      <c r="I1545">
        <v>7</v>
      </c>
      <c r="J1545" s="2">
        <f ca="1">IFERROR((Tabla3[[#This Row],[Close]]-OFFSET(Tabla3[[#This Row],[Close]],-1,0))/OFFSET(Tabla3[[#This Row],[Close]],-1,0),"")</f>
        <v>-7.2679255232423285E-3</v>
      </c>
      <c r="K1545" s="2">
        <f ca="1">IFERROR(AVERAGE(OFFSET(Tabla3[[#This Row],[Close]],-6,0,7)),"")</f>
        <v>1938.4428362165113</v>
      </c>
      <c r="L1545" s="2">
        <f ca="1">IFERROR(_xlfn.STDEV.S(OFFSET(Tabla3[[#This Row],[Close]],-29,0,30)),"")</f>
        <v>41.540875026738227</v>
      </c>
    </row>
    <row r="1546" spans="1:12" x14ac:dyDescent="0.3">
      <c r="A1546" s="1">
        <v>44649</v>
      </c>
      <c r="B1546" s="3">
        <f>YEAR(Tabla3[[#This Row],[Date]])</f>
        <v>2022</v>
      </c>
      <c r="C1546" s="1" t="str">
        <f>+TEXT(Tabla3[[#This Row],[Date]],"mmm")</f>
        <v>mar</v>
      </c>
      <c r="D1546" s="2">
        <v>1912</v>
      </c>
      <c r="E1546" s="2">
        <v>1912</v>
      </c>
      <c r="F1546" s="2">
        <v>1912</v>
      </c>
      <c r="G1546" s="2">
        <v>1893.5</v>
      </c>
      <c r="H1546" s="2">
        <v>1893.5</v>
      </c>
      <c r="I1546">
        <v>128051</v>
      </c>
      <c r="J1546" s="2">
        <f ca="1">IFERROR((Tabla3[[#This Row],[Close]]-OFFSET(Tabla3[[#This Row],[Close]],-1,0))/OFFSET(Tabla3[[#This Row],[Close]],-1,0),"")</f>
        <v>-1.4229725682272383E-2</v>
      </c>
      <c r="K1546" s="2">
        <f ca="1">IFERROR(AVERAGE(OFFSET(Tabla3[[#This Row],[Close]],-6,0,7)),"")</f>
        <v>1936.1285574776728</v>
      </c>
      <c r="L1546" s="2">
        <f ca="1">IFERROR(_xlfn.STDEV.S(OFFSET(Tabla3[[#This Row],[Close]],-29,0,30)),"")</f>
        <v>39.91236620695166</v>
      </c>
    </row>
    <row r="1547" spans="1:12" x14ac:dyDescent="0.3">
      <c r="A1547" s="1">
        <v>44650</v>
      </c>
      <c r="B1547" s="3">
        <f>YEAR(Tabla3[[#This Row],[Date]])</f>
        <v>2022</v>
      </c>
      <c r="C1547" s="1" t="str">
        <f>+TEXT(Tabla3[[#This Row],[Date]],"mmm")</f>
        <v>mar</v>
      </c>
      <c r="D1547" s="2">
        <v>1933.5</v>
      </c>
      <c r="E1547" s="2">
        <v>1933.5</v>
      </c>
      <c r="F1547" s="2">
        <v>1937</v>
      </c>
      <c r="G1547" s="2">
        <v>1914.5</v>
      </c>
      <c r="H1547" s="2">
        <v>1918.40002441406</v>
      </c>
      <c r="I1547">
        <v>17765</v>
      </c>
      <c r="J1547" s="2">
        <f ca="1">IFERROR((Tabla3[[#This Row],[Close]]-OFFSET(Tabla3[[#This Row],[Close]],-1,0))/OFFSET(Tabla3[[#This Row],[Close]],-1,0),"")</f>
        <v>1.1244769874476987E-2</v>
      </c>
      <c r="K1547" s="2">
        <f ca="1">IFERROR(AVERAGE(OFFSET(Tabla3[[#This Row],[Close]],-6,0,7)),"")</f>
        <v>1936.8285609653972</v>
      </c>
      <c r="L1547" s="2">
        <f ca="1">IFERROR(_xlfn.STDEV.S(OFFSET(Tabla3[[#This Row],[Close]],-29,0,30)),"")</f>
        <v>36.97518761310279</v>
      </c>
    </row>
    <row r="1548" spans="1:12" x14ac:dyDescent="0.3">
      <c r="A1548" s="1">
        <v>44651</v>
      </c>
      <c r="B1548" s="3">
        <f>YEAR(Tabla3[[#This Row],[Date]])</f>
        <v>2022</v>
      </c>
      <c r="C1548" s="1" t="str">
        <f>+TEXT(Tabla3[[#This Row],[Date]],"mmm")</f>
        <v>mar</v>
      </c>
      <c r="D1548" s="2">
        <v>1949.19995117187</v>
      </c>
      <c r="E1548" s="2">
        <v>1949.19995117187</v>
      </c>
      <c r="F1548" s="2">
        <v>1949.90002441406</v>
      </c>
      <c r="G1548" s="2">
        <v>1919.09997558593</v>
      </c>
      <c r="H1548" s="2">
        <v>1933.5</v>
      </c>
      <c r="I1548">
        <v>3617</v>
      </c>
      <c r="J1548" s="2">
        <f ca="1">IFERROR((Tabla3[[#This Row],[Close]]-OFFSET(Tabla3[[#This Row],[Close]],-1,0))/OFFSET(Tabla3[[#This Row],[Close]],-1,0),"")</f>
        <v>8.1199644023118682E-3</v>
      </c>
      <c r="K1548" s="2">
        <f ca="1">IFERROR(AVERAGE(OFFSET(Tabla3[[#This Row],[Close]],-6,0,7)),"")</f>
        <v>1940.8999895368256</v>
      </c>
      <c r="L1548" s="2">
        <f ca="1">IFERROR(_xlfn.STDEV.S(OFFSET(Tabla3[[#This Row],[Close]],-29,0,30)),"")</f>
        <v>34.797577938312415</v>
      </c>
    </row>
    <row r="1549" spans="1:12" x14ac:dyDescent="0.3">
      <c r="A1549" s="1">
        <v>44652</v>
      </c>
      <c r="B1549" s="3">
        <f>YEAR(Tabla3[[#This Row],[Date]])</f>
        <v>2022</v>
      </c>
      <c r="C1549" s="1" t="str">
        <f>+TEXT(Tabla3[[#This Row],[Date]],"mmm")</f>
        <v>abr</v>
      </c>
      <c r="D1549" s="2">
        <v>1919.09997558593</v>
      </c>
      <c r="E1549" s="2">
        <v>1919.09997558593</v>
      </c>
      <c r="F1549" s="2">
        <v>1938</v>
      </c>
      <c r="G1549" s="2">
        <v>1917</v>
      </c>
      <c r="H1549" s="2">
        <v>1935</v>
      </c>
      <c r="I1549">
        <v>1016</v>
      </c>
      <c r="J1549" s="2">
        <f ca="1">IFERROR((Tabla3[[#This Row],[Close]]-OFFSET(Tabla3[[#This Row],[Close]],-1,0))/OFFSET(Tabla3[[#This Row],[Close]],-1,0),"")</f>
        <v>-1.544222057251937E-2</v>
      </c>
      <c r="K1549" s="2">
        <f ca="1">IFERROR(AVERAGE(OFFSET(Tabla3[[#This Row],[Close]],-6,0,7)),"")</f>
        <v>1938.3999895368256</v>
      </c>
      <c r="L1549" s="2">
        <f ca="1">IFERROR(_xlfn.STDEV.S(OFFSET(Tabla3[[#This Row],[Close]],-29,0,30)),"")</f>
        <v>34.244164429686819</v>
      </c>
    </row>
    <row r="1550" spans="1:12" x14ac:dyDescent="0.3">
      <c r="A1550" s="1">
        <v>44655</v>
      </c>
      <c r="B1550" s="3">
        <f>YEAR(Tabla3[[#This Row],[Date]])</f>
        <v>2022</v>
      </c>
      <c r="C1550" s="1" t="str">
        <f>+TEXT(Tabla3[[#This Row],[Date]],"mmm")</f>
        <v>abr</v>
      </c>
      <c r="D1550" s="2">
        <v>1929.19995117187</v>
      </c>
      <c r="E1550" s="2">
        <v>1929.19995117187</v>
      </c>
      <c r="F1550" s="2">
        <v>1936.09997558593</v>
      </c>
      <c r="G1550" s="2">
        <v>1915.59997558593</v>
      </c>
      <c r="H1550" s="2">
        <v>1921.19995117187</v>
      </c>
      <c r="I1550">
        <v>371</v>
      </c>
      <c r="J1550" s="2">
        <f ca="1">IFERROR((Tabla3[[#This Row],[Close]]-OFFSET(Tabla3[[#This Row],[Close]],-1,0))/OFFSET(Tabla3[[#This Row],[Close]],-1,0),"")</f>
        <v>5.2628709887072595E-3</v>
      </c>
      <c r="K1550" s="2">
        <f ca="1">IFERROR(AVERAGE(OFFSET(Tabla3[[#This Row],[Close]],-6,0,7)),"")</f>
        <v>1933.7714146205312</v>
      </c>
      <c r="L1550" s="2">
        <f ca="1">IFERROR(_xlfn.STDEV.S(OFFSET(Tabla3[[#This Row],[Close]],-29,0,30)),"")</f>
        <v>33.404165016313875</v>
      </c>
    </row>
    <row r="1551" spans="1:12" x14ac:dyDescent="0.3">
      <c r="A1551" s="1">
        <v>44656</v>
      </c>
      <c r="B1551" s="3">
        <f>YEAR(Tabla3[[#This Row],[Date]])</f>
        <v>2022</v>
      </c>
      <c r="C1551" s="1" t="str">
        <f>+TEXT(Tabla3[[#This Row],[Date]],"mmm")</f>
        <v>abr</v>
      </c>
      <c r="D1551" s="2">
        <v>1922.90002441406</v>
      </c>
      <c r="E1551" s="2">
        <v>1922.90002441406</v>
      </c>
      <c r="F1551" s="2">
        <v>1943.5</v>
      </c>
      <c r="G1551" s="2">
        <v>1918.40002441406</v>
      </c>
      <c r="H1551" s="2">
        <v>1927.09997558593</v>
      </c>
      <c r="I1551">
        <v>412</v>
      </c>
      <c r="J1551" s="2">
        <f ca="1">IFERROR((Tabla3[[#This Row],[Close]]-OFFSET(Tabla3[[#This Row],[Close]],-1,0))/OFFSET(Tabla3[[#This Row],[Close]],-1,0),"")</f>
        <v>-3.2655644397996081E-3</v>
      </c>
      <c r="K1551" s="2">
        <f ca="1">IFERROR(AVERAGE(OFFSET(Tabla3[[#This Row],[Close]],-6,0,7)),"")</f>
        <v>1929.3571254185229</v>
      </c>
      <c r="L1551" s="2">
        <f ca="1">IFERROR(_xlfn.STDEV.S(OFFSET(Tabla3[[#This Row],[Close]],-29,0,30)),"")</f>
        <v>32.930536470452303</v>
      </c>
    </row>
    <row r="1552" spans="1:12" x14ac:dyDescent="0.3">
      <c r="A1552" s="1">
        <v>44657</v>
      </c>
      <c r="B1552" s="3">
        <f>YEAR(Tabla3[[#This Row],[Date]])</f>
        <v>2022</v>
      </c>
      <c r="C1552" s="1" t="str">
        <f>+TEXT(Tabla3[[#This Row],[Date]],"mmm")</f>
        <v>abr</v>
      </c>
      <c r="D1552" s="2">
        <v>1918.40002441406</v>
      </c>
      <c r="E1552" s="2">
        <v>1918.40002441406</v>
      </c>
      <c r="F1552" s="2">
        <v>1931.80004882812</v>
      </c>
      <c r="G1552" s="2">
        <v>1916.69995117187</v>
      </c>
      <c r="H1552" s="2">
        <v>1916.69995117187</v>
      </c>
      <c r="I1552">
        <v>138</v>
      </c>
      <c r="J1552" s="2">
        <f ca="1">IFERROR((Tabla3[[#This Row],[Close]]-OFFSET(Tabla3[[#This Row],[Close]],-1,0))/OFFSET(Tabla3[[#This Row],[Close]],-1,0),"")</f>
        <v>-2.3402152700950874E-3</v>
      </c>
      <c r="K1552" s="2">
        <f ca="1">IFERROR(AVERAGE(OFFSET(Tabla3[[#This Row],[Close]],-6,0,7)),"")</f>
        <v>1926.3285609653988</v>
      </c>
      <c r="L1552" s="2">
        <f ca="1">IFERROR(_xlfn.STDEV.S(OFFSET(Tabla3[[#This Row],[Close]],-29,0,30)),"")</f>
        <v>32.657249582809264</v>
      </c>
    </row>
    <row r="1553" spans="1:12" x14ac:dyDescent="0.3">
      <c r="A1553" s="1">
        <v>44658</v>
      </c>
      <c r="B1553" s="3">
        <f>YEAR(Tabla3[[#This Row],[Date]])</f>
        <v>2022</v>
      </c>
      <c r="C1553" s="1" t="str">
        <f>+TEXT(Tabla3[[#This Row],[Date]],"mmm")</f>
        <v>abr</v>
      </c>
      <c r="D1553" s="2">
        <v>1933.80004882812</v>
      </c>
      <c r="E1553" s="2">
        <v>1933.80004882812</v>
      </c>
      <c r="F1553" s="2">
        <v>1934.80004882812</v>
      </c>
      <c r="G1553" s="2">
        <v>1919.5</v>
      </c>
      <c r="H1553" s="2">
        <v>1919.5</v>
      </c>
      <c r="I1553">
        <v>311</v>
      </c>
      <c r="J1553" s="2">
        <f ca="1">IFERROR((Tabla3[[#This Row],[Close]]-OFFSET(Tabla3[[#This Row],[Close]],-1,0))/OFFSET(Tabla3[[#This Row],[Close]],-1,0),"")</f>
        <v>8.0275355598807673E-3</v>
      </c>
      <c r="K1553" s="2">
        <f ca="1">IFERROR(AVERAGE(OFFSET(Tabla3[[#This Row],[Close]],-6,0,7)),"")</f>
        <v>1929.44285365513</v>
      </c>
      <c r="L1553" s="2">
        <f ca="1">IFERROR(_xlfn.STDEV.S(OFFSET(Tabla3[[#This Row],[Close]],-29,0,30)),"")</f>
        <v>32.538544791139799</v>
      </c>
    </row>
    <row r="1554" spans="1:12" x14ac:dyDescent="0.3">
      <c r="A1554" s="1">
        <v>44659</v>
      </c>
      <c r="B1554" s="3">
        <f>YEAR(Tabla3[[#This Row],[Date]])</f>
        <v>2022</v>
      </c>
      <c r="C1554" s="1" t="str">
        <f>+TEXT(Tabla3[[#This Row],[Date]],"mmm")</f>
        <v>abr</v>
      </c>
      <c r="D1554" s="2">
        <v>1941.59997558593</v>
      </c>
      <c r="E1554" s="2">
        <v>1941.59997558593</v>
      </c>
      <c r="F1554" s="2">
        <v>1947.69995117187</v>
      </c>
      <c r="G1554" s="2">
        <v>1928.80004882812</v>
      </c>
      <c r="H1554" s="2">
        <v>1928.80004882812</v>
      </c>
      <c r="I1554">
        <v>153</v>
      </c>
      <c r="J1554" s="2">
        <f ca="1">IFERROR((Tabla3[[#This Row],[Close]]-OFFSET(Tabla3[[#This Row],[Close]],-1,0))/OFFSET(Tabla3[[#This Row],[Close]],-1,0),"")</f>
        <v>4.0334711763694202E-3</v>
      </c>
      <c r="K1554" s="2">
        <f ca="1">IFERROR(AVERAGE(OFFSET(Tabla3[[#This Row],[Close]],-6,0,7)),"")</f>
        <v>1930.5999930245484</v>
      </c>
      <c r="L1554" s="2">
        <f ca="1">IFERROR(_xlfn.STDEV.S(OFFSET(Tabla3[[#This Row],[Close]],-29,0,30)),"")</f>
        <v>30.776331703565109</v>
      </c>
    </row>
    <row r="1555" spans="1:12" x14ac:dyDescent="0.3">
      <c r="A1555" s="1">
        <v>44662</v>
      </c>
      <c r="B1555" s="3">
        <f>YEAR(Tabla3[[#This Row],[Date]])</f>
        <v>2022</v>
      </c>
      <c r="C1555" s="1" t="str">
        <f>+TEXT(Tabla3[[#This Row],[Date]],"mmm")</f>
        <v>abr</v>
      </c>
      <c r="D1555" s="2">
        <v>1944.30004882812</v>
      </c>
      <c r="E1555" s="2">
        <v>1944.30004882812</v>
      </c>
      <c r="F1555" s="2">
        <v>1968.40002441406</v>
      </c>
      <c r="G1555" s="2">
        <v>1941.80004882812</v>
      </c>
      <c r="H1555" s="2">
        <v>1946.59997558593</v>
      </c>
      <c r="I1555">
        <v>163</v>
      </c>
      <c r="J1555" s="2">
        <f ca="1">IFERROR((Tabla3[[#This Row],[Close]]-OFFSET(Tabla3[[#This Row],[Close]],-1,0))/OFFSET(Tabla3[[#This Row],[Close]],-1,0),"")</f>
        <v>1.3906434261131372E-3</v>
      </c>
      <c r="K1555" s="2">
        <f ca="1">IFERROR(AVERAGE(OFFSET(Tabla3[[#This Row],[Close]],-6,0,7)),"")</f>
        <v>1929.9000069754413</v>
      </c>
      <c r="L1555" s="2">
        <f ca="1">IFERROR(_xlfn.STDEV.S(OFFSET(Tabla3[[#This Row],[Close]],-29,0,30)),"")</f>
        <v>29.58470809733468</v>
      </c>
    </row>
    <row r="1556" spans="1:12" x14ac:dyDescent="0.3">
      <c r="A1556" s="1">
        <v>44663</v>
      </c>
      <c r="B1556" s="3">
        <f>YEAR(Tabla3[[#This Row],[Date]])</f>
        <v>2022</v>
      </c>
      <c r="C1556" s="1" t="str">
        <f>+TEXT(Tabla3[[#This Row],[Date]],"mmm")</f>
        <v>abr</v>
      </c>
      <c r="D1556" s="2">
        <v>1972.09997558593</v>
      </c>
      <c r="E1556" s="2">
        <v>1972.09997558593</v>
      </c>
      <c r="F1556" s="2">
        <v>1977.09997558593</v>
      </c>
      <c r="G1556" s="2">
        <v>1950.59997558593</v>
      </c>
      <c r="H1556" s="2">
        <v>1952.5</v>
      </c>
      <c r="I1556">
        <v>246</v>
      </c>
      <c r="J1556" s="2">
        <f ca="1">IFERROR((Tabla3[[#This Row],[Close]]-OFFSET(Tabla3[[#This Row],[Close]],-1,0))/OFFSET(Tabla3[[#This Row],[Close]],-1,0),"")</f>
        <v>1.4298166980228044E-2</v>
      </c>
      <c r="K1556" s="2">
        <f ca="1">IFERROR(AVERAGE(OFFSET(Tabla3[[#This Row],[Close]],-6,0,7)),"")</f>
        <v>1937.47143554687</v>
      </c>
      <c r="L1556" s="2">
        <f ca="1">IFERROR(_xlfn.STDEV.S(OFFSET(Tabla3[[#This Row],[Close]],-29,0,30)),"")</f>
        <v>29.960627042588925</v>
      </c>
    </row>
    <row r="1557" spans="1:12" x14ac:dyDescent="0.3">
      <c r="A1557" s="1">
        <v>44664</v>
      </c>
      <c r="B1557" s="3">
        <f>YEAR(Tabla3[[#This Row],[Date]])</f>
        <v>2022</v>
      </c>
      <c r="C1557" s="1" t="str">
        <f>+TEXT(Tabla3[[#This Row],[Date]],"mmm")</f>
        <v>abr</v>
      </c>
      <c r="D1557" s="2">
        <v>1981</v>
      </c>
      <c r="E1557" s="2">
        <v>1981</v>
      </c>
      <c r="F1557" s="2">
        <v>1981</v>
      </c>
      <c r="G1557" s="2">
        <v>1969.5</v>
      </c>
      <c r="H1557" s="2">
        <v>1969.5</v>
      </c>
      <c r="I1557">
        <v>204</v>
      </c>
      <c r="J1557" s="2">
        <f ca="1">IFERROR((Tabla3[[#This Row],[Close]]-OFFSET(Tabla3[[#This Row],[Close]],-1,0))/OFFSET(Tabla3[[#This Row],[Close]],-1,0),"")</f>
        <v>4.5129681680695323E-3</v>
      </c>
      <c r="K1557" s="2">
        <f ca="1">IFERROR(AVERAGE(OFFSET(Tabla3[[#This Row],[Close]],-6,0,7)),"")</f>
        <v>1944.8714425223172</v>
      </c>
      <c r="L1557" s="2">
        <f ca="1">IFERROR(_xlfn.STDEV.S(OFFSET(Tabla3[[#This Row],[Close]],-29,0,30)),"")</f>
        <v>30.176472158227632</v>
      </c>
    </row>
    <row r="1558" spans="1:12" x14ac:dyDescent="0.3">
      <c r="A1558" s="1">
        <v>44665</v>
      </c>
      <c r="B1558" s="3">
        <f>YEAR(Tabla3[[#This Row],[Date]])</f>
        <v>2022</v>
      </c>
      <c r="C1558" s="1" t="str">
        <f>+TEXT(Tabla3[[#This Row],[Date]],"mmm")</f>
        <v>abr</v>
      </c>
      <c r="D1558" s="2">
        <v>1970.90002441406</v>
      </c>
      <c r="E1558" s="2">
        <v>1970.90002441406</v>
      </c>
      <c r="F1558" s="2">
        <v>1978.69995117187</v>
      </c>
      <c r="G1558" s="2">
        <v>1963</v>
      </c>
      <c r="H1558" s="2">
        <v>1977.19995117187</v>
      </c>
      <c r="I1558">
        <v>101</v>
      </c>
      <c r="J1558" s="2">
        <f ca="1">IFERROR((Tabla3[[#This Row],[Close]]-OFFSET(Tabla3[[#This Row],[Close]],-1,0))/OFFSET(Tabla3[[#This Row],[Close]],-1,0),"")</f>
        <v>-5.0984228096617873E-3</v>
      </c>
      <c r="K1558" s="2">
        <f ca="1">IFERROR(AVERAGE(OFFSET(Tabla3[[#This Row],[Close]],-6,0,7)),"")</f>
        <v>1951.7285853794601</v>
      </c>
      <c r="L1558" s="2">
        <f ca="1">IFERROR(_xlfn.STDEV.S(OFFSET(Tabla3[[#This Row],[Close]],-29,0,30)),"")</f>
        <v>30.310547150290084</v>
      </c>
    </row>
    <row r="1559" spans="1:12" x14ac:dyDescent="0.3">
      <c r="A1559" s="1">
        <v>44669</v>
      </c>
      <c r="B1559" s="3">
        <f>YEAR(Tabla3[[#This Row],[Date]])</f>
        <v>2022</v>
      </c>
      <c r="C1559" s="1" t="str">
        <f>+TEXT(Tabla3[[#This Row],[Date]],"mmm")</f>
        <v>abr</v>
      </c>
      <c r="D1559" s="2">
        <v>1982.90002441406</v>
      </c>
      <c r="E1559" s="2">
        <v>1982.90002441406</v>
      </c>
      <c r="F1559" s="2">
        <v>1997.09997558593</v>
      </c>
      <c r="G1559" s="2">
        <v>1972.80004882812</v>
      </c>
      <c r="H1559" s="2">
        <v>1973.40002441406</v>
      </c>
      <c r="I1559">
        <v>196</v>
      </c>
      <c r="J1559" s="2">
        <f ca="1">IFERROR((Tabla3[[#This Row],[Close]]-OFFSET(Tabla3[[#This Row],[Close]],-1,0))/OFFSET(Tabla3[[#This Row],[Close]],-1,0),"")</f>
        <v>6.088588894085355E-3</v>
      </c>
      <c r="K1559" s="2">
        <f ca="1">IFERROR(AVERAGE(OFFSET(Tabla3[[#This Row],[Close]],-6,0,7)),"")</f>
        <v>1960.9428710937459</v>
      </c>
      <c r="L1559" s="2">
        <f ca="1">IFERROR(_xlfn.STDEV.S(OFFSET(Tabla3[[#This Row],[Close]],-29,0,30)),"")</f>
        <v>30.786072042399532</v>
      </c>
    </row>
    <row r="1560" spans="1:12" x14ac:dyDescent="0.3">
      <c r="A1560" s="1">
        <v>44670</v>
      </c>
      <c r="B1560" s="3">
        <f>YEAR(Tabla3[[#This Row],[Date]])</f>
        <v>2022</v>
      </c>
      <c r="C1560" s="1" t="str">
        <f>+TEXT(Tabla3[[#This Row],[Date]],"mmm")</f>
        <v>abr</v>
      </c>
      <c r="D1560" s="2">
        <v>1955.69995117187</v>
      </c>
      <c r="E1560" s="2">
        <v>1955.69995117187</v>
      </c>
      <c r="F1560" s="2">
        <v>1978.30004882812</v>
      </c>
      <c r="G1560" s="2">
        <v>1945.69995117187</v>
      </c>
      <c r="H1560" s="2">
        <v>1973.80004882812</v>
      </c>
      <c r="I1560">
        <v>130</v>
      </c>
      <c r="J1560" s="2">
        <f ca="1">IFERROR((Tabla3[[#This Row],[Close]]-OFFSET(Tabla3[[#This Row],[Close]],-1,0))/OFFSET(Tabla3[[#This Row],[Close]],-1,0),"")</f>
        <v>-1.371731953567731E-2</v>
      </c>
      <c r="K1560" s="2">
        <f ca="1">IFERROR(AVERAGE(OFFSET(Tabla3[[#This Row],[Close]],-6,0,7)),"")</f>
        <v>1964.0714285714243</v>
      </c>
      <c r="L1560" s="2">
        <f ca="1">IFERROR(_xlfn.STDEV.S(OFFSET(Tabla3[[#This Row],[Close]],-29,0,30)),"")</f>
        <v>29.705712927185154</v>
      </c>
    </row>
    <row r="1561" spans="1:12" x14ac:dyDescent="0.3">
      <c r="A1561" s="1">
        <v>44671</v>
      </c>
      <c r="B1561" s="3">
        <f>YEAR(Tabla3[[#This Row],[Date]])</f>
        <v>2022</v>
      </c>
      <c r="C1561" s="1" t="str">
        <f>+TEXT(Tabla3[[#This Row],[Date]],"mmm")</f>
        <v>abr</v>
      </c>
      <c r="D1561" s="2">
        <v>1952.30004882812</v>
      </c>
      <c r="E1561" s="2">
        <v>1952.30004882812</v>
      </c>
      <c r="F1561" s="2">
        <v>1953.59997558593</v>
      </c>
      <c r="G1561" s="2">
        <v>1945.5</v>
      </c>
      <c r="H1561" s="2">
        <v>1945.5</v>
      </c>
      <c r="I1561">
        <v>621</v>
      </c>
      <c r="J1561" s="2">
        <f ca="1">IFERROR((Tabla3[[#This Row],[Close]]-OFFSET(Tabla3[[#This Row],[Close]],-1,0))/OFFSET(Tabla3[[#This Row],[Close]],-1,0),"")</f>
        <v>-1.7384580603546844E-3</v>
      </c>
      <c r="K1561" s="2">
        <f ca="1">IFERROR(AVERAGE(OFFSET(Tabla3[[#This Row],[Close]],-6,0,7)),"")</f>
        <v>1965.6000104631655</v>
      </c>
      <c r="L1561" s="2">
        <f ca="1">IFERROR(_xlfn.STDEV.S(OFFSET(Tabla3[[#This Row],[Close]],-29,0,30)),"")</f>
        <v>24.288357364371759</v>
      </c>
    </row>
    <row r="1562" spans="1:12" x14ac:dyDescent="0.3">
      <c r="A1562" s="1">
        <v>44672</v>
      </c>
      <c r="B1562" s="3">
        <f>YEAR(Tabla3[[#This Row],[Date]])</f>
        <v>2022</v>
      </c>
      <c r="C1562" s="1" t="str">
        <f>+TEXT(Tabla3[[#This Row],[Date]],"mmm")</f>
        <v>abr</v>
      </c>
      <c r="D1562" s="2">
        <v>1944.90002441406</v>
      </c>
      <c r="E1562" s="2">
        <v>1944.90002441406</v>
      </c>
      <c r="F1562" s="2">
        <v>1944.90002441406</v>
      </c>
      <c r="G1562" s="2">
        <v>1942.5</v>
      </c>
      <c r="H1562" s="2">
        <v>1942.5</v>
      </c>
      <c r="I1562">
        <v>4</v>
      </c>
      <c r="J1562" s="2">
        <f ca="1">IFERROR((Tabla3[[#This Row],[Close]]-OFFSET(Tabla3[[#This Row],[Close]],-1,0))/OFFSET(Tabla3[[#This Row],[Close]],-1,0),"")</f>
        <v>-3.7904134758906085E-3</v>
      </c>
      <c r="K1562" s="2">
        <f ca="1">IFERROR(AVERAGE(OFFSET(Tabla3[[#This Row],[Close]],-6,0,7)),"")</f>
        <v>1965.6857212611571</v>
      </c>
      <c r="L1562" s="2">
        <f ca="1">IFERROR(_xlfn.STDEV.S(OFFSET(Tabla3[[#This Row],[Close]],-29,0,30)),"")</f>
        <v>23.116070588744659</v>
      </c>
    </row>
    <row r="1563" spans="1:12" x14ac:dyDescent="0.3">
      <c r="A1563" s="1">
        <v>44673</v>
      </c>
      <c r="B1563" s="3">
        <f>YEAR(Tabla3[[#This Row],[Date]])</f>
        <v>2022</v>
      </c>
      <c r="C1563" s="1" t="str">
        <f>+TEXT(Tabla3[[#This Row],[Date]],"mmm")</f>
        <v>abr</v>
      </c>
      <c r="D1563" s="2">
        <v>1931</v>
      </c>
      <c r="E1563" s="2">
        <v>1931</v>
      </c>
      <c r="F1563" s="2">
        <v>1950.40002441406</v>
      </c>
      <c r="G1563" s="2">
        <v>1930.19995117187</v>
      </c>
      <c r="H1563" s="2">
        <v>1949.59997558593</v>
      </c>
      <c r="I1563">
        <v>178</v>
      </c>
      <c r="J1563" s="2">
        <f ca="1">IFERROR((Tabla3[[#This Row],[Close]]-OFFSET(Tabla3[[#This Row],[Close]],-1,0))/OFFSET(Tabla3[[#This Row],[Close]],-1,0),"")</f>
        <v>-7.1469094758470474E-3</v>
      </c>
      <c r="K1563" s="2">
        <f ca="1">IFERROR(AVERAGE(OFFSET(Tabla3[[#This Row],[Close]],-6,0,7)),"")</f>
        <v>1959.8142961774527</v>
      </c>
      <c r="L1563" s="2">
        <f ca="1">IFERROR(_xlfn.STDEV.S(OFFSET(Tabla3[[#This Row],[Close]],-29,0,30)),"")</f>
        <v>20.952359409922099</v>
      </c>
    </row>
    <row r="1564" spans="1:12" x14ac:dyDescent="0.3">
      <c r="A1564" s="1">
        <v>44676</v>
      </c>
      <c r="B1564" s="3">
        <f>YEAR(Tabla3[[#This Row],[Date]])</f>
        <v>2022</v>
      </c>
      <c r="C1564" s="1" t="str">
        <f>+TEXT(Tabla3[[#This Row],[Date]],"mmm")</f>
        <v>abr</v>
      </c>
      <c r="D1564" s="2">
        <v>1893.19995117187</v>
      </c>
      <c r="E1564" s="2">
        <v>1893.19995117187</v>
      </c>
      <c r="F1564" s="2">
        <v>1925</v>
      </c>
      <c r="G1564" s="2">
        <v>1889.30004882812</v>
      </c>
      <c r="H1564" s="2">
        <v>1925</v>
      </c>
      <c r="I1564">
        <v>748</v>
      </c>
      <c r="J1564" s="2">
        <f ca="1">IFERROR((Tabla3[[#This Row],[Close]]-OFFSET(Tabla3[[#This Row],[Close]],-1,0))/OFFSET(Tabla3[[#This Row],[Close]],-1,0),"")</f>
        <v>-1.9575374846261005E-2</v>
      </c>
      <c r="K1564" s="2">
        <f ca="1">IFERROR(AVERAGE(OFFSET(Tabla3[[#This Row],[Close]],-6,0,7)),"")</f>
        <v>1947.2714320591488</v>
      </c>
      <c r="L1564" s="2">
        <f ca="1">IFERROR(_xlfn.STDEV.S(OFFSET(Tabla3[[#This Row],[Close]],-29,0,30)),"")</f>
        <v>21.44516837739021</v>
      </c>
    </row>
    <row r="1565" spans="1:12" x14ac:dyDescent="0.3">
      <c r="A1565" s="1">
        <v>44677</v>
      </c>
      <c r="B1565" s="3">
        <f>YEAR(Tabla3[[#This Row],[Date]])</f>
        <v>2022</v>
      </c>
      <c r="C1565" s="1" t="str">
        <f>+TEXT(Tabla3[[#This Row],[Date]],"mmm")</f>
        <v>abr</v>
      </c>
      <c r="D1565" s="2">
        <v>1901.40002441406</v>
      </c>
      <c r="E1565" s="2">
        <v>1901.40002441406</v>
      </c>
      <c r="F1565" s="2">
        <v>1909.09997558593</v>
      </c>
      <c r="G1565" s="2">
        <v>1894</v>
      </c>
      <c r="H1565" s="2">
        <v>1900.5</v>
      </c>
      <c r="I1565">
        <v>302</v>
      </c>
      <c r="J1565" s="2">
        <f ca="1">IFERROR((Tabla3[[#This Row],[Close]]-OFFSET(Tabla3[[#This Row],[Close]],-1,0))/OFFSET(Tabla3[[#This Row],[Close]],-1,0),"")</f>
        <v>4.3313297346718425E-3</v>
      </c>
      <c r="K1565" s="2">
        <f ca="1">IFERROR(AVERAGE(OFFSET(Tabla3[[#This Row],[Close]],-6,0,7)),"")</f>
        <v>1937.3428606305772</v>
      </c>
      <c r="L1565" s="2">
        <f ca="1">IFERROR(_xlfn.STDEV.S(OFFSET(Tabla3[[#This Row],[Close]],-29,0,30)),"")</f>
        <v>22.21495044466613</v>
      </c>
    </row>
    <row r="1566" spans="1:12" x14ac:dyDescent="0.3">
      <c r="A1566" s="1">
        <v>44678</v>
      </c>
      <c r="B1566" s="3">
        <f>YEAR(Tabla3[[#This Row],[Date]])</f>
        <v>2022</v>
      </c>
      <c r="C1566" s="1" t="str">
        <f>+TEXT(Tabla3[[#This Row],[Date]],"mmm")</f>
        <v>abr</v>
      </c>
      <c r="D1566" s="2">
        <v>1885.90002441406</v>
      </c>
      <c r="E1566" s="2">
        <v>1885.90002441406</v>
      </c>
      <c r="F1566" s="2">
        <v>1900.59997558593</v>
      </c>
      <c r="G1566" s="2">
        <v>1882.19995117187</v>
      </c>
      <c r="H1566" s="2">
        <v>1897.80004882812</v>
      </c>
      <c r="I1566">
        <v>1786</v>
      </c>
      <c r="J1566" s="2">
        <f ca="1">IFERROR((Tabla3[[#This Row],[Close]]-OFFSET(Tabla3[[#This Row],[Close]],-1,0))/OFFSET(Tabla3[[#This Row],[Close]],-1,0),"")</f>
        <v>-8.1518879777949492E-3</v>
      </c>
      <c r="K1566" s="2">
        <f ca="1">IFERROR(AVERAGE(OFFSET(Tabla3[[#This Row],[Close]],-6,0,7)),"")</f>
        <v>1923.4857177734343</v>
      </c>
      <c r="L1566" s="2">
        <f ca="1">IFERROR(_xlfn.STDEV.S(OFFSET(Tabla3[[#This Row],[Close]],-29,0,30)),"")</f>
        <v>24.116846157253207</v>
      </c>
    </row>
    <row r="1567" spans="1:12" x14ac:dyDescent="0.3">
      <c r="A1567" s="1">
        <v>44679</v>
      </c>
      <c r="B1567" s="3">
        <f>YEAR(Tabla3[[#This Row],[Date]])</f>
        <v>2022</v>
      </c>
      <c r="C1567" s="1" t="str">
        <f>+TEXT(Tabla3[[#This Row],[Date]],"mmm")</f>
        <v>abr</v>
      </c>
      <c r="D1567" s="2">
        <v>1888.69995117187</v>
      </c>
      <c r="E1567" s="2">
        <v>1888.69995117187</v>
      </c>
      <c r="F1567" s="2">
        <v>1893</v>
      </c>
      <c r="G1567" s="2">
        <v>1872.90002441406</v>
      </c>
      <c r="H1567" s="2">
        <v>1883.80004882812</v>
      </c>
      <c r="I1567">
        <v>513</v>
      </c>
      <c r="J1567" s="2">
        <f ca="1">IFERROR((Tabla3[[#This Row],[Close]]-OFFSET(Tabla3[[#This Row],[Close]],-1,0))/OFFSET(Tabla3[[#This Row],[Close]],-1,0),"")</f>
        <v>1.4846634082206571E-3</v>
      </c>
      <c r="K1567" s="2">
        <f ca="1">IFERROR(AVERAGE(OFFSET(Tabla3[[#This Row],[Close]],-6,0,7)),"")</f>
        <v>1913.9142892020059</v>
      </c>
      <c r="L1567" s="2">
        <f ca="1">IFERROR(_xlfn.STDEV.S(OFFSET(Tabla3[[#This Row],[Close]],-29,0,30)),"")</f>
        <v>25.138636679074867</v>
      </c>
    </row>
    <row r="1568" spans="1:12" x14ac:dyDescent="0.3">
      <c r="A1568" s="1">
        <v>44680</v>
      </c>
      <c r="B1568" s="3">
        <f>YEAR(Tabla3[[#This Row],[Date]])</f>
        <v>2022</v>
      </c>
      <c r="C1568" s="1" t="str">
        <f>+TEXT(Tabla3[[#This Row],[Date]],"mmm")</f>
        <v>abr</v>
      </c>
      <c r="D1568" s="2">
        <v>1909.30004882812</v>
      </c>
      <c r="E1568" s="2">
        <v>1909.30004882812</v>
      </c>
      <c r="F1568" s="2">
        <v>1918.19995117187</v>
      </c>
      <c r="G1568" s="2">
        <v>1902.40002441406</v>
      </c>
      <c r="H1568" s="2">
        <v>1902.69995117187</v>
      </c>
      <c r="I1568">
        <v>132</v>
      </c>
      <c r="J1568" s="2">
        <f ca="1">IFERROR((Tabla3[[#This Row],[Close]]-OFFSET(Tabla3[[#This Row],[Close]],-1,0))/OFFSET(Tabla3[[#This Row],[Close]],-1,0),"")</f>
        <v>1.0907025037761231E-2</v>
      </c>
      <c r="K1568" s="2">
        <f ca="1">IFERROR(AVERAGE(OFFSET(Tabla3[[#This Row],[Close]],-6,0,7)),"")</f>
        <v>1907.7714320591483</v>
      </c>
      <c r="L1568" s="2">
        <f ca="1">IFERROR(_xlfn.STDEV.S(OFFSET(Tabla3[[#This Row],[Close]],-29,0,30)),"")</f>
        <v>25.56661396227781</v>
      </c>
    </row>
    <row r="1569" spans="1:12" x14ac:dyDescent="0.3">
      <c r="A1569" s="1">
        <v>44683</v>
      </c>
      <c r="B1569" s="3">
        <f>YEAR(Tabla3[[#This Row],[Date]])</f>
        <v>2022</v>
      </c>
      <c r="C1569" s="1" t="str">
        <f>+TEXT(Tabla3[[#This Row],[Date]],"mmm")</f>
        <v>may</v>
      </c>
      <c r="D1569" s="2">
        <v>1861.80004882812</v>
      </c>
      <c r="E1569" s="2">
        <v>1861.80004882812</v>
      </c>
      <c r="F1569" s="2">
        <v>1896.80004882812</v>
      </c>
      <c r="G1569" s="2">
        <v>1853</v>
      </c>
      <c r="H1569" s="2">
        <v>1896.69995117187</v>
      </c>
      <c r="I1569">
        <v>385</v>
      </c>
      <c r="J1569" s="2">
        <f ca="1">IFERROR((Tabla3[[#This Row],[Close]]-OFFSET(Tabla3[[#This Row],[Close]],-1,0))/OFFSET(Tabla3[[#This Row],[Close]],-1,0),"")</f>
        <v>-2.4878226986457311E-2</v>
      </c>
      <c r="K1569" s="2">
        <f ca="1">IFERROR(AVERAGE(OFFSET(Tabla3[[#This Row],[Close]],-6,0,7)),"")</f>
        <v>1895.9000069754427</v>
      </c>
      <c r="L1569" s="2">
        <f ca="1">IFERROR(_xlfn.STDEV.S(OFFSET(Tabla3[[#This Row],[Close]],-29,0,30)),"")</f>
        <v>28.820063038271048</v>
      </c>
    </row>
    <row r="1570" spans="1:12" x14ac:dyDescent="0.3">
      <c r="A1570" s="1">
        <v>44684</v>
      </c>
      <c r="B1570" s="3">
        <f>YEAR(Tabla3[[#This Row],[Date]])</f>
        <v>2022</v>
      </c>
      <c r="C1570" s="1" t="str">
        <f>+TEXT(Tabla3[[#This Row],[Date]],"mmm")</f>
        <v>may</v>
      </c>
      <c r="D1570" s="2">
        <v>1868.80004882812</v>
      </c>
      <c r="E1570" s="2">
        <v>1868.80004882812</v>
      </c>
      <c r="F1570" s="2">
        <v>1868.80004882812</v>
      </c>
      <c r="G1570" s="2">
        <v>1868.80004882812</v>
      </c>
      <c r="H1570" s="2">
        <v>1868.80004882812</v>
      </c>
      <c r="I1570">
        <v>466</v>
      </c>
      <c r="J1570" s="2">
        <f ca="1">IFERROR((Tabla3[[#This Row],[Close]]-OFFSET(Tabla3[[#This Row],[Close]],-1,0))/OFFSET(Tabla3[[#This Row],[Close]],-1,0),"")</f>
        <v>3.7598022432140535E-3</v>
      </c>
      <c r="K1570" s="2">
        <f ca="1">IFERROR(AVERAGE(OFFSET(Tabla3[[#This Row],[Close]],-6,0,7)),"")</f>
        <v>1887.0142996651741</v>
      </c>
      <c r="L1570" s="2">
        <f ca="1">IFERROR(_xlfn.STDEV.S(OFFSET(Tabla3[[#This Row],[Close]],-29,0,30)),"")</f>
        <v>31.080842409521154</v>
      </c>
    </row>
    <row r="1571" spans="1:12" x14ac:dyDescent="0.3">
      <c r="A1571" s="1">
        <v>44685</v>
      </c>
      <c r="B1571" s="3">
        <f>YEAR(Tabla3[[#This Row],[Date]])</f>
        <v>2022</v>
      </c>
      <c r="C1571" s="1" t="str">
        <f>+TEXT(Tabla3[[#This Row],[Date]],"mmm")</f>
        <v>may</v>
      </c>
      <c r="D1571" s="2">
        <v>1867</v>
      </c>
      <c r="E1571" s="2">
        <v>1867</v>
      </c>
      <c r="F1571" s="2">
        <v>1867</v>
      </c>
      <c r="G1571" s="2">
        <v>1867</v>
      </c>
      <c r="H1571" s="2">
        <v>1867</v>
      </c>
      <c r="I1571">
        <v>1</v>
      </c>
      <c r="J1571" s="2">
        <f ca="1">IFERROR((Tabla3[[#This Row],[Close]]-OFFSET(Tabla3[[#This Row],[Close]],-1,0))/OFFSET(Tabla3[[#This Row],[Close]],-1,0),"")</f>
        <v>-9.6321103440079932E-4</v>
      </c>
      <c r="K1571" s="2">
        <f ca="1">IFERROR(AVERAGE(OFFSET(Tabla3[[#This Row],[Close]],-6,0,7)),"")</f>
        <v>1883.2714494977643</v>
      </c>
      <c r="L1571" s="2">
        <f ca="1">IFERROR(_xlfn.STDEV.S(OFFSET(Tabla3[[#This Row],[Close]],-29,0,30)),"")</f>
        <v>33.144889166407744</v>
      </c>
    </row>
    <row r="1572" spans="1:12" x14ac:dyDescent="0.3">
      <c r="A1572" s="1">
        <v>44686</v>
      </c>
      <c r="B1572" s="3">
        <f>YEAR(Tabla3[[#This Row],[Date]])</f>
        <v>2022</v>
      </c>
      <c r="C1572" s="1" t="str">
        <f>+TEXT(Tabla3[[#This Row],[Date]],"mmm")</f>
        <v>may</v>
      </c>
      <c r="D1572" s="2">
        <v>1874</v>
      </c>
      <c r="E1572" s="2">
        <v>1874</v>
      </c>
      <c r="F1572" s="2">
        <v>1904.30004882812</v>
      </c>
      <c r="G1572" s="2">
        <v>1874</v>
      </c>
      <c r="H1572" s="2">
        <v>1897</v>
      </c>
      <c r="I1572">
        <v>80</v>
      </c>
      <c r="J1572" s="2">
        <f ca="1">IFERROR((Tabla3[[#This Row],[Close]]-OFFSET(Tabla3[[#This Row],[Close]],-1,0))/OFFSET(Tabla3[[#This Row],[Close]],-1,0),"")</f>
        <v>3.7493304767005891E-3</v>
      </c>
      <c r="K1572" s="2">
        <f ca="1">IFERROR(AVERAGE(OFFSET(Tabla3[[#This Row],[Close]],-6,0,7)),"")</f>
        <v>1879.3571602957556</v>
      </c>
      <c r="L1572" s="2">
        <f ca="1">IFERROR(_xlfn.STDEV.S(OFFSET(Tabla3[[#This Row],[Close]],-29,0,30)),"")</f>
        <v>34.573381388818603</v>
      </c>
    </row>
    <row r="1573" spans="1:12" x14ac:dyDescent="0.3">
      <c r="A1573" s="1">
        <v>44687</v>
      </c>
      <c r="B1573" s="3">
        <f>YEAR(Tabla3[[#This Row],[Date]])</f>
        <v>2022</v>
      </c>
      <c r="C1573" s="1" t="str">
        <f>+TEXT(Tabla3[[#This Row],[Date]],"mmm")</f>
        <v>may</v>
      </c>
      <c r="D1573" s="2">
        <v>1881.19995117187</v>
      </c>
      <c r="E1573" s="2">
        <v>1881.19995117187</v>
      </c>
      <c r="F1573" s="2">
        <v>1890.30004882812</v>
      </c>
      <c r="G1573" s="2">
        <v>1871.5</v>
      </c>
      <c r="H1573" s="2">
        <v>1874.69995117187</v>
      </c>
      <c r="I1573">
        <v>214</v>
      </c>
      <c r="J1573" s="2">
        <f ca="1">IFERROR((Tabla3[[#This Row],[Close]]-OFFSET(Tabla3[[#This Row],[Close]],-1,0))/OFFSET(Tabla3[[#This Row],[Close]],-1,0),"")</f>
        <v>3.8420230372838834E-3</v>
      </c>
      <c r="K1573" s="2">
        <f ca="1">IFERROR(AVERAGE(OFFSET(Tabla3[[#This Row],[Close]],-6,0,7)),"")</f>
        <v>1878.6857212611571</v>
      </c>
      <c r="L1573" s="2">
        <f ca="1">IFERROR(_xlfn.STDEV.S(OFFSET(Tabla3[[#This Row],[Close]],-29,0,30)),"")</f>
        <v>34.886575384164303</v>
      </c>
    </row>
    <row r="1574" spans="1:12" x14ac:dyDescent="0.3">
      <c r="A1574" s="1">
        <v>44690</v>
      </c>
      <c r="B1574" s="3">
        <f>YEAR(Tabla3[[#This Row],[Date]])</f>
        <v>2022</v>
      </c>
      <c r="C1574" s="1" t="str">
        <f>+TEXT(Tabla3[[#This Row],[Date]],"mmm")</f>
        <v>may</v>
      </c>
      <c r="D1574" s="2">
        <v>1857.09997558593</v>
      </c>
      <c r="E1574" s="2">
        <v>1857.09997558593</v>
      </c>
      <c r="F1574" s="2">
        <v>1867.5</v>
      </c>
      <c r="G1574" s="2">
        <v>1854</v>
      </c>
      <c r="H1574" s="2">
        <v>1866.59997558593</v>
      </c>
      <c r="I1574">
        <v>304</v>
      </c>
      <c r="J1574" s="2">
        <f ca="1">IFERROR((Tabla3[[#This Row],[Close]]-OFFSET(Tabla3[[#This Row],[Close]],-1,0))/OFFSET(Tabla3[[#This Row],[Close]],-1,0),"")</f>
        <v>-1.281095907477949E-2</v>
      </c>
      <c r="K1574" s="2">
        <f ca="1">IFERROR(AVERAGE(OFFSET(Tabla3[[#This Row],[Close]],-6,0,7)),"")</f>
        <v>1874.1714390345944</v>
      </c>
      <c r="L1574" s="2">
        <f ca="1">IFERROR(_xlfn.STDEV.S(OFFSET(Tabla3[[#This Row],[Close]],-29,0,30)),"")</f>
        <v>36.46811177714951</v>
      </c>
    </row>
    <row r="1575" spans="1:12" x14ac:dyDescent="0.3">
      <c r="A1575" s="1">
        <v>44691</v>
      </c>
      <c r="B1575" s="3">
        <f>YEAR(Tabla3[[#This Row],[Date]])</f>
        <v>2022</v>
      </c>
      <c r="C1575" s="1" t="str">
        <f>+TEXT(Tabla3[[#This Row],[Date]],"mmm")</f>
        <v>may</v>
      </c>
      <c r="D1575" s="2">
        <v>1839.90002441406</v>
      </c>
      <c r="E1575" s="2">
        <v>1839.90002441406</v>
      </c>
      <c r="F1575" s="2">
        <v>1839.90002441406</v>
      </c>
      <c r="G1575" s="2">
        <v>1839.90002441406</v>
      </c>
      <c r="H1575" s="2">
        <v>1839.90002441406</v>
      </c>
      <c r="I1575">
        <v>1540</v>
      </c>
      <c r="J1575" s="2">
        <f ca="1">IFERROR((Tabla3[[#This Row],[Close]]-OFFSET(Tabla3[[#This Row],[Close]],-1,0))/OFFSET(Tabla3[[#This Row],[Close]],-1,0),"")</f>
        <v>-9.2617260233624609E-3</v>
      </c>
      <c r="K1575" s="2">
        <f ca="1">IFERROR(AVERAGE(OFFSET(Tabla3[[#This Row],[Close]],-6,0,7)),"")</f>
        <v>1864.2571498325858</v>
      </c>
      <c r="L1575" s="2">
        <f ca="1">IFERROR(_xlfn.STDEV.S(OFFSET(Tabla3[[#This Row],[Close]],-29,0,30)),"")</f>
        <v>39.13717141672619</v>
      </c>
    </row>
    <row r="1576" spans="1:12" x14ac:dyDescent="0.3">
      <c r="A1576" s="1">
        <v>44692</v>
      </c>
      <c r="B1576" s="3">
        <f>YEAR(Tabla3[[#This Row],[Date]])</f>
        <v>2022</v>
      </c>
      <c r="C1576" s="1" t="str">
        <f>+TEXT(Tabla3[[#This Row],[Date]],"mmm")</f>
        <v>may</v>
      </c>
      <c r="D1576" s="2">
        <v>1852.59997558593</v>
      </c>
      <c r="E1576" s="2">
        <v>1852.59997558593</v>
      </c>
      <c r="F1576" s="2">
        <v>1852.59997558593</v>
      </c>
      <c r="G1576" s="2">
        <v>1841</v>
      </c>
      <c r="H1576" s="2">
        <v>1841.5</v>
      </c>
      <c r="I1576">
        <v>892</v>
      </c>
      <c r="J1576" s="2">
        <f ca="1">IFERROR((Tabla3[[#This Row],[Close]]-OFFSET(Tabla3[[#This Row],[Close]],-1,0))/OFFSET(Tabla3[[#This Row],[Close]],-1,0),"")</f>
        <v>6.9025224215182356E-3</v>
      </c>
      <c r="K1576" s="2">
        <f ca="1">IFERROR(AVERAGE(OFFSET(Tabla3[[#This Row],[Close]],-6,0,7)),"")</f>
        <v>1862.94285365513</v>
      </c>
      <c r="L1576" s="2">
        <f ca="1">IFERROR(_xlfn.STDEV.S(OFFSET(Tabla3[[#This Row],[Close]],-29,0,30)),"")</f>
        <v>40.885228284526377</v>
      </c>
    </row>
    <row r="1577" spans="1:12" x14ac:dyDescent="0.3">
      <c r="A1577" s="1">
        <v>44693</v>
      </c>
      <c r="B1577" s="3">
        <f>YEAR(Tabla3[[#This Row],[Date]])</f>
        <v>2022</v>
      </c>
      <c r="C1577" s="1" t="str">
        <f>+TEXT(Tabla3[[#This Row],[Date]],"mmm")</f>
        <v>may</v>
      </c>
      <c r="D1577" s="2">
        <v>1823.80004882812</v>
      </c>
      <c r="E1577" s="2">
        <v>1823.80004882812</v>
      </c>
      <c r="F1577" s="2">
        <v>1851.90002441406</v>
      </c>
      <c r="G1577" s="2">
        <v>1822.19995117187</v>
      </c>
      <c r="H1577" s="2">
        <v>1849.80004882812</v>
      </c>
      <c r="I1577">
        <v>153</v>
      </c>
      <c r="J1577" s="2">
        <f ca="1">IFERROR((Tabla3[[#This Row],[Close]]-OFFSET(Tabla3[[#This Row],[Close]],-1,0))/OFFSET(Tabla3[[#This Row],[Close]],-1,0),"")</f>
        <v>-1.5545680199364852E-2</v>
      </c>
      <c r="K1577" s="2">
        <f ca="1">IFERROR(AVERAGE(OFFSET(Tabla3[[#This Row],[Close]],-6,0,7)),"")</f>
        <v>1856.5142822265586</v>
      </c>
      <c r="L1577" s="2">
        <f ca="1">IFERROR(_xlfn.STDEV.S(OFFSET(Tabla3[[#This Row],[Close]],-29,0,30)),"")</f>
        <v>44.002622625478217</v>
      </c>
    </row>
    <row r="1578" spans="1:12" x14ac:dyDescent="0.3">
      <c r="A1578" s="1">
        <v>44694</v>
      </c>
      <c r="B1578" s="3">
        <f>YEAR(Tabla3[[#This Row],[Date]])</f>
        <v>2022</v>
      </c>
      <c r="C1578" s="1" t="str">
        <f>+TEXT(Tabla3[[#This Row],[Date]],"mmm")</f>
        <v>may</v>
      </c>
      <c r="D1578" s="2">
        <v>1807.40002441406</v>
      </c>
      <c r="E1578" s="2">
        <v>1807.40002441406</v>
      </c>
      <c r="F1578" s="2">
        <v>1825</v>
      </c>
      <c r="G1578" s="2">
        <v>1807.40002441406</v>
      </c>
      <c r="H1578" s="2">
        <v>1825</v>
      </c>
      <c r="I1578">
        <v>335</v>
      </c>
      <c r="J1578" s="2">
        <f ca="1">IFERROR((Tabla3[[#This Row],[Close]]-OFFSET(Tabla3[[#This Row],[Close]],-1,0))/OFFSET(Tabla3[[#This Row],[Close]],-1,0),"")</f>
        <v>-8.9922272041816267E-3</v>
      </c>
      <c r="K1578" s="2">
        <f ca="1">IFERROR(AVERAGE(OFFSET(Tabla3[[#This Row],[Close]],-6,0,7)),"")</f>
        <v>1847.9999999999957</v>
      </c>
      <c r="L1578" s="2">
        <f ca="1">IFERROR(_xlfn.STDEV.S(OFFSET(Tabla3[[#This Row],[Close]],-29,0,30)),"")</f>
        <v>47.336306765377842</v>
      </c>
    </row>
    <row r="1579" spans="1:12" x14ac:dyDescent="0.3">
      <c r="A1579" s="1">
        <v>44697</v>
      </c>
      <c r="B1579" s="3">
        <f>YEAR(Tabla3[[#This Row],[Date]])</f>
        <v>2022</v>
      </c>
      <c r="C1579" s="1" t="str">
        <f>+TEXT(Tabla3[[#This Row],[Date]],"mmm")</f>
        <v>may</v>
      </c>
      <c r="D1579" s="2">
        <v>1813.5</v>
      </c>
      <c r="E1579" s="2">
        <v>1813.5</v>
      </c>
      <c r="F1579" s="2">
        <v>1813.5</v>
      </c>
      <c r="G1579" s="2">
        <v>1787</v>
      </c>
      <c r="H1579" s="2">
        <v>1790.5</v>
      </c>
      <c r="I1579">
        <v>34</v>
      </c>
      <c r="J1579" s="2">
        <f ca="1">IFERROR((Tabla3[[#This Row],[Close]]-OFFSET(Tabla3[[#This Row],[Close]],-1,0))/OFFSET(Tabla3[[#This Row],[Close]],-1,0),"")</f>
        <v>3.375000278600499E-3</v>
      </c>
      <c r="K1579" s="2">
        <f ca="1">IFERROR(AVERAGE(OFFSET(Tabla3[[#This Row],[Close]],-6,0,7)),"")</f>
        <v>1839.3571428571388</v>
      </c>
      <c r="L1579" s="2">
        <f ca="1">IFERROR(_xlfn.STDEV.S(OFFSET(Tabla3[[#This Row],[Close]],-29,0,30)),"")</f>
        <v>50.247892507360277</v>
      </c>
    </row>
    <row r="1580" spans="1:12" x14ac:dyDescent="0.3">
      <c r="A1580" s="1">
        <v>44698</v>
      </c>
      <c r="B1580" s="3">
        <f>YEAR(Tabla3[[#This Row],[Date]])</f>
        <v>2022</v>
      </c>
      <c r="C1580" s="1" t="str">
        <f>+TEXT(Tabla3[[#This Row],[Date]],"mmm")</f>
        <v>may</v>
      </c>
      <c r="D1580" s="2">
        <v>1818.19995117187</v>
      </c>
      <c r="E1580" s="2">
        <v>1818.19995117187</v>
      </c>
      <c r="F1580" s="2">
        <v>1828.59997558593</v>
      </c>
      <c r="G1580" s="2">
        <v>1816.69995117187</v>
      </c>
      <c r="H1580" s="2">
        <v>1824.90002441406</v>
      </c>
      <c r="I1580">
        <v>121</v>
      </c>
      <c r="J1580" s="2">
        <f ca="1">IFERROR((Tabla3[[#This Row],[Close]]-OFFSET(Tabla3[[#This Row],[Close]],-1,0))/OFFSET(Tabla3[[#This Row],[Close]],-1,0),"")</f>
        <v>2.5916466346126263E-3</v>
      </c>
      <c r="K1580" s="2">
        <f ca="1">IFERROR(AVERAGE(OFFSET(Tabla3[[#This Row],[Close]],-6,0,7)),"")</f>
        <v>1830.3571428571388</v>
      </c>
      <c r="L1580" s="2">
        <f ca="1">IFERROR(_xlfn.STDEV.S(OFFSET(Tabla3[[#This Row],[Close]],-29,0,30)),"")</f>
        <v>52.337572317740353</v>
      </c>
    </row>
    <row r="1581" spans="1:12" x14ac:dyDescent="0.3">
      <c r="A1581" s="1">
        <v>44699</v>
      </c>
      <c r="B1581" s="3">
        <f>YEAR(Tabla3[[#This Row],[Date]])</f>
        <v>2022</v>
      </c>
      <c r="C1581" s="1" t="str">
        <f>+TEXT(Tabla3[[#This Row],[Date]],"mmm")</f>
        <v>may</v>
      </c>
      <c r="D1581" s="2">
        <v>1815.90002441406</v>
      </c>
      <c r="E1581" s="2">
        <v>1815.90002441406</v>
      </c>
      <c r="F1581" s="2">
        <v>1819.69995117187</v>
      </c>
      <c r="G1581" s="2">
        <v>1805</v>
      </c>
      <c r="H1581" s="2">
        <v>1815</v>
      </c>
      <c r="I1581">
        <v>311</v>
      </c>
      <c r="J1581" s="2">
        <f ca="1">IFERROR((Tabla3[[#This Row],[Close]]-OFFSET(Tabla3[[#This Row],[Close]],-1,0))/OFFSET(Tabla3[[#This Row],[Close]],-1,0),"")</f>
        <v>-1.2649471012952372E-3</v>
      </c>
      <c r="K1581" s="2">
        <f ca="1">IFERROR(AVERAGE(OFFSET(Tabla3[[#This Row],[Close]],-6,0,7)),"")</f>
        <v>1824.4714355468714</v>
      </c>
      <c r="L1581" s="2">
        <f ca="1">IFERROR(_xlfn.STDEV.S(OFFSET(Tabla3[[#This Row],[Close]],-29,0,30)),"")</f>
        <v>54.321139325217018</v>
      </c>
    </row>
    <row r="1582" spans="1:12" x14ac:dyDescent="0.3">
      <c r="A1582" s="1">
        <v>44700</v>
      </c>
      <c r="B1582" s="3">
        <f>YEAR(Tabla3[[#This Row],[Date]])</f>
        <v>2022</v>
      </c>
      <c r="C1582" s="1" t="str">
        <f>+TEXT(Tabla3[[#This Row],[Date]],"mmm")</f>
        <v>may</v>
      </c>
      <c r="D1582" s="2">
        <v>1841.19995117187</v>
      </c>
      <c r="E1582" s="2">
        <v>1841.19995117187</v>
      </c>
      <c r="F1582" s="2">
        <v>1841.19995117187</v>
      </c>
      <c r="G1582" s="2">
        <v>1810.69995117187</v>
      </c>
      <c r="H1582" s="2">
        <v>1810.90002441406</v>
      </c>
      <c r="I1582">
        <v>138</v>
      </c>
      <c r="J1582" s="2">
        <f ca="1">IFERROR((Tabla3[[#This Row],[Close]]-OFFSET(Tabla3[[#This Row],[Close]],-1,0))/OFFSET(Tabla3[[#This Row],[Close]],-1,0),"")</f>
        <v>1.3932444747872932E-2</v>
      </c>
      <c r="K1582" s="2">
        <f ca="1">IFERROR(AVERAGE(OFFSET(Tabla3[[#This Row],[Close]],-6,0,7)),"")</f>
        <v>1824.6571393694157</v>
      </c>
      <c r="L1582" s="2">
        <f ca="1">IFERROR(_xlfn.STDEV.S(OFFSET(Tabla3[[#This Row],[Close]],-29,0,30)),"")</f>
        <v>55.060995708462734</v>
      </c>
    </row>
    <row r="1583" spans="1:12" x14ac:dyDescent="0.3">
      <c r="A1583" s="1">
        <v>44701</v>
      </c>
      <c r="B1583" s="3">
        <f>YEAR(Tabla3[[#This Row],[Date]])</f>
        <v>2022</v>
      </c>
      <c r="C1583" s="1" t="str">
        <f>+TEXT(Tabla3[[#This Row],[Date]],"mmm")</f>
        <v>may</v>
      </c>
      <c r="D1583" s="2">
        <v>1841.80004882812</v>
      </c>
      <c r="E1583" s="2">
        <v>1841.80004882812</v>
      </c>
      <c r="F1583" s="2">
        <v>1841.80004882812</v>
      </c>
      <c r="G1583" s="2">
        <v>1836.30004882812</v>
      </c>
      <c r="H1583" s="2">
        <v>1839.09997558593</v>
      </c>
      <c r="I1583">
        <v>110</v>
      </c>
      <c r="J1583" s="2">
        <f ca="1">IFERROR((Tabla3[[#This Row],[Close]]-OFFSET(Tabla3[[#This Row],[Close]],-1,0))/OFFSET(Tabla3[[#This Row],[Close]],-1,0),"")</f>
        <v>3.2592747782121944E-4</v>
      </c>
      <c r="K1583" s="2">
        <f ca="1">IFERROR(AVERAGE(OFFSET(Tabla3[[#This Row],[Close]],-6,0,7)),"")</f>
        <v>1823.1142926897285</v>
      </c>
      <c r="L1583" s="2">
        <f ca="1">IFERROR(_xlfn.STDEV.S(OFFSET(Tabla3[[#This Row],[Close]],-29,0,30)),"")</f>
        <v>55.312777135210951</v>
      </c>
    </row>
    <row r="1584" spans="1:12" x14ac:dyDescent="0.3">
      <c r="A1584" s="1">
        <v>44704</v>
      </c>
      <c r="B1584" s="3">
        <f>YEAR(Tabla3[[#This Row],[Date]])</f>
        <v>2022</v>
      </c>
      <c r="C1584" s="1" t="str">
        <f>+TEXT(Tabla3[[#This Row],[Date]],"mmm")</f>
        <v>may</v>
      </c>
      <c r="D1584" s="2">
        <v>1847.80004882812</v>
      </c>
      <c r="E1584" s="2">
        <v>1847.80004882812</v>
      </c>
      <c r="F1584" s="2">
        <v>1863</v>
      </c>
      <c r="G1584" s="2">
        <v>1845.80004882812</v>
      </c>
      <c r="H1584" s="2">
        <v>1846.30004882812</v>
      </c>
      <c r="I1584">
        <v>216</v>
      </c>
      <c r="J1584" s="2">
        <f ca="1">IFERROR((Tabla3[[#This Row],[Close]]-OFFSET(Tabla3[[#This Row],[Close]],-1,0))/OFFSET(Tabla3[[#This Row],[Close]],-1,0),"")</f>
        <v>3.2576826153401469E-3</v>
      </c>
      <c r="K1584" s="2">
        <f ca="1">IFERROR(AVERAGE(OFFSET(Tabla3[[#This Row],[Close]],-6,0,7)),"")</f>
        <v>1826.5428641183</v>
      </c>
      <c r="L1584" s="2">
        <f ca="1">IFERROR(_xlfn.STDEV.S(OFFSET(Tabla3[[#This Row],[Close]],-29,0,30)),"")</f>
        <v>54.983354574893383</v>
      </c>
    </row>
    <row r="1585" spans="1:12" x14ac:dyDescent="0.3">
      <c r="A1585" s="1">
        <v>44705</v>
      </c>
      <c r="B1585" s="3">
        <f>YEAR(Tabla3[[#This Row],[Date]])</f>
        <v>2022</v>
      </c>
      <c r="C1585" s="1" t="str">
        <f>+TEXT(Tabla3[[#This Row],[Date]],"mmm")</f>
        <v>may</v>
      </c>
      <c r="D1585" s="2">
        <v>1865.09997558593</v>
      </c>
      <c r="E1585" s="2">
        <v>1865.09997558593</v>
      </c>
      <c r="F1585" s="2">
        <v>1867</v>
      </c>
      <c r="G1585" s="2">
        <v>1852.5</v>
      </c>
      <c r="H1585" s="2">
        <v>1852.5</v>
      </c>
      <c r="I1585">
        <v>33</v>
      </c>
      <c r="J1585" s="2">
        <f ca="1">IFERROR((Tabla3[[#This Row],[Close]]-OFFSET(Tabla3[[#This Row],[Close]],-1,0))/OFFSET(Tabla3[[#This Row],[Close]],-1,0),"")</f>
        <v>9.3624452325248401E-3</v>
      </c>
      <c r="K1585" s="2">
        <f ca="1">IFERROR(AVERAGE(OFFSET(Tabla3[[#This Row],[Close]],-6,0,7)),"")</f>
        <v>1834.7857142857099</v>
      </c>
      <c r="L1585" s="2">
        <f ca="1">IFERROR(_xlfn.STDEV.S(OFFSET(Tabla3[[#This Row],[Close]],-29,0,30)),"")</f>
        <v>54.056645083297639</v>
      </c>
    </row>
    <row r="1586" spans="1:12" x14ac:dyDescent="0.3">
      <c r="A1586" s="1">
        <v>44706</v>
      </c>
      <c r="B1586" s="3">
        <f>YEAR(Tabla3[[#This Row],[Date]])</f>
        <v>2022</v>
      </c>
      <c r="C1586" s="1" t="str">
        <f>+TEXT(Tabla3[[#This Row],[Date]],"mmm")</f>
        <v>may</v>
      </c>
      <c r="D1586" s="2">
        <v>1846.19995117187</v>
      </c>
      <c r="E1586" s="2">
        <v>1846.19995117187</v>
      </c>
      <c r="F1586" s="2">
        <v>1846.19995117187</v>
      </c>
      <c r="G1586" s="2">
        <v>1846.19995117187</v>
      </c>
      <c r="H1586" s="2">
        <v>1846.19995117187</v>
      </c>
      <c r="I1586">
        <v>0</v>
      </c>
      <c r="J1586" s="2">
        <f ca="1">IFERROR((Tabla3[[#This Row],[Close]]-OFFSET(Tabla3[[#This Row],[Close]],-1,0))/OFFSET(Tabla3[[#This Row],[Close]],-1,0),"")</f>
        <v>-1.0133518128497356E-2</v>
      </c>
      <c r="K1586" s="2">
        <f ca="1">IFERROR(AVERAGE(OFFSET(Tabla3[[#This Row],[Close]],-6,0,7)),"")</f>
        <v>1839.4571358816913</v>
      </c>
      <c r="L1586" s="2">
        <f ca="1">IFERROR(_xlfn.STDEV.S(OFFSET(Tabla3[[#This Row],[Close]],-29,0,30)),"")</f>
        <v>51.895773590310291</v>
      </c>
    </row>
    <row r="1587" spans="1:12" x14ac:dyDescent="0.3">
      <c r="A1587" s="1">
        <v>44707</v>
      </c>
      <c r="B1587" s="3">
        <f>YEAR(Tabla3[[#This Row],[Date]])</f>
        <v>2022</v>
      </c>
      <c r="C1587" s="1" t="str">
        <f>+TEXT(Tabla3[[#This Row],[Date]],"mmm")</f>
        <v>may</v>
      </c>
      <c r="D1587" s="2">
        <v>1847.40002441406</v>
      </c>
      <c r="E1587" s="2">
        <v>1847.40002441406</v>
      </c>
      <c r="F1587" s="2">
        <v>1847.40002441406</v>
      </c>
      <c r="G1587" s="2">
        <v>1840.40002441406</v>
      </c>
      <c r="H1587" s="2">
        <v>1840.40002441406</v>
      </c>
      <c r="I1587">
        <v>123355</v>
      </c>
      <c r="J1587" s="2">
        <f ca="1">IFERROR((Tabla3[[#This Row],[Close]]-OFFSET(Tabla3[[#This Row],[Close]],-1,0))/OFFSET(Tabla3[[#This Row],[Close]],-1,0),"")</f>
        <v>6.5002343945912155E-4</v>
      </c>
      <c r="K1587" s="2">
        <f ca="1">IFERROR(AVERAGE(OFFSET(Tabla3[[#This Row],[Close]],-6,0,7)),"")</f>
        <v>1843.6285749162901</v>
      </c>
      <c r="L1587" s="2">
        <f ca="1">IFERROR(_xlfn.STDEV.S(OFFSET(Tabla3[[#This Row],[Close]],-29,0,30)),"")</f>
        <v>48.619333884010999</v>
      </c>
    </row>
    <row r="1588" spans="1:12" x14ac:dyDescent="0.3">
      <c r="A1588" s="1">
        <v>44708</v>
      </c>
      <c r="B1588" s="3">
        <f>YEAR(Tabla3[[#This Row],[Date]])</f>
        <v>2022</v>
      </c>
      <c r="C1588" s="1" t="str">
        <f>+TEXT(Tabla3[[#This Row],[Date]],"mmm")</f>
        <v>may</v>
      </c>
      <c r="D1588" s="2">
        <v>1851.30004882812</v>
      </c>
      <c r="E1588" s="2">
        <v>1851.30004882812</v>
      </c>
      <c r="F1588" s="2">
        <v>1860.69995117187</v>
      </c>
      <c r="G1588" s="2">
        <v>1845.90002441406</v>
      </c>
      <c r="H1588" s="2">
        <v>1848.30004882812</v>
      </c>
      <c r="I1588">
        <v>30091</v>
      </c>
      <c r="J1588" s="2">
        <f ca="1">IFERROR((Tabla3[[#This Row],[Close]]-OFFSET(Tabla3[[#This Row],[Close]],-1,0))/OFFSET(Tabla3[[#This Row],[Close]],-1,0),"")</f>
        <v>2.1110882118218926E-3</v>
      </c>
      <c r="K1588" s="2">
        <f ca="1">IFERROR(AVERAGE(OFFSET(Tabla3[[#This Row],[Close]],-6,0,7)),"")</f>
        <v>1848.6857212611558</v>
      </c>
      <c r="L1588" s="2">
        <f ca="1">IFERROR(_xlfn.STDEV.S(OFFSET(Tabla3[[#This Row],[Close]],-29,0,30)),"")</f>
        <v>45.384804598392023</v>
      </c>
    </row>
    <row r="1589" spans="1:12" x14ac:dyDescent="0.3">
      <c r="A1589" s="1">
        <v>44712</v>
      </c>
      <c r="B1589" s="3">
        <f>YEAR(Tabla3[[#This Row],[Date]])</f>
        <v>2022</v>
      </c>
      <c r="C1589" s="1" t="str">
        <f>+TEXT(Tabla3[[#This Row],[Date]],"mmm")</f>
        <v>may</v>
      </c>
      <c r="D1589" s="2">
        <v>1842.69995117187</v>
      </c>
      <c r="E1589" s="2">
        <v>1842.69995117187</v>
      </c>
      <c r="F1589" s="2">
        <v>1862.09997558593</v>
      </c>
      <c r="G1589" s="2">
        <v>1832.80004882812</v>
      </c>
      <c r="H1589" s="2">
        <v>1850.30004882812</v>
      </c>
      <c r="I1589">
        <v>4073</v>
      </c>
      <c r="J1589" s="2">
        <f ca="1">IFERROR((Tabla3[[#This Row],[Close]]-OFFSET(Tabla3[[#This Row],[Close]],-1,0))/OFFSET(Tabla3[[#This Row],[Close]],-1,0),"")</f>
        <v>-4.6454369520996311E-3</v>
      </c>
      <c r="K1589" s="2">
        <f ca="1">IFERROR(AVERAGE(OFFSET(Tabla3[[#This Row],[Close]],-6,0,7)),"")</f>
        <v>1848.9000069754416</v>
      </c>
      <c r="L1589" s="2">
        <f ca="1">IFERROR(_xlfn.STDEV.S(OFFSET(Tabla3[[#This Row],[Close]],-29,0,30)),"")</f>
        <v>40.559170013196542</v>
      </c>
    </row>
    <row r="1590" spans="1:12" x14ac:dyDescent="0.3">
      <c r="A1590" s="1">
        <v>44713</v>
      </c>
      <c r="B1590" s="3">
        <f>YEAR(Tabla3[[#This Row],[Date]])</f>
        <v>2022</v>
      </c>
      <c r="C1590" s="1" t="str">
        <f>+TEXT(Tabla3[[#This Row],[Date]],"mmm")</f>
        <v>jun</v>
      </c>
      <c r="D1590" s="2">
        <v>1843.30004882812</v>
      </c>
      <c r="E1590" s="2">
        <v>1843.30004882812</v>
      </c>
      <c r="F1590" s="2">
        <v>1847.90002441406</v>
      </c>
      <c r="G1590" s="2">
        <v>1825.30004882812</v>
      </c>
      <c r="H1590" s="2">
        <v>1831</v>
      </c>
      <c r="I1590">
        <v>1623</v>
      </c>
      <c r="J1590" s="2">
        <f ca="1">IFERROR((Tabla3[[#This Row],[Close]]-OFFSET(Tabla3[[#This Row],[Close]],-1,0))/OFFSET(Tabla3[[#This Row],[Close]],-1,0),"")</f>
        <v>3.2566216538311963E-4</v>
      </c>
      <c r="K1590" s="2">
        <f ca="1">IFERROR(AVERAGE(OFFSET(Tabla3[[#This Row],[Close]],-6,0,7)),"")</f>
        <v>1849.1142926897269</v>
      </c>
      <c r="L1590" s="2">
        <f ca="1">IFERROR(_xlfn.STDEV.S(OFFSET(Tabla3[[#This Row],[Close]],-29,0,30)),"")</f>
        <v>37.188874986070481</v>
      </c>
    </row>
    <row r="1591" spans="1:12" x14ac:dyDescent="0.3">
      <c r="A1591" s="1">
        <v>44714</v>
      </c>
      <c r="B1591" s="3">
        <f>YEAR(Tabla3[[#This Row],[Date]])</f>
        <v>2022</v>
      </c>
      <c r="C1591" s="1" t="str">
        <f>+TEXT(Tabla3[[#This Row],[Date]],"mmm")</f>
        <v>jun</v>
      </c>
      <c r="D1591" s="2">
        <v>1866.5</v>
      </c>
      <c r="E1591" s="2">
        <v>1866.5</v>
      </c>
      <c r="F1591" s="2">
        <v>1868.69995117187</v>
      </c>
      <c r="G1591" s="2">
        <v>1842.09997558593</v>
      </c>
      <c r="H1591" s="2">
        <v>1845.40002441406</v>
      </c>
      <c r="I1591">
        <v>551</v>
      </c>
      <c r="J1591" s="2">
        <f ca="1">IFERROR((Tabla3[[#This Row],[Close]]-OFFSET(Tabla3[[#This Row],[Close]],-1,0))/OFFSET(Tabla3[[#This Row],[Close]],-1,0),"")</f>
        <v>1.2586095891783541E-2</v>
      </c>
      <c r="K1591" s="2">
        <f ca="1">IFERROR(AVERAGE(OFFSET(Tabla3[[#This Row],[Close]],-6,0,7)),"")</f>
        <v>1851.7857142857099</v>
      </c>
      <c r="L1591" s="2">
        <f ca="1">IFERROR(_xlfn.STDEV.S(OFFSET(Tabla3[[#This Row],[Close]],-29,0,30)),"")</f>
        <v>33.239469920224273</v>
      </c>
    </row>
    <row r="1592" spans="1:12" x14ac:dyDescent="0.3">
      <c r="A1592" s="1">
        <v>44715</v>
      </c>
      <c r="B1592" s="3">
        <f>YEAR(Tabla3[[#This Row],[Date]])</f>
        <v>2022</v>
      </c>
      <c r="C1592" s="1" t="str">
        <f>+TEXT(Tabla3[[#This Row],[Date]],"mmm")</f>
        <v>jun</v>
      </c>
      <c r="D1592" s="2">
        <v>1845.40002441406</v>
      </c>
      <c r="E1592" s="2">
        <v>1845.40002441406</v>
      </c>
      <c r="F1592" s="2">
        <v>1871.80004882812</v>
      </c>
      <c r="G1592" s="2">
        <v>1845.40002441406</v>
      </c>
      <c r="H1592" s="2">
        <v>1867.59997558593</v>
      </c>
      <c r="I1592">
        <v>53</v>
      </c>
      <c r="J1592" s="2">
        <f ca="1">IFERROR((Tabla3[[#This Row],[Close]]-OFFSET(Tabla3[[#This Row],[Close]],-1,0))/OFFSET(Tabla3[[#This Row],[Close]],-1,0),"")</f>
        <v>-1.1304567686011251E-2</v>
      </c>
      <c r="K1592" s="2">
        <f ca="1">IFERROR(AVERAGE(OFFSET(Tabla3[[#This Row],[Close]],-6,0,7)),"")</f>
        <v>1848.9714355468714</v>
      </c>
      <c r="L1592" s="2">
        <f ca="1">IFERROR(_xlfn.STDEV.S(OFFSET(Tabla3[[#This Row],[Close]],-29,0,30)),"")</f>
        <v>29.30684842291533</v>
      </c>
    </row>
    <row r="1593" spans="1:12" x14ac:dyDescent="0.3">
      <c r="A1593" s="1">
        <v>44718</v>
      </c>
      <c r="B1593" s="3">
        <f>YEAR(Tabla3[[#This Row],[Date]])</f>
        <v>2022</v>
      </c>
      <c r="C1593" s="1" t="str">
        <f>+TEXT(Tabla3[[#This Row],[Date]],"mmm")</f>
        <v>jun</v>
      </c>
      <c r="D1593" s="2">
        <v>1839.19995117187</v>
      </c>
      <c r="E1593" s="2">
        <v>1839.19995117187</v>
      </c>
      <c r="F1593" s="2">
        <v>1854.09997558593</v>
      </c>
      <c r="G1593" s="2">
        <v>1839.19995117187</v>
      </c>
      <c r="H1593" s="2">
        <v>1849</v>
      </c>
      <c r="I1593">
        <v>142</v>
      </c>
      <c r="J1593" s="2">
        <f ca="1">IFERROR((Tabla3[[#This Row],[Close]]-OFFSET(Tabla3[[#This Row],[Close]],-1,0))/OFFSET(Tabla3[[#This Row],[Close]],-1,0),"")</f>
        <v>-3.3597448575728777E-3</v>
      </c>
      <c r="K1593" s="2">
        <f ca="1">IFERROR(AVERAGE(OFFSET(Tabla3[[#This Row],[Close]],-6,0,7)),"")</f>
        <v>1847.9714355468714</v>
      </c>
      <c r="L1593" s="2">
        <f ca="1">IFERROR(_xlfn.STDEV.S(OFFSET(Tabla3[[#This Row],[Close]],-29,0,30)),"")</f>
        <v>25.988400575110088</v>
      </c>
    </row>
    <row r="1594" spans="1:12" x14ac:dyDescent="0.3">
      <c r="A1594" s="1">
        <v>44719</v>
      </c>
      <c r="B1594" s="3">
        <f>YEAR(Tabla3[[#This Row],[Date]])</f>
        <v>2022</v>
      </c>
      <c r="C1594" s="1" t="str">
        <f>+TEXT(Tabla3[[#This Row],[Date]],"mmm")</f>
        <v>jun</v>
      </c>
      <c r="D1594" s="2">
        <v>1847.5</v>
      </c>
      <c r="E1594" s="2">
        <v>1847.5</v>
      </c>
      <c r="F1594" s="2">
        <v>1851.59997558593</v>
      </c>
      <c r="G1594" s="2">
        <v>1835</v>
      </c>
      <c r="H1594" s="2">
        <v>1836.90002441406</v>
      </c>
      <c r="I1594">
        <v>1168</v>
      </c>
      <c r="J1594" s="2">
        <f ca="1">IFERROR((Tabla3[[#This Row],[Close]]-OFFSET(Tabla3[[#This Row],[Close]],-1,0))/OFFSET(Tabla3[[#This Row],[Close]],-1,0),"")</f>
        <v>4.5128583343216813E-3</v>
      </c>
      <c r="K1594" s="2">
        <f ca="1">IFERROR(AVERAGE(OFFSET(Tabla3[[#This Row],[Close]],-6,0,7)),"")</f>
        <v>1847.9857177734343</v>
      </c>
      <c r="L1594" s="2">
        <f ca="1">IFERROR(_xlfn.STDEV.S(OFFSET(Tabla3[[#This Row],[Close]],-29,0,30)),"")</f>
        <v>24.966274621797119</v>
      </c>
    </row>
    <row r="1595" spans="1:12" x14ac:dyDescent="0.3">
      <c r="A1595" s="1">
        <v>44720</v>
      </c>
      <c r="B1595" s="3">
        <f>YEAR(Tabla3[[#This Row],[Date]])</f>
        <v>2022</v>
      </c>
      <c r="C1595" s="1" t="str">
        <f>+TEXT(Tabla3[[#This Row],[Date]],"mmm")</f>
        <v>jun</v>
      </c>
      <c r="D1595" s="2">
        <v>1851.90002441406</v>
      </c>
      <c r="E1595" s="2">
        <v>1851.90002441406</v>
      </c>
      <c r="F1595" s="2">
        <v>1855</v>
      </c>
      <c r="G1595" s="2">
        <v>1844.40002441406</v>
      </c>
      <c r="H1595" s="2">
        <v>1844.80004882812</v>
      </c>
      <c r="I1595">
        <v>218</v>
      </c>
      <c r="J1595" s="2">
        <f ca="1">IFERROR((Tabla3[[#This Row],[Close]]-OFFSET(Tabla3[[#This Row],[Close]],-1,0))/OFFSET(Tabla3[[#This Row],[Close]],-1,0),"")</f>
        <v>2.3816099670148842E-3</v>
      </c>
      <c r="K1595" s="2">
        <f ca="1">IFERROR(AVERAGE(OFFSET(Tabla3[[#This Row],[Close]],-6,0,7)),"")</f>
        <v>1848.0714285714257</v>
      </c>
      <c r="L1595" s="2">
        <f ca="1">IFERROR(_xlfn.STDEV.S(OFFSET(Tabla3[[#This Row],[Close]],-29,0,30)),"")</f>
        <v>23.237435798835357</v>
      </c>
    </row>
    <row r="1596" spans="1:12" x14ac:dyDescent="0.3">
      <c r="A1596" s="1">
        <v>44721</v>
      </c>
      <c r="B1596" s="3">
        <f>YEAR(Tabla3[[#This Row],[Date]])</f>
        <v>2022</v>
      </c>
      <c r="C1596" s="1" t="str">
        <f>+TEXT(Tabla3[[#This Row],[Date]],"mmm")</f>
        <v>jun</v>
      </c>
      <c r="D1596" s="2">
        <v>1848.80004882812</v>
      </c>
      <c r="E1596" s="2">
        <v>1848.80004882812</v>
      </c>
      <c r="F1596" s="2">
        <v>1850.09997558593</v>
      </c>
      <c r="G1596" s="2">
        <v>1837.90002441406</v>
      </c>
      <c r="H1596" s="2">
        <v>1846.09997558593</v>
      </c>
      <c r="I1596">
        <v>159</v>
      </c>
      <c r="J1596" s="2">
        <f ca="1">IFERROR((Tabla3[[#This Row],[Close]]-OFFSET(Tabla3[[#This Row],[Close]],-1,0))/OFFSET(Tabla3[[#This Row],[Close]],-1,0),"")</f>
        <v>-1.6739432718139477E-3</v>
      </c>
      <c r="K1596" s="2">
        <f ca="1">IFERROR(AVERAGE(OFFSET(Tabla3[[#This Row],[Close]],-6,0,7)),"")</f>
        <v>1848.942871093747</v>
      </c>
      <c r="L1596" s="2">
        <f ca="1">IFERROR(_xlfn.STDEV.S(OFFSET(Tabla3[[#This Row],[Close]],-29,0,30)),"")</f>
        <v>22.307406946949481</v>
      </c>
    </row>
    <row r="1597" spans="1:12" x14ac:dyDescent="0.3">
      <c r="A1597" s="1">
        <v>44722</v>
      </c>
      <c r="B1597" s="3">
        <f>YEAR(Tabla3[[#This Row],[Date]])</f>
        <v>2022</v>
      </c>
      <c r="C1597" s="1" t="str">
        <f>+TEXT(Tabla3[[#This Row],[Date]],"mmm")</f>
        <v>jun</v>
      </c>
      <c r="D1597" s="2">
        <v>1871.5</v>
      </c>
      <c r="E1597" s="2">
        <v>1871.5</v>
      </c>
      <c r="F1597" s="2">
        <v>1875.59997558593</v>
      </c>
      <c r="G1597" s="2">
        <v>1823.90002441406</v>
      </c>
      <c r="H1597" s="2">
        <v>1842.69995117187</v>
      </c>
      <c r="I1597">
        <v>1490</v>
      </c>
      <c r="J1597" s="2">
        <f ca="1">IFERROR((Tabla3[[#This Row],[Close]]-OFFSET(Tabla3[[#This Row],[Close]],-1,0))/OFFSET(Tabla3[[#This Row],[Close]],-1,0),"")</f>
        <v>1.2278207795520446E-2</v>
      </c>
      <c r="K1597" s="2">
        <f ca="1">IFERROR(AVERAGE(OFFSET(Tabla3[[#This Row],[Close]],-6,0,7)),"")</f>
        <v>1852.971435546873</v>
      </c>
      <c r="L1597" s="2">
        <f ca="1">IFERROR(_xlfn.STDEV.S(OFFSET(Tabla3[[#This Row],[Close]],-29,0,30)),"")</f>
        <v>21.489188741448345</v>
      </c>
    </row>
    <row r="1598" spans="1:12" x14ac:dyDescent="0.3">
      <c r="A1598" s="1">
        <v>44725</v>
      </c>
      <c r="B1598" s="3">
        <f>YEAR(Tabla3[[#This Row],[Date]])</f>
        <v>2022</v>
      </c>
      <c r="C1598" s="1" t="str">
        <f>+TEXT(Tabla3[[#This Row],[Date]],"mmm")</f>
        <v>jun</v>
      </c>
      <c r="D1598" s="2">
        <v>1828</v>
      </c>
      <c r="E1598" s="2">
        <v>1828</v>
      </c>
      <c r="F1598" s="2">
        <v>1873.80004882812</v>
      </c>
      <c r="G1598" s="2">
        <v>1818.69995117187</v>
      </c>
      <c r="H1598" s="2">
        <v>1873.80004882812</v>
      </c>
      <c r="I1598">
        <v>127</v>
      </c>
      <c r="J1598" s="2">
        <f ca="1">IFERROR((Tabla3[[#This Row],[Close]]-OFFSET(Tabla3[[#This Row],[Close]],-1,0))/OFFSET(Tabla3[[#This Row],[Close]],-1,0),"")</f>
        <v>-2.3243387656959658E-2</v>
      </c>
      <c r="K1598" s="2">
        <f ca="1">IFERROR(AVERAGE(OFFSET(Tabla3[[#This Row],[Close]],-6,0,7)),"")</f>
        <v>1847.471435546873</v>
      </c>
      <c r="L1598" s="2">
        <f ca="1">IFERROR(_xlfn.STDEV.S(OFFSET(Tabla3[[#This Row],[Close]],-29,0,30)),"")</f>
        <v>18.63853613342928</v>
      </c>
    </row>
    <row r="1599" spans="1:12" x14ac:dyDescent="0.3">
      <c r="A1599" s="1">
        <v>44726</v>
      </c>
      <c r="B1599" s="3">
        <f>YEAR(Tabla3[[#This Row],[Date]])</f>
        <v>2022</v>
      </c>
      <c r="C1599" s="1" t="str">
        <f>+TEXT(Tabla3[[#This Row],[Date]],"mmm")</f>
        <v>jun</v>
      </c>
      <c r="D1599" s="2">
        <v>1809.5</v>
      </c>
      <c r="E1599" s="2">
        <v>1809.5</v>
      </c>
      <c r="F1599" s="2">
        <v>1825.5</v>
      </c>
      <c r="G1599" s="2">
        <v>1805.30004882812</v>
      </c>
      <c r="H1599" s="2">
        <v>1825</v>
      </c>
      <c r="I1599">
        <v>536</v>
      </c>
      <c r="J1599" s="2">
        <f ca="1">IFERROR((Tabla3[[#This Row],[Close]]-OFFSET(Tabla3[[#This Row],[Close]],-1,0))/OFFSET(Tabla3[[#This Row],[Close]],-1,0),"")</f>
        <v>-1.012035010940919E-2</v>
      </c>
      <c r="K1599" s="2">
        <f ca="1">IFERROR(AVERAGE(OFFSET(Tabla3[[#This Row],[Close]],-6,0,7)),"")</f>
        <v>1842.3428606305786</v>
      </c>
      <c r="L1599" s="2">
        <f ca="1">IFERROR(_xlfn.STDEV.S(OFFSET(Tabla3[[#This Row],[Close]],-29,0,30)),"")</f>
        <v>19.616435007708468</v>
      </c>
    </row>
    <row r="1600" spans="1:12" x14ac:dyDescent="0.3">
      <c r="A1600" s="1">
        <v>44727</v>
      </c>
      <c r="B1600" s="3">
        <f>YEAR(Tabla3[[#This Row],[Date]])</f>
        <v>2022</v>
      </c>
      <c r="C1600" s="1" t="str">
        <f>+TEXT(Tabla3[[#This Row],[Date]],"mmm")</f>
        <v>jun</v>
      </c>
      <c r="D1600" s="2">
        <v>1815.30004882812</v>
      </c>
      <c r="E1600" s="2">
        <v>1815.30004882812</v>
      </c>
      <c r="F1600" s="2">
        <v>1839</v>
      </c>
      <c r="G1600" s="2">
        <v>1810.80004882812</v>
      </c>
      <c r="H1600" s="2">
        <v>1814.09997558593</v>
      </c>
      <c r="I1600">
        <v>108</v>
      </c>
      <c r="J1600" s="2">
        <f ca="1">IFERROR((Tabla3[[#This Row],[Close]]-OFFSET(Tabla3[[#This Row],[Close]],-1,0))/OFFSET(Tabla3[[#This Row],[Close]],-1,0),"")</f>
        <v>3.2053323172810157E-3</v>
      </c>
      <c r="K1600" s="2">
        <f ca="1">IFERROR(AVERAGE(OFFSET(Tabla3[[#This Row],[Close]],-6,0,7)),"")</f>
        <v>1838.9285888671857</v>
      </c>
      <c r="L1600" s="2">
        <f ca="1">IFERROR(_xlfn.STDEV.S(OFFSET(Tabla3[[#This Row],[Close]],-29,0,30)),"")</f>
        <v>19.823025646245444</v>
      </c>
    </row>
    <row r="1601" spans="1:12" x14ac:dyDescent="0.3">
      <c r="A1601" s="1">
        <v>44728</v>
      </c>
      <c r="B1601" s="3">
        <f>YEAR(Tabla3[[#This Row],[Date]])</f>
        <v>2022</v>
      </c>
      <c r="C1601" s="1" t="str">
        <f>+TEXT(Tabla3[[#This Row],[Date]],"mmm")</f>
        <v>jun</v>
      </c>
      <c r="D1601" s="2">
        <v>1845.69995117187</v>
      </c>
      <c r="E1601" s="2">
        <v>1845.69995117187</v>
      </c>
      <c r="F1601" s="2">
        <v>1850.59997558593</v>
      </c>
      <c r="G1601" s="2">
        <v>1814.90002441406</v>
      </c>
      <c r="H1601" s="2">
        <v>1819.19995117187</v>
      </c>
      <c r="I1601">
        <v>136</v>
      </c>
      <c r="J1601" s="2">
        <f ca="1">IFERROR((Tabla3[[#This Row],[Close]]-OFFSET(Tabla3[[#This Row],[Close]],-1,0))/OFFSET(Tabla3[[#This Row],[Close]],-1,0),"")</f>
        <v>1.6746489024431457E-2</v>
      </c>
      <c r="K1601" s="2">
        <f ca="1">IFERROR(AVERAGE(OFFSET(Tabla3[[#This Row],[Close]],-6,0,7)),"")</f>
        <v>1838.6714390345956</v>
      </c>
      <c r="L1601" s="2">
        <f ca="1">IFERROR(_xlfn.STDEV.S(OFFSET(Tabla3[[#This Row],[Close]],-29,0,30)),"")</f>
        <v>19.32249439841026</v>
      </c>
    </row>
    <row r="1602" spans="1:12" x14ac:dyDescent="0.3">
      <c r="A1602" s="1">
        <v>44729</v>
      </c>
      <c r="B1602" s="3">
        <f>YEAR(Tabla3[[#This Row],[Date]])</f>
        <v>2022</v>
      </c>
      <c r="C1602" s="1" t="str">
        <f>+TEXT(Tabla3[[#This Row],[Date]],"mmm")</f>
        <v>jun</v>
      </c>
      <c r="D1602" s="2">
        <v>1835.59997558593</v>
      </c>
      <c r="E1602" s="2">
        <v>1835.59997558593</v>
      </c>
      <c r="F1602" s="2">
        <v>1853.69995117187</v>
      </c>
      <c r="G1602" s="2">
        <v>1833.59997558593</v>
      </c>
      <c r="H1602" s="2">
        <v>1853.69995117187</v>
      </c>
      <c r="I1602">
        <v>170</v>
      </c>
      <c r="J1602" s="2">
        <f ca="1">IFERROR((Tabla3[[#This Row],[Close]]-OFFSET(Tabla3[[#This Row],[Close]],-1,0))/OFFSET(Tabla3[[#This Row],[Close]],-1,0),"")</f>
        <v>-5.4721654944658443E-3</v>
      </c>
      <c r="K1602" s="2">
        <f ca="1">IFERROR(AVERAGE(OFFSET(Tabla3[[#This Row],[Close]],-6,0,7)),"")</f>
        <v>1836.342860630577</v>
      </c>
      <c r="L1602" s="2">
        <f ca="1">IFERROR(_xlfn.STDEV.S(OFFSET(Tabla3[[#This Row],[Close]],-29,0,30)),"")</f>
        <v>18.425661802633314</v>
      </c>
    </row>
    <row r="1603" spans="1:12" x14ac:dyDescent="0.3">
      <c r="A1603" s="1">
        <v>44733</v>
      </c>
      <c r="B1603" s="3">
        <f>YEAR(Tabla3[[#This Row],[Date]])</f>
        <v>2022</v>
      </c>
      <c r="C1603" s="1" t="str">
        <f>+TEXT(Tabla3[[#This Row],[Date]],"mmm")</f>
        <v>jun</v>
      </c>
      <c r="D1603" s="2">
        <v>1834.59997558593</v>
      </c>
      <c r="E1603" s="2">
        <v>1834.59997558593</v>
      </c>
      <c r="F1603" s="2">
        <v>1838.59997558593</v>
      </c>
      <c r="G1603" s="2">
        <v>1830.09997558593</v>
      </c>
      <c r="H1603" s="2">
        <v>1835.30004882812</v>
      </c>
      <c r="I1603">
        <v>216</v>
      </c>
      <c r="J1603" s="2">
        <f ca="1">IFERROR((Tabla3[[#This Row],[Close]]-OFFSET(Tabla3[[#This Row],[Close]],-1,0))/OFFSET(Tabla3[[#This Row],[Close]],-1,0),"")</f>
        <v>-5.4478100528455083E-4</v>
      </c>
      <c r="K1603" s="2">
        <f ca="1">IFERROR(AVERAGE(OFFSET(Tabla3[[#This Row],[Close]],-6,0,7)),"")</f>
        <v>1834.3142787388356</v>
      </c>
      <c r="L1603" s="2">
        <f ca="1">IFERROR(_xlfn.STDEV.S(OFFSET(Tabla3[[#This Row],[Close]],-29,0,30)),"")</f>
        <v>16.849526567085029</v>
      </c>
    </row>
    <row r="1604" spans="1:12" x14ac:dyDescent="0.3">
      <c r="A1604" s="1">
        <v>44734</v>
      </c>
      <c r="B1604" s="3">
        <f>YEAR(Tabla3[[#This Row],[Date]])</f>
        <v>2022</v>
      </c>
      <c r="C1604" s="1" t="str">
        <f>+TEXT(Tabla3[[#This Row],[Date]],"mmm")</f>
        <v>jun</v>
      </c>
      <c r="D1604" s="2">
        <v>1834.30004882812</v>
      </c>
      <c r="E1604" s="2">
        <v>1834.30004882812</v>
      </c>
      <c r="F1604" s="2">
        <v>1842.69995117187</v>
      </c>
      <c r="G1604" s="2">
        <v>1821.59997558593</v>
      </c>
      <c r="H1604" s="2">
        <v>1829.5</v>
      </c>
      <c r="I1604">
        <v>115</v>
      </c>
      <c r="J1604" s="2">
        <f ca="1">IFERROR((Tabla3[[#This Row],[Close]]-OFFSET(Tabla3[[#This Row],[Close]],-1,0))/OFFSET(Tabla3[[#This Row],[Close]],-1,0),"")</f>
        <v>-1.6348346331696042E-4</v>
      </c>
      <c r="K1604" s="2">
        <f ca="1">IFERROR(AVERAGE(OFFSET(Tabla3[[#This Row],[Close]],-6,0,7)),"")</f>
        <v>1828.9999999999957</v>
      </c>
      <c r="L1604" s="2">
        <f ca="1">IFERROR(_xlfn.STDEV.S(OFFSET(Tabla3[[#This Row],[Close]],-29,0,30)),"")</f>
        <v>16.555014187153841</v>
      </c>
    </row>
    <row r="1605" spans="1:12" x14ac:dyDescent="0.3">
      <c r="A1605" s="1">
        <v>44735</v>
      </c>
      <c r="B1605" s="3">
        <f>YEAR(Tabla3[[#This Row],[Date]])</f>
        <v>2022</v>
      </c>
      <c r="C1605" s="1" t="str">
        <f>+TEXT(Tabla3[[#This Row],[Date]],"mmm")</f>
        <v>jun</v>
      </c>
      <c r="D1605" s="2">
        <v>1825.69995117187</v>
      </c>
      <c r="E1605" s="2">
        <v>1825.69995117187</v>
      </c>
      <c r="F1605" s="2">
        <v>1841.19995117187</v>
      </c>
      <c r="G1605" s="2">
        <v>1825.69995117187</v>
      </c>
      <c r="H1605" s="2">
        <v>1835.5</v>
      </c>
      <c r="I1605">
        <v>9</v>
      </c>
      <c r="J1605" s="2">
        <f ca="1">IFERROR((Tabla3[[#This Row],[Close]]-OFFSET(Tabla3[[#This Row],[Close]],-1,0))/OFFSET(Tabla3[[#This Row],[Close]],-1,0),"")</f>
        <v>-4.6884901201111277E-3</v>
      </c>
      <c r="K1605" s="2">
        <f ca="1">IFERROR(AVERAGE(OFFSET(Tabla3[[#This Row],[Close]],-6,0,7)),"")</f>
        <v>1828.6714215959769</v>
      </c>
      <c r="L1605" s="2">
        <f ca="1">IFERROR(_xlfn.STDEV.S(OFFSET(Tabla3[[#This Row],[Close]],-29,0,30)),"")</f>
        <v>16.732319556208104</v>
      </c>
    </row>
    <row r="1606" spans="1:12" x14ac:dyDescent="0.3">
      <c r="A1606" s="1">
        <v>44736</v>
      </c>
      <c r="B1606" s="3">
        <f>YEAR(Tabla3[[#This Row],[Date]])</f>
        <v>2022</v>
      </c>
      <c r="C1606" s="1" t="str">
        <f>+TEXT(Tabla3[[#This Row],[Date]],"mmm")</f>
        <v>jun</v>
      </c>
      <c r="D1606" s="2">
        <v>1826.5</v>
      </c>
      <c r="E1606" s="2">
        <v>1826.5</v>
      </c>
      <c r="F1606" s="2">
        <v>1826.5</v>
      </c>
      <c r="G1606" s="2">
        <v>1815.80004882812</v>
      </c>
      <c r="H1606" s="2">
        <v>1820.5</v>
      </c>
      <c r="I1606">
        <v>61</v>
      </c>
      <c r="J1606" s="2">
        <f ca="1">IFERROR((Tabla3[[#This Row],[Close]]-OFFSET(Tabla3[[#This Row],[Close]],-1,0))/OFFSET(Tabla3[[#This Row],[Close]],-1,0),"")</f>
        <v>4.3821484884001415E-4</v>
      </c>
      <c r="K1606" s="2">
        <f ca="1">IFERROR(AVERAGE(OFFSET(Tabla3[[#This Row],[Close]],-6,0,7)),"")</f>
        <v>1831.0999930245487</v>
      </c>
      <c r="L1606" s="2">
        <f ca="1">IFERROR(_xlfn.STDEV.S(OFFSET(Tabla3[[#This Row],[Close]],-29,0,30)),"")</f>
        <v>16.657117012840189</v>
      </c>
    </row>
    <row r="1607" spans="1:12" x14ac:dyDescent="0.3">
      <c r="A1607" s="1">
        <v>44739</v>
      </c>
      <c r="B1607" s="3">
        <f>YEAR(Tabla3[[#This Row],[Date]])</f>
        <v>2022</v>
      </c>
      <c r="C1607" s="1" t="str">
        <f>+TEXT(Tabla3[[#This Row],[Date]],"mmm")</f>
        <v>jun</v>
      </c>
      <c r="D1607" s="2">
        <v>1820.90002441406</v>
      </c>
      <c r="E1607" s="2">
        <v>1820.90002441406</v>
      </c>
      <c r="F1607" s="2">
        <v>1830.69995117187</v>
      </c>
      <c r="G1607" s="2">
        <v>1819.90002441406</v>
      </c>
      <c r="H1607" s="2">
        <v>1830.5</v>
      </c>
      <c r="I1607">
        <v>77</v>
      </c>
      <c r="J1607" s="2">
        <f ca="1">IFERROR((Tabla3[[#This Row],[Close]]-OFFSET(Tabla3[[#This Row],[Close]],-1,0))/OFFSET(Tabla3[[#This Row],[Close]],-1,0),"")</f>
        <v>-3.0659598061538468E-3</v>
      </c>
      <c r="K1607" s="2">
        <f ca="1">IFERROR(AVERAGE(OFFSET(Tabla3[[#This Row],[Close]],-6,0,7)),"")</f>
        <v>1831.8999895368256</v>
      </c>
      <c r="L1607" s="2">
        <f ca="1">IFERROR(_xlfn.STDEV.S(OFFSET(Tabla3[[#This Row],[Close]],-29,0,30)),"")</f>
        <v>16.748847708296012</v>
      </c>
    </row>
    <row r="1608" spans="1:12" x14ac:dyDescent="0.3">
      <c r="A1608" s="1">
        <v>44740</v>
      </c>
      <c r="B1608" s="3">
        <f>YEAR(Tabla3[[#This Row],[Date]])</f>
        <v>2022</v>
      </c>
      <c r="C1608" s="1" t="str">
        <f>+TEXT(Tabla3[[#This Row],[Date]],"mmm")</f>
        <v>jun</v>
      </c>
      <c r="D1608" s="2">
        <v>1817.5</v>
      </c>
      <c r="E1608" s="2">
        <v>1817.5</v>
      </c>
      <c r="F1608" s="2">
        <v>1826</v>
      </c>
      <c r="G1608" s="2">
        <v>1817.5</v>
      </c>
      <c r="H1608" s="2">
        <v>1824.19995117187</v>
      </c>
      <c r="I1608">
        <v>391</v>
      </c>
      <c r="J1608" s="2">
        <f ca="1">IFERROR((Tabla3[[#This Row],[Close]]-OFFSET(Tabla3[[#This Row],[Close]],-1,0))/OFFSET(Tabla3[[#This Row],[Close]],-1,0),"")</f>
        <v>-1.8672219059111051E-3</v>
      </c>
      <c r="K1608" s="2">
        <f ca="1">IFERROR(AVERAGE(OFFSET(Tabla3[[#This Row],[Close]],-6,0,7)),"")</f>
        <v>1827.8714250837015</v>
      </c>
      <c r="L1608" s="2">
        <f ca="1">IFERROR(_xlfn.STDEV.S(OFFSET(Tabla3[[#This Row],[Close]],-29,0,30)),"")</f>
        <v>16.213333022566736</v>
      </c>
    </row>
    <row r="1609" spans="1:12" x14ac:dyDescent="0.3">
      <c r="A1609" s="1">
        <v>44741</v>
      </c>
      <c r="B1609" s="3">
        <f>YEAR(Tabla3[[#This Row],[Date]])</f>
        <v>2022</v>
      </c>
      <c r="C1609" s="1" t="str">
        <f>+TEXT(Tabla3[[#This Row],[Date]],"mmm")</f>
        <v>jun</v>
      </c>
      <c r="D1609" s="2">
        <v>1813.69995117187</v>
      </c>
      <c r="E1609" s="2">
        <v>1813.69995117187</v>
      </c>
      <c r="F1609" s="2">
        <v>1830.30004882812</v>
      </c>
      <c r="G1609" s="2">
        <v>1812.80004882812</v>
      </c>
      <c r="H1609" s="2">
        <v>1818.30004882812</v>
      </c>
      <c r="I1609">
        <v>173</v>
      </c>
      <c r="J1609" s="2">
        <f ca="1">IFERROR((Tabla3[[#This Row],[Close]]-OFFSET(Tabla3[[#This Row],[Close]],-1,0))/OFFSET(Tabla3[[#This Row],[Close]],-1,0),"")</f>
        <v>-2.0908109095625874E-3</v>
      </c>
      <c r="K1609" s="2">
        <f ca="1">IFERROR(AVERAGE(OFFSET(Tabla3[[#This Row],[Close]],-6,0,7)),"")</f>
        <v>1824.7428501674071</v>
      </c>
      <c r="L1609" s="2">
        <f ca="1">IFERROR(_xlfn.STDEV.S(OFFSET(Tabla3[[#This Row],[Close]],-29,0,30)),"")</f>
        <v>16.202968969242615</v>
      </c>
    </row>
    <row r="1610" spans="1:12" x14ac:dyDescent="0.3">
      <c r="A1610" s="1">
        <v>44742</v>
      </c>
      <c r="B1610" s="3">
        <f>YEAR(Tabla3[[#This Row],[Date]])</f>
        <v>2022</v>
      </c>
      <c r="C1610" s="1" t="str">
        <f>+TEXT(Tabla3[[#This Row],[Date]],"mmm")</f>
        <v>jun</v>
      </c>
      <c r="D1610" s="2">
        <v>1804.09997558593</v>
      </c>
      <c r="E1610" s="2">
        <v>1804.09997558593</v>
      </c>
      <c r="F1610" s="2">
        <v>1817.30004882812</v>
      </c>
      <c r="G1610" s="2">
        <v>1801</v>
      </c>
      <c r="H1610" s="2">
        <v>1809.59997558593</v>
      </c>
      <c r="I1610">
        <v>328</v>
      </c>
      <c r="J1610" s="2">
        <f ca="1">IFERROR((Tabla3[[#This Row],[Close]]-OFFSET(Tabla3[[#This Row],[Close]],-1,0))/OFFSET(Tabla3[[#This Row],[Close]],-1,0),"")</f>
        <v>-5.293034043330736E-3</v>
      </c>
      <c r="K1610" s="2">
        <f ca="1">IFERROR(AVERAGE(OFFSET(Tabla3[[#This Row],[Close]],-6,0,7)),"")</f>
        <v>1820.3857073102643</v>
      </c>
      <c r="L1610" s="2">
        <f ca="1">IFERROR(_xlfn.STDEV.S(OFFSET(Tabla3[[#This Row],[Close]],-29,0,30)),"")</f>
        <v>16.981889587992061</v>
      </c>
    </row>
    <row r="1611" spans="1:12" x14ac:dyDescent="0.3">
      <c r="A1611" s="1">
        <v>44743</v>
      </c>
      <c r="B1611" s="3">
        <f>YEAR(Tabla3[[#This Row],[Date]])</f>
        <v>2022</v>
      </c>
      <c r="C1611" s="1" t="str">
        <f>+TEXT(Tabla3[[#This Row],[Date]],"mmm")</f>
        <v>jul</v>
      </c>
      <c r="D1611" s="2">
        <v>1798.90002441406</v>
      </c>
      <c r="E1611" s="2">
        <v>1798.90002441406</v>
      </c>
      <c r="F1611" s="2">
        <v>1806.09997558593</v>
      </c>
      <c r="G1611" s="2">
        <v>1791.59997558593</v>
      </c>
      <c r="H1611" s="2">
        <v>1795.5</v>
      </c>
      <c r="I1611">
        <v>77</v>
      </c>
      <c r="J1611" s="2">
        <f ca="1">IFERROR((Tabla3[[#This Row],[Close]]-OFFSET(Tabla3[[#This Row],[Close]],-1,0))/OFFSET(Tabla3[[#This Row],[Close]],-1,0),"")</f>
        <v>-2.8822965701671682E-3</v>
      </c>
      <c r="K1611" s="2">
        <f ca="1">IFERROR(AVERAGE(OFFSET(Tabla3[[#This Row],[Close]],-6,0,7)),"")</f>
        <v>1815.3285609653988</v>
      </c>
      <c r="L1611" s="2">
        <f ca="1">IFERROR(_xlfn.STDEV.S(OFFSET(Tabla3[[#This Row],[Close]],-29,0,30)),"")</f>
        <v>17.981604753966529</v>
      </c>
    </row>
    <row r="1612" spans="1:12" x14ac:dyDescent="0.3">
      <c r="A1612" s="1">
        <v>44747</v>
      </c>
      <c r="B1612" s="3">
        <f>YEAR(Tabla3[[#This Row],[Date]])</f>
        <v>2022</v>
      </c>
      <c r="C1612" s="1" t="str">
        <f>+TEXT(Tabla3[[#This Row],[Date]],"mmm")</f>
        <v>jul</v>
      </c>
      <c r="D1612" s="2">
        <v>1761.80004882812</v>
      </c>
      <c r="E1612" s="2">
        <v>1761.80004882812</v>
      </c>
      <c r="F1612" s="2">
        <v>1805.40002441406</v>
      </c>
      <c r="G1612" s="2">
        <v>1761.80004882812</v>
      </c>
      <c r="H1612" s="2">
        <v>1805.40002441406</v>
      </c>
      <c r="I1612">
        <v>64</v>
      </c>
      <c r="J1612" s="2">
        <f ca="1">IFERROR((Tabla3[[#This Row],[Close]]-OFFSET(Tabla3[[#This Row],[Close]],-1,0))/OFFSET(Tabla3[[#This Row],[Close]],-1,0),"")</f>
        <v>-2.0623700640631352E-2</v>
      </c>
      <c r="K1612" s="2">
        <f ca="1">IFERROR(AVERAGE(OFFSET(Tabla3[[#This Row],[Close]],-6,0,7)),"")</f>
        <v>1806.2000034877201</v>
      </c>
      <c r="L1612" s="2">
        <f ca="1">IFERROR(_xlfn.STDEV.S(OFFSET(Tabla3[[#This Row],[Close]],-29,0,30)),"")</f>
        <v>22.585422189767822</v>
      </c>
    </row>
    <row r="1613" spans="1:12" x14ac:dyDescent="0.3">
      <c r="A1613" s="1">
        <v>44748</v>
      </c>
      <c r="B1613" s="3">
        <f>YEAR(Tabla3[[#This Row],[Date]])</f>
        <v>2022</v>
      </c>
      <c r="C1613" s="1" t="str">
        <f>+TEXT(Tabla3[[#This Row],[Date]],"mmm")</f>
        <v>jul</v>
      </c>
      <c r="D1613" s="2">
        <v>1734.90002441406</v>
      </c>
      <c r="E1613" s="2">
        <v>1734.90002441406</v>
      </c>
      <c r="F1613" s="2">
        <v>1768</v>
      </c>
      <c r="G1613" s="2">
        <v>1734</v>
      </c>
      <c r="H1613" s="2">
        <v>1762.5</v>
      </c>
      <c r="I1613">
        <v>1729</v>
      </c>
      <c r="J1613" s="2">
        <f ca="1">IFERROR((Tabla3[[#This Row],[Close]]-OFFSET(Tabla3[[#This Row],[Close]],-1,0))/OFFSET(Tabla3[[#This Row],[Close]],-1,0),"")</f>
        <v>-1.5268488857150864E-2</v>
      </c>
      <c r="K1613" s="2">
        <f ca="1">IFERROR(AVERAGE(OFFSET(Tabla3[[#This Row],[Close]],-6,0,7)),"")</f>
        <v>1793.1142926897287</v>
      </c>
      <c r="L1613" s="2">
        <f ca="1">IFERROR(_xlfn.STDEV.S(OFFSET(Tabla3[[#This Row],[Close]],-29,0,30)),"")</f>
        <v>28.906841459488085</v>
      </c>
    </row>
    <row r="1614" spans="1:12" x14ac:dyDescent="0.3">
      <c r="A1614" s="1">
        <v>44749</v>
      </c>
      <c r="B1614" s="3">
        <f>YEAR(Tabla3[[#This Row],[Date]])</f>
        <v>2022</v>
      </c>
      <c r="C1614" s="1" t="str">
        <f>+TEXT(Tabla3[[#This Row],[Date]],"mmm")</f>
        <v>jul</v>
      </c>
      <c r="D1614" s="2">
        <v>1737.90002441406</v>
      </c>
      <c r="E1614" s="2">
        <v>1737.90002441406</v>
      </c>
      <c r="F1614" s="2">
        <v>1745.19995117187</v>
      </c>
      <c r="G1614" s="2">
        <v>1737</v>
      </c>
      <c r="H1614" s="2">
        <v>1745.19995117187</v>
      </c>
      <c r="I1614">
        <v>1869</v>
      </c>
      <c r="J1614" s="2">
        <f ca="1">IFERROR((Tabla3[[#This Row],[Close]]-OFFSET(Tabla3[[#This Row],[Close]],-1,0))/OFFSET(Tabla3[[#This Row],[Close]],-1,0),"")</f>
        <v>1.7292062699769753E-3</v>
      </c>
      <c r="K1614" s="2">
        <f ca="1">IFERROR(AVERAGE(OFFSET(Tabla3[[#This Row],[Close]],-6,0,7)),"")</f>
        <v>1781.2571498325858</v>
      </c>
      <c r="L1614" s="2">
        <f ca="1">IFERROR(_xlfn.STDEV.S(OFFSET(Tabla3[[#This Row],[Close]],-29,0,30)),"")</f>
        <v>33.297912855191576</v>
      </c>
    </row>
    <row r="1615" spans="1:12" x14ac:dyDescent="0.3">
      <c r="A1615" s="1">
        <v>44750</v>
      </c>
      <c r="B1615" s="3">
        <f>YEAR(Tabla3[[#This Row],[Date]])</f>
        <v>2022</v>
      </c>
      <c r="C1615" s="1" t="str">
        <f>+TEXT(Tabla3[[#This Row],[Date]],"mmm")</f>
        <v>jul</v>
      </c>
      <c r="D1615" s="2">
        <v>1740.59997558593</v>
      </c>
      <c r="E1615" s="2">
        <v>1740.59997558593</v>
      </c>
      <c r="F1615" s="2">
        <v>1749.30004882812</v>
      </c>
      <c r="G1615" s="2">
        <v>1732.09997558593</v>
      </c>
      <c r="H1615" s="2">
        <v>1738.09997558593</v>
      </c>
      <c r="I1615">
        <v>370</v>
      </c>
      <c r="J1615" s="2">
        <f ca="1">IFERROR((Tabla3[[#This Row],[Close]]-OFFSET(Tabla3[[#This Row],[Close]],-1,0))/OFFSET(Tabla3[[#This Row],[Close]],-1,0),"")</f>
        <v>1.553571053536464E-3</v>
      </c>
      <c r="K1615" s="2">
        <f ca="1">IFERROR(AVERAGE(OFFSET(Tabla3[[#This Row],[Close]],-6,0,7)),"")</f>
        <v>1770.2714320591474</v>
      </c>
      <c r="L1615" s="2">
        <f ca="1">IFERROR(_xlfn.STDEV.S(OFFSET(Tabla3[[#This Row],[Close]],-29,0,30)),"")</f>
        <v>36.038566842538209</v>
      </c>
    </row>
    <row r="1616" spans="1:12" x14ac:dyDescent="0.3">
      <c r="A1616" s="1">
        <v>44753</v>
      </c>
      <c r="B1616" s="3">
        <f>YEAR(Tabla3[[#This Row],[Date]])</f>
        <v>2022</v>
      </c>
      <c r="C1616" s="1" t="str">
        <f>+TEXT(Tabla3[[#This Row],[Date]],"mmm")</f>
        <v>jul</v>
      </c>
      <c r="D1616" s="2">
        <v>1730</v>
      </c>
      <c r="E1616" s="2">
        <v>1730</v>
      </c>
      <c r="F1616" s="2">
        <v>1736.69995117187</v>
      </c>
      <c r="G1616" s="2">
        <v>1730</v>
      </c>
      <c r="H1616" s="2">
        <v>1732.5</v>
      </c>
      <c r="I1616">
        <v>75</v>
      </c>
      <c r="J1616" s="2">
        <f ca="1">IFERROR((Tabla3[[#This Row],[Close]]-OFFSET(Tabla3[[#This Row],[Close]],-1,0))/OFFSET(Tabla3[[#This Row],[Close]],-1,0),"")</f>
        <v>-6.0898401324875218E-3</v>
      </c>
      <c r="K1616" s="2">
        <f ca="1">IFERROR(AVERAGE(OFFSET(Tabla3[[#This Row],[Close]],-6,0,7)),"")</f>
        <v>1758.3142961774515</v>
      </c>
      <c r="L1616" s="2">
        <f ca="1">IFERROR(_xlfn.STDEV.S(OFFSET(Tabla3[[#This Row],[Close]],-29,0,30)),"")</f>
        <v>39.52457198277839</v>
      </c>
    </row>
    <row r="1617" spans="1:12" x14ac:dyDescent="0.3">
      <c r="A1617" s="1">
        <v>44754</v>
      </c>
      <c r="B1617" s="3">
        <f>YEAR(Tabla3[[#This Row],[Date]])</f>
        <v>2022</v>
      </c>
      <c r="C1617" s="1" t="str">
        <f>+TEXT(Tabla3[[#This Row],[Date]],"mmm")</f>
        <v>jul</v>
      </c>
      <c r="D1617" s="2">
        <v>1723.30004882812</v>
      </c>
      <c r="E1617" s="2">
        <v>1723.30004882812</v>
      </c>
      <c r="F1617" s="2">
        <v>1735.5</v>
      </c>
      <c r="G1617" s="2">
        <v>1723.30004882812</v>
      </c>
      <c r="H1617" s="2">
        <v>1734.19995117187</v>
      </c>
      <c r="I1617">
        <v>451</v>
      </c>
      <c r="J1617" s="2">
        <f ca="1">IFERROR((Tabla3[[#This Row],[Close]]-OFFSET(Tabla3[[#This Row],[Close]],-1,0))/OFFSET(Tabla3[[#This Row],[Close]],-1,0),"")</f>
        <v>-3.872804145595377E-3</v>
      </c>
      <c r="K1617" s="2">
        <f ca="1">IFERROR(AVERAGE(OFFSET(Tabla3[[#This Row],[Close]],-6,0,7)),"")</f>
        <v>1746.7714494977643</v>
      </c>
      <c r="L1617" s="2">
        <f ca="1">IFERROR(_xlfn.STDEV.S(OFFSET(Tabla3[[#This Row],[Close]],-29,0,30)),"")</f>
        <v>42.810889446212677</v>
      </c>
    </row>
    <row r="1618" spans="1:12" x14ac:dyDescent="0.3">
      <c r="A1618" s="1">
        <v>44755</v>
      </c>
      <c r="B1618" s="3">
        <f>YEAR(Tabla3[[#This Row],[Date]])</f>
        <v>2022</v>
      </c>
      <c r="C1618" s="1" t="str">
        <f>+TEXT(Tabla3[[#This Row],[Date]],"mmm")</f>
        <v>jul</v>
      </c>
      <c r="D1618" s="2">
        <v>1734.19995117187</v>
      </c>
      <c r="E1618" s="2">
        <v>1734.19995117187</v>
      </c>
      <c r="F1618" s="2">
        <v>1734.19995117187</v>
      </c>
      <c r="G1618" s="2">
        <v>1710</v>
      </c>
      <c r="H1618" s="2">
        <v>1710</v>
      </c>
      <c r="I1618">
        <v>368</v>
      </c>
      <c r="J1618" s="2">
        <f ca="1">IFERROR((Tabla3[[#This Row],[Close]]-OFFSET(Tabla3[[#This Row],[Close]],-1,0))/OFFSET(Tabla3[[#This Row],[Close]],-1,0),"")</f>
        <v>6.3250171385779057E-3</v>
      </c>
      <c r="K1618" s="2">
        <f ca="1">IFERROR(AVERAGE(OFFSET(Tabla3[[#This Row],[Close]],-6,0,7)),"")</f>
        <v>1737.5285818917368</v>
      </c>
      <c r="L1618" s="2">
        <f ca="1">IFERROR(_xlfn.STDEV.S(OFFSET(Tabla3[[#This Row],[Close]],-29,0,30)),"")</f>
        <v>44.675098790700325</v>
      </c>
    </row>
    <row r="1619" spans="1:12" x14ac:dyDescent="0.3">
      <c r="A1619" s="1">
        <v>44756</v>
      </c>
      <c r="B1619" s="3">
        <f>YEAR(Tabla3[[#This Row],[Date]])</f>
        <v>2022</v>
      </c>
      <c r="C1619" s="1" t="str">
        <f>+TEXT(Tabla3[[#This Row],[Date]],"mmm")</f>
        <v>jul</v>
      </c>
      <c r="D1619" s="2">
        <v>1704.5</v>
      </c>
      <c r="E1619" s="2">
        <v>1704.5</v>
      </c>
      <c r="F1619" s="2">
        <v>1710.5</v>
      </c>
      <c r="G1619" s="2">
        <v>1704.5</v>
      </c>
      <c r="H1619" s="2">
        <v>1710.30004882812</v>
      </c>
      <c r="I1619">
        <v>1289</v>
      </c>
      <c r="J1619" s="2">
        <f ca="1">IFERROR((Tabla3[[#This Row],[Close]]-OFFSET(Tabla3[[#This Row],[Close]],-1,0))/OFFSET(Tabla3[[#This Row],[Close]],-1,0),"")</f>
        <v>-1.7126024684639463E-2</v>
      </c>
      <c r="K1619" s="2">
        <f ca="1">IFERROR(AVERAGE(OFFSET(Tabla3[[#This Row],[Close]],-6,0,7)),"")</f>
        <v>1729.342860630577</v>
      </c>
      <c r="L1619" s="2">
        <f ca="1">IFERROR(_xlfn.STDEV.S(OFFSET(Tabla3[[#This Row],[Close]],-29,0,30)),"")</f>
        <v>48.27326993021147</v>
      </c>
    </row>
    <row r="1620" spans="1:12" x14ac:dyDescent="0.3">
      <c r="A1620" s="1">
        <v>44757</v>
      </c>
      <c r="B1620" s="3">
        <f>YEAR(Tabla3[[#This Row],[Date]])</f>
        <v>2022</v>
      </c>
      <c r="C1620" s="1" t="str">
        <f>+TEXT(Tabla3[[#This Row],[Date]],"mmm")</f>
        <v>jul</v>
      </c>
      <c r="D1620" s="2">
        <v>1702.40002441406</v>
      </c>
      <c r="E1620" s="2">
        <v>1702.40002441406</v>
      </c>
      <c r="F1620" s="2">
        <v>1709.69995117187</v>
      </c>
      <c r="G1620" s="2">
        <v>1701.09997558593</v>
      </c>
      <c r="H1620" s="2">
        <v>1705.40002441406</v>
      </c>
      <c r="I1620">
        <v>721</v>
      </c>
      <c r="J1620" s="2">
        <f ca="1">IFERROR((Tabla3[[#This Row],[Close]]-OFFSET(Tabla3[[#This Row],[Close]],-1,0))/OFFSET(Tabla3[[#This Row],[Close]],-1,0),"")</f>
        <v>-1.2320185309122916E-3</v>
      </c>
      <c r="K1620" s="2">
        <f ca="1">IFERROR(AVERAGE(OFFSET(Tabla3[[#This Row],[Close]],-6,0,7)),"")</f>
        <v>1724.7000034877201</v>
      </c>
      <c r="L1620" s="2">
        <f ca="1">IFERROR(_xlfn.STDEV.S(OFFSET(Tabla3[[#This Row],[Close]],-29,0,30)),"")</f>
        <v>51.316399691597212</v>
      </c>
    </row>
    <row r="1621" spans="1:12" x14ac:dyDescent="0.3">
      <c r="A1621" s="1">
        <v>44760</v>
      </c>
      <c r="B1621" s="3">
        <f>YEAR(Tabla3[[#This Row],[Date]])</f>
        <v>2022</v>
      </c>
      <c r="C1621" s="1" t="str">
        <f>+TEXT(Tabla3[[#This Row],[Date]],"mmm")</f>
        <v>jul</v>
      </c>
      <c r="D1621" s="2">
        <v>1709.19995117187</v>
      </c>
      <c r="E1621" s="2">
        <v>1709.19995117187</v>
      </c>
      <c r="F1621" s="2">
        <v>1712.40002441406</v>
      </c>
      <c r="G1621" s="2">
        <v>1709.19995117187</v>
      </c>
      <c r="H1621" s="2">
        <v>1712.19995117187</v>
      </c>
      <c r="I1621">
        <v>264</v>
      </c>
      <c r="J1621" s="2">
        <f ca="1">IFERROR((Tabla3[[#This Row],[Close]]-OFFSET(Tabla3[[#This Row],[Close]],-1,0))/OFFSET(Tabla3[[#This Row],[Close]],-1,0),"")</f>
        <v>3.9943178220703032E-3</v>
      </c>
      <c r="K1621" s="2">
        <f ca="1">IFERROR(AVERAGE(OFFSET(Tabla3[[#This Row],[Close]],-6,0,7)),"")</f>
        <v>1720.59999302455</v>
      </c>
      <c r="L1621" s="2">
        <f ca="1">IFERROR(_xlfn.STDEV.S(OFFSET(Tabla3[[#This Row],[Close]],-29,0,30)),"")</f>
        <v>52.488787110247856</v>
      </c>
    </row>
    <row r="1622" spans="1:12" x14ac:dyDescent="0.3">
      <c r="A1622" s="1">
        <v>44761</v>
      </c>
      <c r="B1622" s="3">
        <f>YEAR(Tabla3[[#This Row],[Date]])</f>
        <v>2022</v>
      </c>
      <c r="C1622" s="1" t="str">
        <f>+TEXT(Tabla3[[#This Row],[Date]],"mmm")</f>
        <v>jul</v>
      </c>
      <c r="D1622" s="2">
        <v>1710</v>
      </c>
      <c r="E1622" s="2">
        <v>1710</v>
      </c>
      <c r="F1622" s="2">
        <v>1714.40002441406</v>
      </c>
      <c r="G1622" s="2">
        <v>1706.09997558593</v>
      </c>
      <c r="H1622" s="2">
        <v>1712.30004882812</v>
      </c>
      <c r="I1622">
        <v>1684</v>
      </c>
      <c r="J1622" s="2">
        <f ca="1">IFERROR((Tabla3[[#This Row],[Close]]-OFFSET(Tabla3[[#This Row],[Close]],-1,0))/OFFSET(Tabla3[[#This Row],[Close]],-1,0),"")</f>
        <v>4.6808381171639332E-4</v>
      </c>
      <c r="K1622" s="2">
        <f ca="1">IFERROR(AVERAGE(OFFSET(Tabla3[[#This Row],[Close]],-6,0,7)),"")</f>
        <v>1716.2285679408456</v>
      </c>
      <c r="L1622" s="2">
        <f ca="1">IFERROR(_xlfn.STDEV.S(OFFSET(Tabla3[[#This Row],[Close]],-29,0,30)),"")</f>
        <v>53.935657710269744</v>
      </c>
    </row>
    <row r="1623" spans="1:12" x14ac:dyDescent="0.3">
      <c r="A1623" s="1">
        <v>44762</v>
      </c>
      <c r="B1623" s="3">
        <f>YEAR(Tabla3[[#This Row],[Date]])</f>
        <v>2022</v>
      </c>
      <c r="C1623" s="1" t="str">
        <f>+TEXT(Tabla3[[#This Row],[Date]],"mmm")</f>
        <v>jul</v>
      </c>
      <c r="D1623" s="2">
        <v>1699.5</v>
      </c>
      <c r="E1623" s="2">
        <v>1699.5</v>
      </c>
      <c r="F1623" s="2">
        <v>1708.5</v>
      </c>
      <c r="G1623" s="2">
        <v>1699.5</v>
      </c>
      <c r="H1623" s="2">
        <v>1707.09997558593</v>
      </c>
      <c r="I1623">
        <v>130</v>
      </c>
      <c r="J1623" s="2">
        <f ca="1">IFERROR((Tabla3[[#This Row],[Close]]-OFFSET(Tabla3[[#This Row],[Close]],-1,0))/OFFSET(Tabla3[[#This Row],[Close]],-1,0),"")</f>
        <v>-6.1403508771929825E-3</v>
      </c>
      <c r="K1623" s="2">
        <f ca="1">IFERROR(AVERAGE(OFFSET(Tabla3[[#This Row],[Close]],-6,0,7)),"")</f>
        <v>1711.8714250837027</v>
      </c>
      <c r="L1623" s="2">
        <f ca="1">IFERROR(_xlfn.STDEV.S(OFFSET(Tabla3[[#This Row],[Close]],-29,0,30)),"")</f>
        <v>55.715364090749055</v>
      </c>
    </row>
    <row r="1624" spans="1:12" x14ac:dyDescent="0.3">
      <c r="A1624" s="1">
        <v>44763</v>
      </c>
      <c r="B1624" s="3">
        <f>YEAR(Tabla3[[#This Row],[Date]])</f>
        <v>2022</v>
      </c>
      <c r="C1624" s="1" t="str">
        <f>+TEXT(Tabla3[[#This Row],[Date]],"mmm")</f>
        <v>jul</v>
      </c>
      <c r="D1624" s="2">
        <v>1712.69995117187</v>
      </c>
      <c r="E1624" s="2">
        <v>1712.69995117187</v>
      </c>
      <c r="F1624" s="2">
        <v>1715.5</v>
      </c>
      <c r="G1624" s="2">
        <v>1679.80004882812</v>
      </c>
      <c r="H1624" s="2">
        <v>1687</v>
      </c>
      <c r="I1624">
        <v>183</v>
      </c>
      <c r="J1624" s="2">
        <f ca="1">IFERROR((Tabla3[[#This Row],[Close]]-OFFSET(Tabla3[[#This Row],[Close]],-1,0))/OFFSET(Tabla3[[#This Row],[Close]],-1,0),"")</f>
        <v>7.7669615603824637E-3</v>
      </c>
      <c r="K1624" s="2">
        <f ca="1">IFERROR(AVERAGE(OFFSET(Tabla3[[#This Row],[Close]],-6,0,7)),"")</f>
        <v>1710.3571254185242</v>
      </c>
      <c r="L1624" s="2">
        <f ca="1">IFERROR(_xlfn.STDEV.S(OFFSET(Tabla3[[#This Row],[Close]],-29,0,30)),"")</f>
        <v>56.12516411466892</v>
      </c>
    </row>
    <row r="1625" spans="1:12" x14ac:dyDescent="0.3">
      <c r="A1625" s="1">
        <v>44764</v>
      </c>
      <c r="B1625" s="3">
        <f>YEAR(Tabla3[[#This Row],[Date]])</f>
        <v>2022</v>
      </c>
      <c r="C1625" s="1" t="str">
        <f>+TEXT(Tabla3[[#This Row],[Date]],"mmm")</f>
        <v>jul</v>
      </c>
      <c r="D1625" s="2">
        <v>1727.09997558593</v>
      </c>
      <c r="E1625" s="2">
        <v>1727.09997558593</v>
      </c>
      <c r="F1625" s="2">
        <v>1735</v>
      </c>
      <c r="G1625" s="2">
        <v>1713</v>
      </c>
      <c r="H1625" s="2">
        <v>1713.30004882812</v>
      </c>
      <c r="I1625">
        <v>61</v>
      </c>
      <c r="J1625" s="2">
        <f ca="1">IFERROR((Tabla3[[#This Row],[Close]]-OFFSET(Tabla3[[#This Row],[Close]],-1,0))/OFFSET(Tabla3[[#This Row],[Close]],-1,0),"")</f>
        <v>8.40779168832647E-3</v>
      </c>
      <c r="K1625" s="2">
        <f ca="1">IFERROR(AVERAGE(OFFSET(Tabla3[[#This Row],[Close]],-6,0,7)),"")</f>
        <v>1709.3428431919615</v>
      </c>
      <c r="L1625" s="2">
        <f ca="1">IFERROR(_xlfn.STDEV.S(OFFSET(Tabla3[[#This Row],[Close]],-29,0,30)),"")</f>
        <v>55.446568967536862</v>
      </c>
    </row>
    <row r="1626" spans="1:12" x14ac:dyDescent="0.3">
      <c r="A1626" s="1">
        <v>44767</v>
      </c>
      <c r="B1626" s="3">
        <f>YEAR(Tabla3[[#This Row],[Date]])</f>
        <v>2022</v>
      </c>
      <c r="C1626" s="1" t="str">
        <f>+TEXT(Tabla3[[#This Row],[Date]],"mmm")</f>
        <v>jul</v>
      </c>
      <c r="D1626" s="2">
        <v>1719</v>
      </c>
      <c r="E1626" s="2">
        <v>1719</v>
      </c>
      <c r="F1626" s="2">
        <v>1732</v>
      </c>
      <c r="G1626" s="2">
        <v>1719</v>
      </c>
      <c r="H1626" s="2">
        <v>1727</v>
      </c>
      <c r="I1626">
        <v>67</v>
      </c>
      <c r="J1626" s="2">
        <f ca="1">IFERROR((Tabla3[[#This Row],[Close]]-OFFSET(Tabla3[[#This Row],[Close]],-1,0))/OFFSET(Tabla3[[#This Row],[Close]],-1,0),"")</f>
        <v>-4.6899286088994512E-3</v>
      </c>
      <c r="K1626" s="2">
        <f ca="1">IFERROR(AVERAGE(OFFSET(Tabla3[[#This Row],[Close]],-6,0,7)),"")</f>
        <v>1711.4142717633899</v>
      </c>
      <c r="L1626" s="2">
        <f ca="1">IFERROR(_xlfn.STDEV.S(OFFSET(Tabla3[[#This Row],[Close]],-29,0,30)),"")</f>
        <v>54.842692468813851</v>
      </c>
    </row>
    <row r="1627" spans="1:12" x14ac:dyDescent="0.3">
      <c r="A1627" s="1">
        <v>44768</v>
      </c>
      <c r="B1627" s="3">
        <f>YEAR(Tabla3[[#This Row],[Date]])</f>
        <v>2022</v>
      </c>
      <c r="C1627" s="1" t="str">
        <f>+TEXT(Tabla3[[#This Row],[Date]],"mmm")</f>
        <v>jul</v>
      </c>
      <c r="D1627" s="2">
        <v>1717.69995117187</v>
      </c>
      <c r="E1627" s="2">
        <v>1717.69995117187</v>
      </c>
      <c r="F1627" s="2">
        <v>1718</v>
      </c>
      <c r="G1627" s="2">
        <v>1717.69995117187</v>
      </c>
      <c r="H1627" s="2">
        <v>1718</v>
      </c>
      <c r="I1627">
        <v>1</v>
      </c>
      <c r="J1627" s="2">
        <f ca="1">IFERROR((Tabla3[[#This Row],[Close]]-OFFSET(Tabla3[[#This Row],[Close]],-1,0))/OFFSET(Tabla3[[#This Row],[Close]],-1,0),"")</f>
        <v>-7.5628204079697631E-4</v>
      </c>
      <c r="K1627" s="2">
        <f ca="1">IFERROR(AVERAGE(OFFSET(Tabla3[[#This Row],[Close]],-6,0,7)),"")</f>
        <v>1713.5999755859341</v>
      </c>
      <c r="L1627" s="2">
        <f ca="1">IFERROR(_xlfn.STDEV.S(OFFSET(Tabla3[[#This Row],[Close]],-29,0,30)),"")</f>
        <v>52.584947353859725</v>
      </c>
    </row>
    <row r="1628" spans="1:12" x14ac:dyDescent="0.3">
      <c r="A1628" s="1">
        <v>44769</v>
      </c>
      <c r="B1628" s="3">
        <f>YEAR(Tabla3[[#This Row],[Date]])</f>
        <v>2022</v>
      </c>
      <c r="C1628" s="1" t="str">
        <f>+TEXT(Tabla3[[#This Row],[Date]],"mmm")</f>
        <v>jul</v>
      </c>
      <c r="D1628" s="2">
        <v>1719.09997558593</v>
      </c>
      <c r="E1628" s="2">
        <v>1719.09997558593</v>
      </c>
      <c r="F1628" s="2">
        <v>1719.09997558593</v>
      </c>
      <c r="G1628" s="2">
        <v>1719.09997558593</v>
      </c>
      <c r="H1628" s="2">
        <v>1719.09997558593</v>
      </c>
      <c r="I1628">
        <v>144865</v>
      </c>
      <c r="J1628" s="2">
        <f ca="1">IFERROR((Tabla3[[#This Row],[Close]]-OFFSET(Tabla3[[#This Row],[Close]],-1,0))/OFFSET(Tabla3[[#This Row],[Close]],-1,0),"")</f>
        <v>8.1505760834705578E-4</v>
      </c>
      <c r="K1628" s="2">
        <f ca="1">IFERROR(AVERAGE(OFFSET(Tabla3[[#This Row],[Close]],-6,0,7)),"")</f>
        <v>1715.0142647879427</v>
      </c>
      <c r="L1628" s="2">
        <f ca="1">IFERROR(_xlfn.STDEV.S(OFFSET(Tabla3[[#This Row],[Close]],-29,0,30)),"")</f>
        <v>52.140676477411141</v>
      </c>
    </row>
    <row r="1629" spans="1:12" x14ac:dyDescent="0.3">
      <c r="A1629" s="1">
        <v>44770</v>
      </c>
      <c r="B1629" s="3">
        <f>YEAR(Tabla3[[#This Row],[Date]])</f>
        <v>2022</v>
      </c>
      <c r="C1629" s="1" t="str">
        <f>+TEXT(Tabla3[[#This Row],[Date]],"mmm")</f>
        <v>jul</v>
      </c>
      <c r="D1629" s="2">
        <v>1750.30004882812</v>
      </c>
      <c r="E1629" s="2">
        <v>1750.30004882812</v>
      </c>
      <c r="F1629" s="2">
        <v>1755</v>
      </c>
      <c r="G1629" s="2">
        <v>1732</v>
      </c>
      <c r="H1629" s="2">
        <v>1732.30004882812</v>
      </c>
      <c r="I1629">
        <v>37236</v>
      </c>
      <c r="J1629" s="2">
        <f ca="1">IFERROR((Tabla3[[#This Row],[Close]]-OFFSET(Tabla3[[#This Row],[Close]],-1,0))/OFFSET(Tabla3[[#This Row],[Close]],-1,0),"")</f>
        <v>1.8149074332664054E-2</v>
      </c>
      <c r="K1629" s="2">
        <f ca="1">IFERROR(AVERAGE(OFFSET(Tabla3[[#This Row],[Close]],-6,0,7)),"")</f>
        <v>1720.7714146205312</v>
      </c>
      <c r="L1629" s="2">
        <f ca="1">IFERROR(_xlfn.STDEV.S(OFFSET(Tabla3[[#This Row],[Close]],-29,0,30)),"")</f>
        <v>51.536330291912805</v>
      </c>
    </row>
    <row r="1630" spans="1:12" x14ac:dyDescent="0.3">
      <c r="A1630" s="1">
        <v>44771</v>
      </c>
      <c r="B1630" s="3">
        <f>YEAR(Tabla3[[#This Row],[Date]])</f>
        <v>2022</v>
      </c>
      <c r="C1630" s="1" t="str">
        <f>+TEXT(Tabla3[[#This Row],[Date]],"mmm")</f>
        <v>jul</v>
      </c>
      <c r="D1630" s="2">
        <v>1762.90002441406</v>
      </c>
      <c r="E1630" s="2">
        <v>1762.90002441406</v>
      </c>
      <c r="F1630" s="2">
        <v>1765.69995117187</v>
      </c>
      <c r="G1630" s="2">
        <v>1750</v>
      </c>
      <c r="H1630" s="2">
        <v>1754</v>
      </c>
      <c r="I1630">
        <v>3485</v>
      </c>
      <c r="J1630" s="2">
        <f ca="1">IFERROR((Tabla3[[#This Row],[Close]]-OFFSET(Tabla3[[#This Row],[Close]],-1,0))/OFFSET(Tabla3[[#This Row],[Close]],-1,0),"")</f>
        <v>7.1987517765174456E-3</v>
      </c>
      <c r="K1630" s="2">
        <f ca="1">IFERROR(AVERAGE(OFFSET(Tabla3[[#This Row],[Close]],-6,0,7)),"")</f>
        <v>1729.8285609653972</v>
      </c>
      <c r="L1630" s="2">
        <f ca="1">IFERROR(_xlfn.STDEV.S(OFFSET(Tabla3[[#This Row],[Close]],-29,0,30)),"")</f>
        <v>50.60202483195981</v>
      </c>
    </row>
    <row r="1631" spans="1:12" x14ac:dyDescent="0.3">
      <c r="A1631" s="1">
        <v>44774</v>
      </c>
      <c r="B1631" s="3">
        <f>YEAR(Tabla3[[#This Row],[Date]])</f>
        <v>2022</v>
      </c>
      <c r="C1631" s="1" t="str">
        <f>+TEXT(Tabla3[[#This Row],[Date]],"mmm")</f>
        <v>ago</v>
      </c>
      <c r="D1631" s="2">
        <v>1769</v>
      </c>
      <c r="E1631" s="2">
        <v>1769</v>
      </c>
      <c r="F1631" s="2">
        <v>1772.5</v>
      </c>
      <c r="G1631" s="2">
        <v>1756.09997558593</v>
      </c>
      <c r="H1631" s="2">
        <v>1763.90002441406</v>
      </c>
      <c r="I1631">
        <v>705</v>
      </c>
      <c r="J1631" s="2">
        <f ca="1">IFERROR((Tabla3[[#This Row],[Close]]-OFFSET(Tabla3[[#This Row],[Close]],-1,0))/OFFSET(Tabla3[[#This Row],[Close]],-1,0),"")</f>
        <v>3.4601937157312519E-3</v>
      </c>
      <c r="K1631" s="2">
        <f ca="1">IFERROR(AVERAGE(OFFSET(Tabla3[[#This Row],[Close]],-6,0,7)),"")</f>
        <v>1737.8714250837015</v>
      </c>
      <c r="L1631" s="2">
        <f ca="1">IFERROR(_xlfn.STDEV.S(OFFSET(Tabla3[[#This Row],[Close]],-29,0,30)),"")</f>
        <v>48.093297244094586</v>
      </c>
    </row>
    <row r="1632" spans="1:12" x14ac:dyDescent="0.3">
      <c r="A1632" s="1">
        <v>44775</v>
      </c>
      <c r="B1632" s="3">
        <f>YEAR(Tabla3[[#This Row],[Date]])</f>
        <v>2022</v>
      </c>
      <c r="C1632" s="1" t="str">
        <f>+TEXT(Tabla3[[#This Row],[Date]],"mmm")</f>
        <v>ago</v>
      </c>
      <c r="D1632" s="2">
        <v>1771.09997558593</v>
      </c>
      <c r="E1632" s="2">
        <v>1771.09997558593</v>
      </c>
      <c r="F1632" s="2">
        <v>1786.59997558593</v>
      </c>
      <c r="G1632" s="2">
        <v>1759.40002441406</v>
      </c>
      <c r="H1632" s="2">
        <v>1772.09997558593</v>
      </c>
      <c r="I1632">
        <v>1078</v>
      </c>
      <c r="J1632" s="2">
        <f ca="1">IFERROR((Tabla3[[#This Row],[Close]]-OFFSET(Tabla3[[#This Row],[Close]],-1,0))/OFFSET(Tabla3[[#This Row],[Close]],-1,0),"")</f>
        <v>1.1870975612945148E-3</v>
      </c>
      <c r="K1632" s="2">
        <f ca="1">IFERROR(AVERAGE(OFFSET(Tabla3[[#This Row],[Close]],-6,0,7)),"")</f>
        <v>1744.1571393694157</v>
      </c>
      <c r="L1632" s="2">
        <f ca="1">IFERROR(_xlfn.STDEV.S(OFFSET(Tabla3[[#This Row],[Close]],-29,0,30)),"")</f>
        <v>45.957303904876063</v>
      </c>
    </row>
    <row r="1633" spans="1:12" x14ac:dyDescent="0.3">
      <c r="A1633" s="1">
        <v>44776</v>
      </c>
      <c r="B1633" s="3">
        <f>YEAR(Tabla3[[#This Row],[Date]])</f>
        <v>2022</v>
      </c>
      <c r="C1633" s="1" t="str">
        <f>+TEXT(Tabla3[[#This Row],[Date]],"mmm")</f>
        <v>ago</v>
      </c>
      <c r="D1633" s="2">
        <v>1758</v>
      </c>
      <c r="E1633" s="2">
        <v>1758</v>
      </c>
      <c r="F1633" s="2">
        <v>1770.5</v>
      </c>
      <c r="G1633" s="2">
        <v>1753</v>
      </c>
      <c r="H1633" s="2">
        <v>1756.69995117187</v>
      </c>
      <c r="I1633">
        <v>399</v>
      </c>
      <c r="J1633" s="2">
        <f ca="1">IFERROR((Tabla3[[#This Row],[Close]]-OFFSET(Tabla3[[#This Row],[Close]],-1,0))/OFFSET(Tabla3[[#This Row],[Close]],-1,0),"")</f>
        <v>-7.3965195452030614E-3</v>
      </c>
      <c r="K1633" s="2">
        <f ca="1">IFERROR(AVERAGE(OFFSET(Tabla3[[#This Row],[Close]],-6,0,7)),"")</f>
        <v>1749.728567940844</v>
      </c>
      <c r="L1633" s="2">
        <f ca="1">IFERROR(_xlfn.STDEV.S(OFFSET(Tabla3[[#This Row],[Close]],-29,0,30)),"")</f>
        <v>43.569666934528911</v>
      </c>
    </row>
    <row r="1634" spans="1:12" x14ac:dyDescent="0.3">
      <c r="A1634" s="1">
        <v>44777</v>
      </c>
      <c r="B1634" s="3">
        <f>YEAR(Tabla3[[#This Row],[Date]])</f>
        <v>2022</v>
      </c>
      <c r="C1634" s="1" t="str">
        <f>+TEXT(Tabla3[[#This Row],[Date]],"mmm")</f>
        <v>ago</v>
      </c>
      <c r="D1634" s="2">
        <v>1788.5</v>
      </c>
      <c r="E1634" s="2">
        <v>1788.5</v>
      </c>
      <c r="F1634" s="2">
        <v>1792.09997558593</v>
      </c>
      <c r="G1634" s="2">
        <v>1767.69995117187</v>
      </c>
      <c r="H1634" s="2">
        <v>1769.40002441406</v>
      </c>
      <c r="I1634">
        <v>285</v>
      </c>
      <c r="J1634" s="2">
        <f ca="1">IFERROR((Tabla3[[#This Row],[Close]]-OFFSET(Tabla3[[#This Row],[Close]],-1,0))/OFFSET(Tabla3[[#This Row],[Close]],-1,0),"")</f>
        <v>1.7349260523321957E-2</v>
      </c>
      <c r="K1634" s="2">
        <f ca="1">IFERROR(AVERAGE(OFFSET(Tabla3[[#This Row],[Close]],-6,0,7)),"")</f>
        <v>1759.842860630577</v>
      </c>
      <c r="L1634" s="2">
        <f ca="1">IFERROR(_xlfn.STDEV.S(OFFSET(Tabla3[[#This Row],[Close]],-29,0,30)),"")</f>
        <v>41.429078133027076</v>
      </c>
    </row>
    <row r="1635" spans="1:12" x14ac:dyDescent="0.3">
      <c r="A1635" s="1">
        <v>44778</v>
      </c>
      <c r="B1635" s="3">
        <f>YEAR(Tabla3[[#This Row],[Date]])</f>
        <v>2022</v>
      </c>
      <c r="C1635" s="1" t="str">
        <f>+TEXT(Tabla3[[#This Row],[Date]],"mmm")</f>
        <v>ago</v>
      </c>
      <c r="D1635" s="2">
        <v>1772.90002441406</v>
      </c>
      <c r="E1635" s="2">
        <v>1772.90002441406</v>
      </c>
      <c r="F1635" s="2">
        <v>1791.40002441406</v>
      </c>
      <c r="G1635" s="2">
        <v>1764.19995117187</v>
      </c>
      <c r="H1635" s="2">
        <v>1791.19995117187</v>
      </c>
      <c r="I1635">
        <v>645</v>
      </c>
      <c r="J1635" s="2">
        <f ca="1">IFERROR((Tabla3[[#This Row],[Close]]-OFFSET(Tabla3[[#This Row],[Close]],-1,0))/OFFSET(Tabla3[[#This Row],[Close]],-1,0),"")</f>
        <v>-8.7223794162370714E-3</v>
      </c>
      <c r="K1635" s="2">
        <f ca="1">IFERROR(AVERAGE(OFFSET(Tabla3[[#This Row],[Close]],-6,0,7)),"")</f>
        <v>1767.5285818917387</v>
      </c>
      <c r="L1635" s="2">
        <f ca="1">IFERROR(_xlfn.STDEV.S(OFFSET(Tabla3[[#This Row],[Close]],-29,0,30)),"")</f>
        <v>39.302543055455288</v>
      </c>
    </row>
    <row r="1636" spans="1:12" x14ac:dyDescent="0.3">
      <c r="A1636" s="1">
        <v>44781</v>
      </c>
      <c r="B1636" s="3">
        <f>YEAR(Tabla3[[#This Row],[Date]])</f>
        <v>2022</v>
      </c>
      <c r="C1636" s="1" t="str">
        <f>+TEXT(Tabla3[[#This Row],[Date]],"mmm")</f>
        <v>ago</v>
      </c>
      <c r="D1636" s="2">
        <v>1786.80004882812</v>
      </c>
      <c r="E1636" s="2">
        <v>1786.80004882812</v>
      </c>
      <c r="F1636" s="2">
        <v>1786.80004882812</v>
      </c>
      <c r="G1636" s="2">
        <v>1771.80004882812</v>
      </c>
      <c r="H1636" s="2">
        <v>1771.80004882812</v>
      </c>
      <c r="I1636">
        <v>127</v>
      </c>
      <c r="J1636" s="2">
        <f ca="1">IFERROR((Tabla3[[#This Row],[Close]]-OFFSET(Tabla3[[#This Row],[Close]],-1,0))/OFFSET(Tabla3[[#This Row],[Close]],-1,0),"")</f>
        <v>7.8402753808150746E-3</v>
      </c>
      <c r="K1636" s="2">
        <f ca="1">IFERROR(AVERAGE(OFFSET(Tabla3[[#This Row],[Close]],-6,0,7)),"")</f>
        <v>1772.7428676060242</v>
      </c>
      <c r="L1636" s="2">
        <f ca="1">IFERROR(_xlfn.STDEV.S(OFFSET(Tabla3[[#This Row],[Close]],-29,0,30)),"")</f>
        <v>37.299610162928985</v>
      </c>
    </row>
    <row r="1637" spans="1:12" x14ac:dyDescent="0.3">
      <c r="A1637" s="1">
        <v>44782</v>
      </c>
      <c r="B1637" s="3">
        <f>YEAR(Tabla3[[#This Row],[Date]])</f>
        <v>2022</v>
      </c>
      <c r="C1637" s="1" t="str">
        <f>+TEXT(Tabla3[[#This Row],[Date]],"mmm")</f>
        <v>ago</v>
      </c>
      <c r="D1637" s="2">
        <v>1794</v>
      </c>
      <c r="E1637" s="2">
        <v>1794</v>
      </c>
      <c r="F1637" s="2">
        <v>1796.09997558593</v>
      </c>
      <c r="G1637" s="2">
        <v>1789</v>
      </c>
      <c r="H1637" s="2">
        <v>1790</v>
      </c>
      <c r="I1637">
        <v>249</v>
      </c>
      <c r="J1637" s="2">
        <f ca="1">IFERROR((Tabla3[[#This Row],[Close]]-OFFSET(Tabla3[[#This Row],[Close]],-1,0))/OFFSET(Tabla3[[#This Row],[Close]],-1,0),"")</f>
        <v>4.0295225963319845E-3</v>
      </c>
      <c r="K1637" s="2">
        <f ca="1">IFERROR(AVERAGE(OFFSET(Tabla3[[#This Row],[Close]],-6,0,7)),"")</f>
        <v>1777.1857212611587</v>
      </c>
      <c r="L1637" s="2">
        <f ca="1">IFERROR(_xlfn.STDEV.S(OFFSET(Tabla3[[#This Row],[Close]],-29,0,30)),"")</f>
        <v>35.829549926155877</v>
      </c>
    </row>
    <row r="1638" spans="1:12" x14ac:dyDescent="0.3">
      <c r="A1638" s="1">
        <v>44783</v>
      </c>
      <c r="B1638" s="3">
        <f>YEAR(Tabla3[[#This Row],[Date]])</f>
        <v>2022</v>
      </c>
      <c r="C1638" s="1" t="str">
        <f>+TEXT(Tabla3[[#This Row],[Date]],"mmm")</f>
        <v>ago</v>
      </c>
      <c r="D1638" s="2">
        <v>1795.59997558593</v>
      </c>
      <c r="E1638" s="2">
        <v>1795.59997558593</v>
      </c>
      <c r="F1638" s="2">
        <v>1804.90002441406</v>
      </c>
      <c r="G1638" s="2">
        <v>1787.80004882812</v>
      </c>
      <c r="H1638" s="2">
        <v>1804.40002441406</v>
      </c>
      <c r="I1638">
        <v>601</v>
      </c>
      <c r="J1638" s="2">
        <f ca="1">IFERROR((Tabla3[[#This Row],[Close]]-OFFSET(Tabla3[[#This Row],[Close]],-1,0))/OFFSET(Tabla3[[#This Row],[Close]],-1,0),"")</f>
        <v>8.9184815269230584E-4</v>
      </c>
      <c r="K1638" s="2">
        <f ca="1">IFERROR(AVERAGE(OFFSET(Tabla3[[#This Row],[Close]],-6,0,7)),"")</f>
        <v>1780.9857177734343</v>
      </c>
      <c r="L1638" s="2">
        <f ca="1">IFERROR(_xlfn.STDEV.S(OFFSET(Tabla3[[#This Row],[Close]],-29,0,30)),"")</f>
        <v>34.588516853360133</v>
      </c>
    </row>
    <row r="1639" spans="1:12" x14ac:dyDescent="0.3">
      <c r="A1639" s="1">
        <v>44784</v>
      </c>
      <c r="B1639" s="3">
        <f>YEAR(Tabla3[[#This Row],[Date]])</f>
        <v>2022</v>
      </c>
      <c r="C1639" s="1" t="str">
        <f>+TEXT(Tabla3[[#This Row],[Date]],"mmm")</f>
        <v>ago</v>
      </c>
      <c r="D1639" s="2">
        <v>1789.69995117187</v>
      </c>
      <c r="E1639" s="2">
        <v>1789.69995117187</v>
      </c>
      <c r="F1639" s="2">
        <v>1794.30004882812</v>
      </c>
      <c r="G1639" s="2">
        <v>1785.69995117187</v>
      </c>
      <c r="H1639" s="2">
        <v>1794.30004882812</v>
      </c>
      <c r="I1639">
        <v>1235</v>
      </c>
      <c r="J1639" s="2">
        <f ca="1">IFERROR((Tabla3[[#This Row],[Close]]-OFFSET(Tabla3[[#This Row],[Close]],-1,0))/OFFSET(Tabla3[[#This Row],[Close]],-1,0),"")</f>
        <v>-3.2858233984630883E-3</v>
      </c>
      <c r="K1639" s="2">
        <f ca="1">IFERROR(AVERAGE(OFFSET(Tabla3[[#This Row],[Close]],-6,0,7)),"")</f>
        <v>1783.6428571428544</v>
      </c>
      <c r="L1639" s="2">
        <f ca="1">IFERROR(_xlfn.STDEV.S(OFFSET(Tabla3[[#This Row],[Close]],-29,0,30)),"")</f>
        <v>33.276957809688177</v>
      </c>
    </row>
    <row r="1640" spans="1:12" x14ac:dyDescent="0.3">
      <c r="A1640" s="1">
        <v>44785</v>
      </c>
      <c r="B1640" s="3">
        <f>YEAR(Tabla3[[#This Row],[Date]])</f>
        <v>2022</v>
      </c>
      <c r="C1640" s="1" t="str">
        <f>+TEXT(Tabla3[[#This Row],[Date]],"mmm")</f>
        <v>ago</v>
      </c>
      <c r="D1640" s="2">
        <v>1798.59997558593</v>
      </c>
      <c r="E1640" s="2">
        <v>1798.59997558593</v>
      </c>
      <c r="F1640" s="2">
        <v>1800.40002441406</v>
      </c>
      <c r="G1640" s="2">
        <v>1784.30004882812</v>
      </c>
      <c r="H1640" s="2">
        <v>1786.30004882812</v>
      </c>
      <c r="I1640">
        <v>187</v>
      </c>
      <c r="J1640" s="2">
        <f ca="1">IFERROR((Tabla3[[#This Row],[Close]]-OFFSET(Tabla3[[#This Row],[Close]],-1,0))/OFFSET(Tabla3[[#This Row],[Close]],-1,0),"")</f>
        <v>4.9729142632162389E-3</v>
      </c>
      <c r="K1640" s="2">
        <f ca="1">IFERROR(AVERAGE(OFFSET(Tabla3[[#This Row],[Close]],-6,0,7)),"")</f>
        <v>1789.44285365513</v>
      </c>
      <c r="L1640" s="2">
        <f ca="1">IFERROR(_xlfn.STDEV.S(OFFSET(Tabla3[[#This Row],[Close]],-29,0,30)),"")</f>
        <v>32.96822937468302</v>
      </c>
    </row>
    <row r="1641" spans="1:12" x14ac:dyDescent="0.3">
      <c r="A1641" s="1">
        <v>44788</v>
      </c>
      <c r="B1641" s="3">
        <f>YEAR(Tabla3[[#This Row],[Date]])</f>
        <v>2022</v>
      </c>
      <c r="C1641" s="1" t="str">
        <f>+TEXT(Tabla3[[#This Row],[Date]],"mmm")</f>
        <v>ago</v>
      </c>
      <c r="D1641" s="2">
        <v>1781.40002441406</v>
      </c>
      <c r="E1641" s="2">
        <v>1781.40002441406</v>
      </c>
      <c r="F1641" s="2">
        <v>1799</v>
      </c>
      <c r="G1641" s="2">
        <v>1774.69995117187</v>
      </c>
      <c r="H1641" s="2">
        <v>1799</v>
      </c>
      <c r="I1641">
        <v>64</v>
      </c>
      <c r="J1641" s="2">
        <f ca="1">IFERROR((Tabla3[[#This Row],[Close]]-OFFSET(Tabla3[[#This Row],[Close]],-1,0))/OFFSET(Tabla3[[#This Row],[Close]],-1,0),"")</f>
        <v>-9.5629664212948575E-3</v>
      </c>
      <c r="K1641" s="2">
        <f ca="1">IFERROR(AVERAGE(OFFSET(Tabla3[[#This Row],[Close]],-6,0,7)),"")</f>
        <v>1788.4285714285672</v>
      </c>
      <c r="L1641" s="2">
        <f ca="1">IFERROR(_xlfn.STDEV.S(OFFSET(Tabla3[[#This Row],[Close]],-29,0,30)),"")</f>
        <v>32.16962641683223</v>
      </c>
    </row>
    <row r="1642" spans="1:12" x14ac:dyDescent="0.3">
      <c r="A1642" s="1">
        <v>44789</v>
      </c>
      <c r="B1642" s="3">
        <f>YEAR(Tabla3[[#This Row],[Date]])</f>
        <v>2022</v>
      </c>
      <c r="C1642" s="1" t="str">
        <f>+TEXT(Tabla3[[#This Row],[Date]],"mmm")</f>
        <v>ago</v>
      </c>
      <c r="D1642" s="2">
        <v>1773.19995117187</v>
      </c>
      <c r="E1642" s="2">
        <v>1773.19995117187</v>
      </c>
      <c r="F1642" s="2">
        <v>1777.40002441406</v>
      </c>
      <c r="G1642" s="2">
        <v>1771.40002441406</v>
      </c>
      <c r="H1642" s="2">
        <v>1777.40002441406</v>
      </c>
      <c r="I1642">
        <v>308</v>
      </c>
      <c r="J1642" s="2">
        <f ca="1">IFERROR((Tabla3[[#This Row],[Close]]-OFFSET(Tabla3[[#This Row],[Close]],-1,0))/OFFSET(Tabla3[[#This Row],[Close]],-1,0),"")</f>
        <v>-4.6031621925497488E-3</v>
      </c>
      <c r="K1642" s="2">
        <f ca="1">IFERROR(AVERAGE(OFFSET(Tabla3[[#This Row],[Close]],-6,0,7)),"")</f>
        <v>1788.4714181082543</v>
      </c>
      <c r="L1642" s="2">
        <f ca="1">IFERROR(_xlfn.STDEV.S(OFFSET(Tabla3[[#This Row],[Close]],-29,0,30)),"")</f>
        <v>32.419807222540037</v>
      </c>
    </row>
    <row r="1643" spans="1:12" x14ac:dyDescent="0.3">
      <c r="A1643" s="1">
        <v>44790</v>
      </c>
      <c r="B1643" s="3">
        <f>YEAR(Tabla3[[#This Row],[Date]])</f>
        <v>2022</v>
      </c>
      <c r="C1643" s="1" t="str">
        <f>+TEXT(Tabla3[[#This Row],[Date]],"mmm")</f>
        <v>ago</v>
      </c>
      <c r="D1643" s="2">
        <v>1760.30004882812</v>
      </c>
      <c r="E1643" s="2">
        <v>1760.30004882812</v>
      </c>
      <c r="F1643" s="2">
        <v>1769.69995117187</v>
      </c>
      <c r="G1643" s="2">
        <v>1760</v>
      </c>
      <c r="H1643" s="2">
        <v>1769.69995117187</v>
      </c>
      <c r="I1643">
        <v>23</v>
      </c>
      <c r="J1643" s="2">
        <f ca="1">IFERROR((Tabla3[[#This Row],[Close]]-OFFSET(Tabla3[[#This Row],[Close]],-1,0))/OFFSET(Tabla3[[#This Row],[Close]],-1,0),"")</f>
        <v>-7.2749282083076584E-3</v>
      </c>
      <c r="K1643" s="2">
        <f ca="1">IFERROR(AVERAGE(OFFSET(Tabla3[[#This Row],[Close]],-6,0,7)),"")</f>
        <v>1784.6857038225401</v>
      </c>
      <c r="L1643" s="2">
        <f ca="1">IFERROR(_xlfn.STDEV.S(OFFSET(Tabla3[[#This Row],[Close]],-29,0,30)),"")</f>
        <v>32.420888966377994</v>
      </c>
    </row>
    <row r="1644" spans="1:12" x14ac:dyDescent="0.3">
      <c r="A1644" s="1">
        <v>44791</v>
      </c>
      <c r="B1644" s="3">
        <f>YEAR(Tabla3[[#This Row],[Date]])</f>
        <v>2022</v>
      </c>
      <c r="C1644" s="1" t="str">
        <f>+TEXT(Tabla3[[#This Row],[Date]],"mmm")</f>
        <v>ago</v>
      </c>
      <c r="D1644" s="2">
        <v>1755.30004882812</v>
      </c>
      <c r="E1644" s="2">
        <v>1755.30004882812</v>
      </c>
      <c r="F1644" s="2">
        <v>1762.90002441406</v>
      </c>
      <c r="G1644" s="2">
        <v>1753.40002441406</v>
      </c>
      <c r="H1644" s="2">
        <v>1762.90002441406</v>
      </c>
      <c r="I1644">
        <v>321</v>
      </c>
      <c r="J1644" s="2">
        <f ca="1">IFERROR((Tabla3[[#This Row],[Close]]-OFFSET(Tabla3[[#This Row],[Close]],-1,0))/OFFSET(Tabla3[[#This Row],[Close]],-1,0),"")</f>
        <v>-2.8404248487799775E-3</v>
      </c>
      <c r="K1644" s="2">
        <f ca="1">IFERROR(AVERAGE(OFFSET(Tabla3[[#This Row],[Close]],-6,0,7)),"")</f>
        <v>1779.1571393694142</v>
      </c>
      <c r="L1644" s="2">
        <f ca="1">IFERROR(_xlfn.STDEV.S(OFFSET(Tabla3[[#This Row],[Close]],-29,0,30)),"")</f>
        <v>32.389907176351755</v>
      </c>
    </row>
    <row r="1645" spans="1:12" x14ac:dyDescent="0.3">
      <c r="A1645" s="1">
        <v>44792</v>
      </c>
      <c r="B1645" s="3">
        <f>YEAR(Tabla3[[#This Row],[Date]])</f>
        <v>2022</v>
      </c>
      <c r="C1645" s="1" t="str">
        <f>+TEXT(Tabla3[[#This Row],[Date]],"mmm")</f>
        <v>ago</v>
      </c>
      <c r="D1645" s="2">
        <v>1747.59997558593</v>
      </c>
      <c r="E1645" s="2">
        <v>1747.59997558593</v>
      </c>
      <c r="F1645" s="2">
        <v>1754.30004882812</v>
      </c>
      <c r="G1645" s="2">
        <v>1747.5</v>
      </c>
      <c r="H1645" s="2">
        <v>1753.69995117187</v>
      </c>
      <c r="I1645">
        <v>49</v>
      </c>
      <c r="J1645" s="2">
        <f ca="1">IFERROR((Tabla3[[#This Row],[Close]]-OFFSET(Tabla3[[#This Row],[Close]],-1,0))/OFFSET(Tabla3[[#This Row],[Close]],-1,0),"")</f>
        <v>-4.386756126014326E-3</v>
      </c>
      <c r="K1645" s="2">
        <f ca="1">IFERROR(AVERAGE(OFFSET(Tabla3[[#This Row],[Close]],-6,0,7)),"")</f>
        <v>1772.2999965122713</v>
      </c>
      <c r="L1645" s="2">
        <f ca="1">IFERROR(_xlfn.STDEV.S(OFFSET(Tabla3[[#This Row],[Close]],-29,0,30)),"")</f>
        <v>32.35575748140203</v>
      </c>
    </row>
    <row r="1646" spans="1:12" x14ac:dyDescent="0.3">
      <c r="A1646" s="1">
        <v>44795</v>
      </c>
      <c r="B1646" s="3">
        <f>YEAR(Tabla3[[#This Row],[Date]])</f>
        <v>2022</v>
      </c>
      <c r="C1646" s="1" t="str">
        <f>+TEXT(Tabla3[[#This Row],[Date]],"mmm")</f>
        <v>ago</v>
      </c>
      <c r="D1646" s="2">
        <v>1734</v>
      </c>
      <c r="E1646" s="2">
        <v>1734</v>
      </c>
      <c r="F1646" s="2">
        <v>1740.5</v>
      </c>
      <c r="G1646" s="2">
        <v>1726.5</v>
      </c>
      <c r="H1646" s="2">
        <v>1740.5</v>
      </c>
      <c r="I1646">
        <v>347</v>
      </c>
      <c r="J1646" s="2">
        <f ca="1">IFERROR((Tabla3[[#This Row],[Close]]-OFFSET(Tabla3[[#This Row],[Close]],-1,0))/OFFSET(Tabla3[[#This Row],[Close]],-1,0),"")</f>
        <v>-7.782087305975292E-3</v>
      </c>
      <c r="K1646" s="2">
        <f ca="1">IFERROR(AVERAGE(OFFSET(Tabla3[[#This Row],[Close]],-6,0,7)),"")</f>
        <v>1764.3428606305756</v>
      </c>
      <c r="L1646" s="2">
        <f ca="1">IFERROR(_xlfn.STDEV.S(OFFSET(Tabla3[[#This Row],[Close]],-29,0,30)),"")</f>
        <v>32.283789880841198</v>
      </c>
    </row>
    <row r="1647" spans="1:12" x14ac:dyDescent="0.3">
      <c r="A1647" s="1">
        <v>44796</v>
      </c>
      <c r="B1647" s="3">
        <f>YEAR(Tabla3[[#This Row],[Date]])</f>
        <v>2022</v>
      </c>
      <c r="C1647" s="1" t="str">
        <f>+TEXT(Tabla3[[#This Row],[Date]],"mmm")</f>
        <v>ago</v>
      </c>
      <c r="D1647" s="2">
        <v>1746.80004882812</v>
      </c>
      <c r="E1647" s="2">
        <v>1746.80004882812</v>
      </c>
      <c r="F1647" s="2">
        <v>1748.90002441406</v>
      </c>
      <c r="G1647" s="2">
        <v>1731.90002441406</v>
      </c>
      <c r="H1647" s="2">
        <v>1738</v>
      </c>
      <c r="I1647">
        <v>509</v>
      </c>
      <c r="J1647" s="2">
        <f ca="1">IFERROR((Tabla3[[#This Row],[Close]]-OFFSET(Tabla3[[#This Row],[Close]],-1,0))/OFFSET(Tabla3[[#This Row],[Close]],-1,0),"")</f>
        <v>7.3818043991464811E-3</v>
      </c>
      <c r="K1647" s="2">
        <f ca="1">IFERROR(AVERAGE(OFFSET(Tabla3[[#This Row],[Close]],-6,0,7)),"")</f>
        <v>1756.9428710937457</v>
      </c>
      <c r="L1647" s="2">
        <f ca="1">IFERROR(_xlfn.STDEV.S(OFFSET(Tabla3[[#This Row],[Close]],-29,0,30)),"")</f>
        <v>31.923552918691339</v>
      </c>
    </row>
    <row r="1648" spans="1:12" x14ac:dyDescent="0.3">
      <c r="A1648" s="1">
        <v>44797</v>
      </c>
      <c r="B1648" s="3">
        <f>YEAR(Tabla3[[#This Row],[Date]])</f>
        <v>2022</v>
      </c>
      <c r="C1648" s="1" t="str">
        <f>+TEXT(Tabla3[[#This Row],[Date]],"mmm")</f>
        <v>ago</v>
      </c>
      <c r="D1648" s="2">
        <v>1747.80004882812</v>
      </c>
      <c r="E1648" s="2">
        <v>1747.80004882812</v>
      </c>
      <c r="F1648" s="2">
        <v>1751.80004882812</v>
      </c>
      <c r="G1648" s="2">
        <v>1743.59997558593</v>
      </c>
      <c r="H1648" s="2">
        <v>1745</v>
      </c>
      <c r="I1648">
        <v>187</v>
      </c>
      <c r="J1648" s="2">
        <f ca="1">IFERROR((Tabla3[[#This Row],[Close]]-OFFSET(Tabla3[[#This Row],[Close]],-1,0))/OFFSET(Tabla3[[#This Row],[Close]],-1,0),"")</f>
        <v>5.7247536755616218E-4</v>
      </c>
      <c r="K1648" s="2">
        <f ca="1">IFERROR(AVERAGE(OFFSET(Tabla3[[#This Row],[Close]],-6,0,7)),"")</f>
        <v>1752.1428745814685</v>
      </c>
      <c r="L1648" s="2">
        <f ca="1">IFERROR(_xlfn.STDEV.S(OFFSET(Tabla3[[#This Row],[Close]],-29,0,30)),"")</f>
        <v>31.791949748649756</v>
      </c>
    </row>
    <row r="1649" spans="1:12" x14ac:dyDescent="0.3">
      <c r="A1649" s="1">
        <v>44798</v>
      </c>
      <c r="B1649" s="3">
        <f>YEAR(Tabla3[[#This Row],[Date]])</f>
        <v>2022</v>
      </c>
      <c r="C1649" s="1" t="str">
        <f>+TEXT(Tabla3[[#This Row],[Date]],"mmm")</f>
        <v>ago</v>
      </c>
      <c r="D1649" s="2">
        <v>1757.69995117187</v>
      </c>
      <c r="E1649" s="2">
        <v>1757.69995117187</v>
      </c>
      <c r="F1649" s="2">
        <v>1761.80004882812</v>
      </c>
      <c r="G1649" s="2">
        <v>1755</v>
      </c>
      <c r="H1649" s="2">
        <v>1761.59997558593</v>
      </c>
      <c r="I1649">
        <v>172</v>
      </c>
      <c r="J1649" s="2">
        <f ca="1">IFERROR((Tabla3[[#This Row],[Close]]-OFFSET(Tabla3[[#This Row],[Close]],-1,0))/OFFSET(Tabla3[[#This Row],[Close]],-1,0),"")</f>
        <v>5.6642076136728409E-3</v>
      </c>
      <c r="K1649" s="2">
        <f ca="1">IFERROR(AVERAGE(OFFSET(Tabla3[[#This Row],[Close]],-6,0,7)),"")</f>
        <v>1749.9285888671827</v>
      </c>
      <c r="L1649" s="2">
        <f ca="1">IFERROR(_xlfn.STDEV.S(OFFSET(Tabla3[[#This Row],[Close]],-29,0,30)),"")</f>
        <v>30.618947687178736</v>
      </c>
    </row>
    <row r="1650" spans="1:12" x14ac:dyDescent="0.3">
      <c r="A1650" s="1">
        <v>44799</v>
      </c>
      <c r="B1650" s="3">
        <f>YEAR(Tabla3[[#This Row],[Date]])</f>
        <v>2022</v>
      </c>
      <c r="C1650" s="1" t="str">
        <f>+TEXT(Tabla3[[#This Row],[Date]],"mmm")</f>
        <v>ago</v>
      </c>
      <c r="D1650" s="2">
        <v>1736.09997558593</v>
      </c>
      <c r="E1650" s="2">
        <v>1736.09997558593</v>
      </c>
      <c r="F1650" s="2">
        <v>1755</v>
      </c>
      <c r="G1650" s="2">
        <v>1736.09997558593</v>
      </c>
      <c r="H1650" s="2">
        <v>1754</v>
      </c>
      <c r="I1650">
        <v>202</v>
      </c>
      <c r="J1650" s="2">
        <f ca="1">IFERROR((Tabla3[[#This Row],[Close]]-OFFSET(Tabla3[[#This Row],[Close]],-1,0))/OFFSET(Tabla3[[#This Row],[Close]],-1,0),"")</f>
        <v>-1.2288772933935144E-2</v>
      </c>
      <c r="K1650" s="2">
        <f ca="1">IFERROR(AVERAGE(OFFSET(Tabla3[[#This Row],[Close]],-6,0,7)),"")</f>
        <v>1746.4714355468698</v>
      </c>
      <c r="L1650" s="2">
        <f ca="1">IFERROR(_xlfn.STDEV.S(OFFSET(Tabla3[[#This Row],[Close]],-29,0,30)),"")</f>
        <v>29.329824672980788</v>
      </c>
    </row>
    <row r="1651" spans="1:12" x14ac:dyDescent="0.3">
      <c r="A1651" s="1">
        <v>44802</v>
      </c>
      <c r="B1651" s="3">
        <f>YEAR(Tabla3[[#This Row],[Date]])</f>
        <v>2022</v>
      </c>
      <c r="C1651" s="1" t="str">
        <f>+TEXT(Tabla3[[#This Row],[Date]],"mmm")</f>
        <v>ago</v>
      </c>
      <c r="D1651" s="2">
        <v>1736.59997558593</v>
      </c>
      <c r="E1651" s="2">
        <v>1736.59997558593</v>
      </c>
      <c r="F1651" s="2">
        <v>1741.19995117187</v>
      </c>
      <c r="G1651" s="2">
        <v>1732.09997558593</v>
      </c>
      <c r="H1651" s="2">
        <v>1732.40002441406</v>
      </c>
      <c r="I1651">
        <v>950</v>
      </c>
      <c r="J1651" s="2">
        <f ca="1">IFERROR((Tabla3[[#This Row],[Close]]-OFFSET(Tabla3[[#This Row],[Close]],-1,0))/OFFSET(Tabla3[[#This Row],[Close]],-1,0),"")</f>
        <v>2.8800184726184968E-4</v>
      </c>
      <c r="K1651" s="2">
        <f ca="1">IFERROR(AVERAGE(OFFSET(Tabla3[[#This Row],[Close]],-6,0,7)),"")</f>
        <v>1743.7999965122713</v>
      </c>
      <c r="L1651" s="2">
        <f ca="1">IFERROR(_xlfn.STDEV.S(OFFSET(Tabla3[[#This Row],[Close]],-29,0,30)),"")</f>
        <v>28.326264465928805</v>
      </c>
    </row>
    <row r="1652" spans="1:12" x14ac:dyDescent="0.3">
      <c r="A1652" s="1">
        <v>44803</v>
      </c>
      <c r="B1652" s="3">
        <f>YEAR(Tabla3[[#This Row],[Date]])</f>
        <v>2022</v>
      </c>
      <c r="C1652" s="1" t="str">
        <f>+TEXT(Tabla3[[#This Row],[Date]],"mmm")</f>
        <v>ago</v>
      </c>
      <c r="D1652" s="2">
        <v>1723.19995117187</v>
      </c>
      <c r="E1652" s="2">
        <v>1723.19995117187</v>
      </c>
      <c r="F1652" s="2">
        <v>1739</v>
      </c>
      <c r="G1652" s="2">
        <v>1720.69995117187</v>
      </c>
      <c r="H1652" s="2">
        <v>1736.40002441406</v>
      </c>
      <c r="I1652">
        <v>385</v>
      </c>
      <c r="J1652" s="2">
        <f ca="1">IFERROR((Tabla3[[#This Row],[Close]]-OFFSET(Tabla3[[#This Row],[Close]],-1,0))/OFFSET(Tabla3[[#This Row],[Close]],-1,0),"")</f>
        <v>-7.7162412774645014E-3</v>
      </c>
      <c r="K1652" s="2">
        <f ca="1">IFERROR(AVERAGE(OFFSET(Tabla3[[#This Row],[Close]],-6,0,7)),"")</f>
        <v>1740.3142787388344</v>
      </c>
      <c r="L1652" s="2">
        <f ca="1">IFERROR(_xlfn.STDEV.S(OFFSET(Tabla3[[#This Row],[Close]],-29,0,30)),"")</f>
        <v>27.715545004611485</v>
      </c>
    </row>
    <row r="1653" spans="1:12" x14ac:dyDescent="0.3">
      <c r="A1653" s="1">
        <v>44804</v>
      </c>
      <c r="B1653" s="3">
        <f>YEAR(Tabla3[[#This Row],[Date]])</f>
        <v>2022</v>
      </c>
      <c r="C1653" s="1" t="str">
        <f>+TEXT(Tabla3[[#This Row],[Date]],"mmm")</f>
        <v>ago</v>
      </c>
      <c r="D1653" s="2">
        <v>1712.80004882812</v>
      </c>
      <c r="E1653" s="2">
        <v>1712.80004882812</v>
      </c>
      <c r="F1653" s="2">
        <v>1720.90002441406</v>
      </c>
      <c r="G1653" s="2">
        <v>1708.5</v>
      </c>
      <c r="H1653" s="2">
        <v>1718.30004882812</v>
      </c>
      <c r="I1653">
        <v>2133</v>
      </c>
      <c r="J1653" s="2">
        <f ca="1">IFERROR((Tabla3[[#This Row],[Close]]-OFFSET(Tabla3[[#This Row],[Close]],-1,0))/OFFSET(Tabla3[[#This Row],[Close]],-1,0),"")</f>
        <v>-6.0352266936158508E-3</v>
      </c>
      <c r="K1653" s="2">
        <f ca="1">IFERROR(AVERAGE(OFFSET(Tabla3[[#This Row],[Close]],-6,0,7)),"")</f>
        <v>1737.2857142857085</v>
      </c>
      <c r="L1653" s="2">
        <f ca="1">IFERROR(_xlfn.STDEV.S(OFFSET(Tabla3[[#This Row],[Close]],-29,0,30)),"")</f>
        <v>26.901222857941931</v>
      </c>
    </row>
    <row r="1654" spans="1:12" x14ac:dyDescent="0.3">
      <c r="A1654" s="1">
        <v>44805</v>
      </c>
      <c r="B1654" s="3">
        <f>YEAR(Tabla3[[#This Row],[Date]])</f>
        <v>2022</v>
      </c>
      <c r="C1654" s="1" t="str">
        <f>+TEXT(Tabla3[[#This Row],[Date]],"mmm")</f>
        <v>sept</v>
      </c>
      <c r="D1654" s="2">
        <v>1696.59997558593</v>
      </c>
      <c r="E1654" s="2">
        <v>1696.59997558593</v>
      </c>
      <c r="F1654" s="2">
        <v>1707.90002441406</v>
      </c>
      <c r="G1654" s="2">
        <v>1693.90002441406</v>
      </c>
      <c r="H1654" s="2">
        <v>1707.90002441406</v>
      </c>
      <c r="I1654">
        <v>683</v>
      </c>
      <c r="J1654" s="2">
        <f ca="1">IFERROR((Tabla3[[#This Row],[Close]]-OFFSET(Tabla3[[#This Row],[Close]],-1,0))/OFFSET(Tabla3[[#This Row],[Close]],-1,0),"")</f>
        <v>-9.458239596194502E-3</v>
      </c>
      <c r="K1654" s="2">
        <f ca="1">IFERROR(AVERAGE(OFFSET(Tabla3[[#This Row],[Close]],-6,0,7)),"")</f>
        <v>1730.11427525111</v>
      </c>
      <c r="L1654" s="2">
        <f ca="1">IFERROR(_xlfn.STDEV.S(OFFSET(Tabla3[[#This Row],[Close]],-29,0,30)),"")</f>
        <v>27.912868301767421</v>
      </c>
    </row>
    <row r="1655" spans="1:12" x14ac:dyDescent="0.3">
      <c r="A1655" s="1">
        <v>44806</v>
      </c>
      <c r="B1655" s="3">
        <f>YEAR(Tabla3[[#This Row],[Date]])</f>
        <v>2022</v>
      </c>
      <c r="C1655" s="1" t="str">
        <f>+TEXT(Tabla3[[#This Row],[Date]],"mmm")</f>
        <v>sept</v>
      </c>
      <c r="D1655" s="2">
        <v>1709.80004882812</v>
      </c>
      <c r="E1655" s="2">
        <v>1709.80004882812</v>
      </c>
      <c r="F1655" s="2">
        <v>1715.69995117187</v>
      </c>
      <c r="G1655" s="2">
        <v>1703.09997558593</v>
      </c>
      <c r="H1655" s="2">
        <v>1703.40002441406</v>
      </c>
      <c r="I1655">
        <v>182</v>
      </c>
      <c r="J1655" s="2">
        <f ca="1">IFERROR((Tabla3[[#This Row],[Close]]-OFFSET(Tabla3[[#This Row],[Close]],-1,0))/OFFSET(Tabla3[[#This Row],[Close]],-1,0),"")</f>
        <v>7.7803096971230858E-3</v>
      </c>
      <c r="K1655" s="2">
        <f ca="1">IFERROR(AVERAGE(OFFSET(Tabla3[[#This Row],[Close]],-6,0,7)),"")</f>
        <v>1724.6857038225385</v>
      </c>
      <c r="L1655" s="2">
        <f ca="1">IFERROR(_xlfn.STDEV.S(OFFSET(Tabla3[[#This Row],[Close]],-29,0,30)),"")</f>
        <v>28.663297232569253</v>
      </c>
    </row>
    <row r="1656" spans="1:12" x14ac:dyDescent="0.3">
      <c r="A1656" s="1">
        <v>44810</v>
      </c>
      <c r="B1656" s="3">
        <f>YEAR(Tabla3[[#This Row],[Date]])</f>
        <v>2022</v>
      </c>
      <c r="C1656" s="1" t="str">
        <f>+TEXT(Tabla3[[#This Row],[Date]],"mmm")</f>
        <v>sept</v>
      </c>
      <c r="D1656" s="2">
        <v>1700.40002441406</v>
      </c>
      <c r="E1656" s="2">
        <v>1700.40002441406</v>
      </c>
      <c r="F1656" s="2">
        <v>1717.40002441406</v>
      </c>
      <c r="G1656" s="2">
        <v>1699.69995117187</v>
      </c>
      <c r="H1656" s="2">
        <v>1709.69995117187</v>
      </c>
      <c r="I1656">
        <v>697</v>
      </c>
      <c r="J1656" s="2">
        <f ca="1">IFERROR((Tabla3[[#This Row],[Close]]-OFFSET(Tabla3[[#This Row],[Close]],-1,0))/OFFSET(Tabla3[[#This Row],[Close]],-1,0),"")</f>
        <v>-5.4977331533606413E-3</v>
      </c>
      <c r="K1656" s="2">
        <f ca="1">IFERROR(AVERAGE(OFFSET(Tabla3[[#This Row],[Close]],-6,0,7)),"")</f>
        <v>1716.4999999999943</v>
      </c>
      <c r="L1656" s="2">
        <f ca="1">IFERROR(_xlfn.STDEV.S(OFFSET(Tabla3[[#This Row],[Close]],-29,0,30)),"")</f>
        <v>29.625801368335228</v>
      </c>
    </row>
    <row r="1657" spans="1:12" x14ac:dyDescent="0.3">
      <c r="A1657" s="1">
        <v>44811</v>
      </c>
      <c r="B1657" s="3">
        <f>YEAR(Tabla3[[#This Row],[Date]])</f>
        <v>2022</v>
      </c>
      <c r="C1657" s="1" t="str">
        <f>+TEXT(Tabla3[[#This Row],[Date]],"mmm")</f>
        <v>sept</v>
      </c>
      <c r="D1657" s="2">
        <v>1715.30004882812</v>
      </c>
      <c r="E1657" s="2">
        <v>1715.30004882812</v>
      </c>
      <c r="F1657" s="2">
        <v>1715.30004882812</v>
      </c>
      <c r="G1657" s="2">
        <v>1694.69995117187</v>
      </c>
      <c r="H1657" s="2">
        <v>1694.80004882812</v>
      </c>
      <c r="I1657">
        <v>651</v>
      </c>
      <c r="J1657" s="2">
        <f ca="1">IFERROR((Tabla3[[#This Row],[Close]]-OFFSET(Tabla3[[#This Row],[Close]],-1,0))/OFFSET(Tabla3[[#This Row],[Close]],-1,0),"")</f>
        <v>8.7626583157656632E-3</v>
      </c>
      <c r="K1657" s="2">
        <f ca="1">IFERROR(AVERAGE(OFFSET(Tabla3[[#This Row],[Close]],-6,0,7)),"")</f>
        <v>1713.5285818917357</v>
      </c>
      <c r="L1657" s="2">
        <f ca="1">IFERROR(_xlfn.STDEV.S(OFFSET(Tabla3[[#This Row],[Close]],-29,0,30)),"")</f>
        <v>29.727825096779448</v>
      </c>
    </row>
    <row r="1658" spans="1:12" x14ac:dyDescent="0.3">
      <c r="A1658" s="1">
        <v>44812</v>
      </c>
      <c r="B1658" s="3">
        <f>YEAR(Tabla3[[#This Row],[Date]])</f>
        <v>2022</v>
      </c>
      <c r="C1658" s="1" t="str">
        <f>+TEXT(Tabla3[[#This Row],[Date]],"mmm")</f>
        <v>sept</v>
      </c>
      <c r="D1658" s="2">
        <v>1708</v>
      </c>
      <c r="E1658" s="2">
        <v>1708</v>
      </c>
      <c r="F1658" s="2">
        <v>1718.19995117187</v>
      </c>
      <c r="G1658" s="2">
        <v>1705.30004882812</v>
      </c>
      <c r="H1658" s="2">
        <v>1718.19995117187</v>
      </c>
      <c r="I1658">
        <v>1193</v>
      </c>
      <c r="J1658" s="2">
        <f ca="1">IFERROR((Tabla3[[#This Row],[Close]]-OFFSET(Tabla3[[#This Row],[Close]],-1,0))/OFFSET(Tabla3[[#This Row],[Close]],-1,0),"")</f>
        <v>-4.2558436543550125E-3</v>
      </c>
      <c r="K1658" s="2">
        <f ca="1">IFERROR(AVERAGE(OFFSET(Tabla3[[#This Row],[Close]],-6,0,7)),"")</f>
        <v>1709.4428710937459</v>
      </c>
      <c r="L1658" s="2">
        <f ca="1">IFERROR(_xlfn.STDEV.S(OFFSET(Tabla3[[#This Row],[Close]],-29,0,30)),"")</f>
        <v>30.229741825051001</v>
      </c>
    </row>
    <row r="1659" spans="1:12" x14ac:dyDescent="0.3">
      <c r="A1659" s="1">
        <v>44813</v>
      </c>
      <c r="B1659" s="3">
        <f>YEAR(Tabla3[[#This Row],[Date]])</f>
        <v>2022</v>
      </c>
      <c r="C1659" s="1" t="str">
        <f>+TEXT(Tabla3[[#This Row],[Date]],"mmm")</f>
        <v>sept</v>
      </c>
      <c r="D1659" s="2">
        <v>1716.19995117187</v>
      </c>
      <c r="E1659" s="2">
        <v>1716.19995117187</v>
      </c>
      <c r="F1659" s="2">
        <v>1720</v>
      </c>
      <c r="G1659" s="2">
        <v>1712.80004882812</v>
      </c>
      <c r="H1659" s="2">
        <v>1719.19995117187</v>
      </c>
      <c r="I1659">
        <v>635</v>
      </c>
      <c r="J1659" s="2">
        <f ca="1">IFERROR((Tabla3[[#This Row],[Close]]-OFFSET(Tabla3[[#This Row],[Close]],-1,0))/OFFSET(Tabla3[[#This Row],[Close]],-1,0),"")</f>
        <v>4.8009081802517549E-3</v>
      </c>
      <c r="K1659" s="2">
        <f ca="1">IFERROR(AVERAGE(OFFSET(Tabla3[[#This Row],[Close]],-6,0,7)),"")</f>
        <v>1708.4428710937457</v>
      </c>
      <c r="L1659" s="2">
        <f ca="1">IFERROR(_xlfn.STDEV.S(OFFSET(Tabla3[[#This Row],[Close]],-29,0,30)),"")</f>
        <v>30.954596186816193</v>
      </c>
    </row>
    <row r="1660" spans="1:12" x14ac:dyDescent="0.3">
      <c r="A1660" s="1">
        <v>44816</v>
      </c>
      <c r="B1660" s="3">
        <f>YEAR(Tabla3[[#This Row],[Date]])</f>
        <v>2022</v>
      </c>
      <c r="C1660" s="1" t="str">
        <f>+TEXT(Tabla3[[#This Row],[Date]],"mmm")</f>
        <v>sept</v>
      </c>
      <c r="D1660" s="2">
        <v>1728.09997558593</v>
      </c>
      <c r="E1660" s="2">
        <v>1728.09997558593</v>
      </c>
      <c r="F1660" s="2">
        <v>1728.09997558593</v>
      </c>
      <c r="G1660" s="2">
        <v>1727.40002441406</v>
      </c>
      <c r="H1660" s="2">
        <v>1727.40002441406</v>
      </c>
      <c r="I1660">
        <v>68</v>
      </c>
      <c r="J1660" s="2">
        <f ca="1">IFERROR((Tabla3[[#This Row],[Close]]-OFFSET(Tabla3[[#This Row],[Close]],-1,0))/OFFSET(Tabla3[[#This Row],[Close]],-1,0),"")</f>
        <v>6.9339382080359138E-3</v>
      </c>
      <c r="K1660" s="2">
        <f ca="1">IFERROR(AVERAGE(OFFSET(Tabla3[[#This Row],[Close]],-6,0,7)),"")</f>
        <v>1710.6285749162901</v>
      </c>
      <c r="L1660" s="2">
        <f ca="1">IFERROR(_xlfn.STDEV.S(OFFSET(Tabla3[[#This Row],[Close]],-29,0,30)),"")</f>
        <v>31.16554262934353</v>
      </c>
    </row>
    <row r="1661" spans="1:12" x14ac:dyDescent="0.3">
      <c r="A1661" s="1">
        <v>44817</v>
      </c>
      <c r="B1661" s="3">
        <f>YEAR(Tabla3[[#This Row],[Date]])</f>
        <v>2022</v>
      </c>
      <c r="C1661" s="1" t="str">
        <f>+TEXT(Tabla3[[#This Row],[Date]],"mmm")</f>
        <v>sept</v>
      </c>
      <c r="D1661" s="2">
        <v>1705</v>
      </c>
      <c r="E1661" s="2">
        <v>1705</v>
      </c>
      <c r="F1661" s="2">
        <v>1720.5</v>
      </c>
      <c r="G1661" s="2">
        <v>1697.30004882812</v>
      </c>
      <c r="H1661" s="2">
        <v>1720.5</v>
      </c>
      <c r="I1661">
        <v>432</v>
      </c>
      <c r="J1661" s="2">
        <f ca="1">IFERROR((Tabla3[[#This Row],[Close]]-OFFSET(Tabla3[[#This Row],[Close]],-1,0))/OFFSET(Tabla3[[#This Row],[Close]],-1,0),"")</f>
        <v>-1.3367268047149711E-2</v>
      </c>
      <c r="K1661" s="2">
        <f ca="1">IFERROR(AVERAGE(OFFSET(Tabla3[[#This Row],[Close]],-6,0,7)),"")</f>
        <v>1711.8285784040143</v>
      </c>
      <c r="L1661" s="2">
        <f ca="1">IFERROR(_xlfn.STDEV.S(OFFSET(Tabla3[[#This Row],[Close]],-29,0,30)),"")</f>
        <v>32.025607827494696</v>
      </c>
    </row>
    <row r="1662" spans="1:12" x14ac:dyDescent="0.3">
      <c r="A1662" s="1">
        <v>44818</v>
      </c>
      <c r="B1662" s="3">
        <f>YEAR(Tabla3[[#This Row],[Date]])</f>
        <v>2022</v>
      </c>
      <c r="C1662" s="1" t="str">
        <f>+TEXT(Tabla3[[#This Row],[Date]],"mmm")</f>
        <v>sept</v>
      </c>
      <c r="D1662" s="2">
        <v>1696.5</v>
      </c>
      <c r="E1662" s="2">
        <v>1696.5</v>
      </c>
      <c r="F1662" s="2">
        <v>1701.80004882812</v>
      </c>
      <c r="G1662" s="2">
        <v>1696.5</v>
      </c>
      <c r="H1662" s="2">
        <v>1698.69995117187</v>
      </c>
      <c r="I1662">
        <v>532</v>
      </c>
      <c r="J1662" s="2">
        <f ca="1">IFERROR((Tabla3[[#This Row],[Close]]-OFFSET(Tabla3[[#This Row],[Close]],-1,0))/OFFSET(Tabla3[[#This Row],[Close]],-1,0),"")</f>
        <v>-4.98533724340176E-3</v>
      </c>
      <c r="K1662" s="2">
        <f ca="1">IFERROR(AVERAGE(OFFSET(Tabla3[[#This Row],[Close]],-6,0,7)),"")</f>
        <v>1709.9285714285686</v>
      </c>
      <c r="L1662" s="2">
        <f ca="1">IFERROR(_xlfn.STDEV.S(OFFSET(Tabla3[[#This Row],[Close]],-29,0,30)),"")</f>
        <v>33.069146906689717</v>
      </c>
    </row>
    <row r="1663" spans="1:12" x14ac:dyDescent="0.3">
      <c r="A1663" s="1">
        <v>44819</v>
      </c>
      <c r="B1663" s="3">
        <f>YEAR(Tabla3[[#This Row],[Date]])</f>
        <v>2022</v>
      </c>
      <c r="C1663" s="1" t="str">
        <f>+TEXT(Tabla3[[#This Row],[Date]],"mmm")</f>
        <v>sept</v>
      </c>
      <c r="D1663" s="2">
        <v>1665.40002441406</v>
      </c>
      <c r="E1663" s="2">
        <v>1665.40002441406</v>
      </c>
      <c r="F1663" s="2">
        <v>1686</v>
      </c>
      <c r="G1663" s="2">
        <v>1662.30004882812</v>
      </c>
      <c r="H1663" s="2">
        <v>1685.5</v>
      </c>
      <c r="I1663">
        <v>1125</v>
      </c>
      <c r="J1663" s="2">
        <f ca="1">IFERROR((Tabla3[[#This Row],[Close]]-OFFSET(Tabla3[[#This Row],[Close]],-1,0))/OFFSET(Tabla3[[#This Row],[Close]],-1,0),"")</f>
        <v>-1.8331845320330092E-2</v>
      </c>
      <c r="K1663" s="2">
        <f ca="1">IFERROR(AVERAGE(OFFSET(Tabla3[[#This Row],[Close]],-6,0,7)),"")</f>
        <v>1704.9285714285686</v>
      </c>
      <c r="L1663" s="2">
        <f ca="1">IFERROR(_xlfn.STDEV.S(OFFSET(Tabla3[[#This Row],[Close]],-29,0,30)),"")</f>
        <v>36.072517493830084</v>
      </c>
    </row>
    <row r="1664" spans="1:12" x14ac:dyDescent="0.3">
      <c r="A1664" s="1">
        <v>44820</v>
      </c>
      <c r="B1664" s="3">
        <f>YEAR(Tabla3[[#This Row],[Date]])</f>
        <v>2022</v>
      </c>
      <c r="C1664" s="1" t="str">
        <f>+TEXT(Tabla3[[#This Row],[Date]],"mmm")</f>
        <v>sept</v>
      </c>
      <c r="D1664" s="2">
        <v>1671.69995117187</v>
      </c>
      <c r="E1664" s="2">
        <v>1671.69995117187</v>
      </c>
      <c r="F1664" s="2">
        <v>1674.90002441406</v>
      </c>
      <c r="G1664" s="2">
        <v>1651.69995117187</v>
      </c>
      <c r="H1664" s="2">
        <v>1660.40002441406</v>
      </c>
      <c r="I1664">
        <v>464</v>
      </c>
      <c r="J1664" s="2">
        <f ca="1">IFERROR((Tabla3[[#This Row],[Close]]-OFFSET(Tabla3[[#This Row],[Close]],-1,0))/OFFSET(Tabla3[[#This Row],[Close]],-1,0),"")</f>
        <v>3.7828309507960474E-3</v>
      </c>
      <c r="K1664" s="2">
        <f ca="1">IFERROR(AVERAGE(OFFSET(Tabla3[[#This Row],[Close]],-6,0,7)),"")</f>
        <v>1698.6999860491044</v>
      </c>
      <c r="L1664" s="2">
        <f ca="1">IFERROR(_xlfn.STDEV.S(OFFSET(Tabla3[[#This Row],[Close]],-29,0,30)),"")</f>
        <v>37.24011809972707</v>
      </c>
    </row>
    <row r="1665" spans="1:12" x14ac:dyDescent="0.3">
      <c r="A1665" s="1">
        <v>44823</v>
      </c>
      <c r="B1665" s="3">
        <f>YEAR(Tabla3[[#This Row],[Date]])</f>
        <v>2022</v>
      </c>
      <c r="C1665" s="1" t="str">
        <f>+TEXT(Tabla3[[#This Row],[Date]],"mmm")</f>
        <v>sept</v>
      </c>
      <c r="D1665" s="2">
        <v>1666.19995117187</v>
      </c>
      <c r="E1665" s="2">
        <v>1666.19995117187</v>
      </c>
      <c r="F1665" s="2">
        <v>1669.40002441406</v>
      </c>
      <c r="G1665" s="2">
        <v>1658.5</v>
      </c>
      <c r="H1665" s="2">
        <v>1661.80004882812</v>
      </c>
      <c r="I1665">
        <v>580</v>
      </c>
      <c r="J1665" s="2">
        <f ca="1">IFERROR((Tabla3[[#This Row],[Close]]-OFFSET(Tabla3[[#This Row],[Close]],-1,0))/OFFSET(Tabla3[[#This Row],[Close]],-1,0),"")</f>
        <v>-3.2900641027981564E-3</v>
      </c>
      <c r="K1665" s="2">
        <f ca="1">IFERROR(AVERAGE(OFFSET(Tabla3[[#This Row],[Close]],-6,0,7)),"")</f>
        <v>1692.7285505022285</v>
      </c>
      <c r="L1665" s="2">
        <f ca="1">IFERROR(_xlfn.STDEV.S(OFFSET(Tabla3[[#This Row],[Close]],-29,0,30)),"")</f>
        <v>38.926170714164279</v>
      </c>
    </row>
    <row r="1666" spans="1:12" x14ac:dyDescent="0.3">
      <c r="A1666" s="1">
        <v>44824</v>
      </c>
      <c r="B1666" s="3">
        <f>YEAR(Tabla3[[#This Row],[Date]])</f>
        <v>2022</v>
      </c>
      <c r="C1666" s="1" t="str">
        <f>+TEXT(Tabla3[[#This Row],[Date]],"mmm")</f>
        <v>sept</v>
      </c>
      <c r="D1666" s="2">
        <v>1659.69995117187</v>
      </c>
      <c r="E1666" s="2">
        <v>1659.69995117187</v>
      </c>
      <c r="F1666" s="2">
        <v>1659.69995117187</v>
      </c>
      <c r="G1666" s="2">
        <v>1659.69995117187</v>
      </c>
      <c r="H1666" s="2">
        <v>1659.69995117187</v>
      </c>
      <c r="I1666">
        <v>2830</v>
      </c>
      <c r="J1666" s="2">
        <f ca="1">IFERROR((Tabla3[[#This Row],[Close]]-OFFSET(Tabla3[[#This Row],[Close]],-1,0))/OFFSET(Tabla3[[#This Row],[Close]],-1,0),"")</f>
        <v>-3.9010924201674756E-3</v>
      </c>
      <c r="K1666" s="2">
        <f ca="1">IFERROR(AVERAGE(OFFSET(Tabla3[[#This Row],[Close]],-6,0,7)),"")</f>
        <v>1684.6571219308</v>
      </c>
      <c r="L1666" s="2">
        <f ca="1">IFERROR(_xlfn.STDEV.S(OFFSET(Tabla3[[#This Row],[Close]],-29,0,30)),"")</f>
        <v>40.020382016180548</v>
      </c>
    </row>
    <row r="1667" spans="1:12" x14ac:dyDescent="0.3">
      <c r="A1667" s="1">
        <v>44825</v>
      </c>
      <c r="B1667" s="3">
        <f>YEAR(Tabla3[[#This Row],[Date]])</f>
        <v>2022</v>
      </c>
      <c r="C1667" s="1" t="str">
        <f>+TEXT(Tabla3[[#This Row],[Date]],"mmm")</f>
        <v>sept</v>
      </c>
      <c r="D1667" s="2">
        <v>1664.59997558593</v>
      </c>
      <c r="E1667" s="2">
        <v>1664.59997558593</v>
      </c>
      <c r="F1667" s="2">
        <v>1680.09997558593</v>
      </c>
      <c r="G1667" s="2">
        <v>1664.59997558593</v>
      </c>
      <c r="H1667" s="2">
        <v>1665.5</v>
      </c>
      <c r="I1667">
        <v>2337</v>
      </c>
      <c r="J1667" s="2">
        <f ca="1">IFERROR((Tabla3[[#This Row],[Close]]-OFFSET(Tabla3[[#This Row],[Close]],-1,0))/OFFSET(Tabla3[[#This Row],[Close]],-1,0),"")</f>
        <v>2.9523555812604693E-3</v>
      </c>
      <c r="K1667" s="2">
        <f ca="1">IFERROR(AVERAGE(OFFSET(Tabla3[[#This Row],[Close]],-6,0,7)),"")</f>
        <v>1675.5856933593714</v>
      </c>
      <c r="L1667" s="2">
        <f ca="1">IFERROR(_xlfn.STDEV.S(OFFSET(Tabla3[[#This Row],[Close]],-29,0,30)),"")</f>
        <v>39.96794581703179</v>
      </c>
    </row>
    <row r="1668" spans="1:12" x14ac:dyDescent="0.3">
      <c r="A1668" s="1">
        <v>44826</v>
      </c>
      <c r="B1668" s="3">
        <f>YEAR(Tabla3[[#This Row],[Date]])</f>
        <v>2022</v>
      </c>
      <c r="C1668" s="1" t="str">
        <f>+TEXT(Tabla3[[#This Row],[Date]],"mmm")</f>
        <v>sept</v>
      </c>
      <c r="D1668" s="2">
        <v>1670.80004882812</v>
      </c>
      <c r="E1668" s="2">
        <v>1670.80004882812</v>
      </c>
      <c r="F1668" s="2">
        <v>1670.80004882812</v>
      </c>
      <c r="G1668" s="2">
        <v>1668.30004882812</v>
      </c>
      <c r="H1668" s="2">
        <v>1668.30004882812</v>
      </c>
      <c r="I1668">
        <v>973</v>
      </c>
      <c r="J1668" s="2">
        <f ca="1">IFERROR((Tabla3[[#This Row],[Close]]-OFFSET(Tabla3[[#This Row],[Close]],-1,0))/OFFSET(Tabla3[[#This Row],[Close]],-1,0),"")</f>
        <v>3.7246625814755341E-3</v>
      </c>
      <c r="K1668" s="2">
        <f ca="1">IFERROR(AVERAGE(OFFSET(Tabla3[[#This Row],[Close]],-6,0,7)),"")</f>
        <v>1670.6999860491028</v>
      </c>
      <c r="L1668" s="2">
        <f ca="1">IFERROR(_xlfn.STDEV.S(OFFSET(Tabla3[[#This Row],[Close]],-29,0,30)),"")</f>
        <v>39.03024344099871</v>
      </c>
    </row>
    <row r="1669" spans="1:12" x14ac:dyDescent="0.3">
      <c r="A1669" s="1">
        <v>44827</v>
      </c>
      <c r="B1669" s="3">
        <f>YEAR(Tabla3[[#This Row],[Date]])</f>
        <v>2022</v>
      </c>
      <c r="C1669" s="1" t="str">
        <f>+TEXT(Tabla3[[#This Row],[Date]],"mmm")</f>
        <v>sept</v>
      </c>
      <c r="D1669" s="2">
        <v>1645.30004882812</v>
      </c>
      <c r="E1669" s="2">
        <v>1645.30004882812</v>
      </c>
      <c r="F1669" s="2">
        <v>1667</v>
      </c>
      <c r="G1669" s="2">
        <v>1645.30004882812</v>
      </c>
      <c r="H1669" s="2">
        <v>1667</v>
      </c>
      <c r="I1669">
        <v>1224</v>
      </c>
      <c r="J1669" s="2">
        <f ca="1">IFERROR((Tabla3[[#This Row],[Close]]-OFFSET(Tabla3[[#This Row],[Close]],-1,0))/OFFSET(Tabla3[[#This Row],[Close]],-1,0),"")</f>
        <v>-1.5262149422299458E-2</v>
      </c>
      <c r="K1669" s="2">
        <f ca="1">IFERROR(AVERAGE(OFFSET(Tabla3[[#This Row],[Close]],-6,0,7)),"")</f>
        <v>1663.3857073102627</v>
      </c>
      <c r="L1669" s="2">
        <f ca="1">IFERROR(_xlfn.STDEV.S(OFFSET(Tabla3[[#This Row],[Close]],-29,0,30)),"")</f>
        <v>39.361385568815663</v>
      </c>
    </row>
    <row r="1670" spans="1:12" x14ac:dyDescent="0.3">
      <c r="A1670" s="1">
        <v>44830</v>
      </c>
      <c r="B1670" s="3">
        <f>YEAR(Tabla3[[#This Row],[Date]])</f>
        <v>2022</v>
      </c>
      <c r="C1670" s="1" t="str">
        <f>+TEXT(Tabla3[[#This Row],[Date]],"mmm")</f>
        <v>sept</v>
      </c>
      <c r="D1670" s="2">
        <v>1623.30004882812</v>
      </c>
      <c r="E1670" s="2">
        <v>1623.30004882812</v>
      </c>
      <c r="F1670" s="2">
        <v>1623.30004882812</v>
      </c>
      <c r="G1670" s="2">
        <v>1623.30004882812</v>
      </c>
      <c r="H1670" s="2">
        <v>1623.30004882812</v>
      </c>
      <c r="I1670">
        <v>1205</v>
      </c>
      <c r="J1670" s="2">
        <f ca="1">IFERROR((Tabla3[[#This Row],[Close]]-OFFSET(Tabla3[[#This Row],[Close]],-1,0))/OFFSET(Tabla3[[#This Row],[Close]],-1,0),"")</f>
        <v>-1.3371421228407366E-2</v>
      </c>
      <c r="K1670" s="2">
        <f ca="1">IFERROR(AVERAGE(OFFSET(Tabla3[[#This Row],[Close]],-6,0,7)),"")</f>
        <v>1657.3714250836999</v>
      </c>
      <c r="L1670" s="2">
        <f ca="1">IFERROR(_xlfn.STDEV.S(OFFSET(Tabla3[[#This Row],[Close]],-29,0,30)),"")</f>
        <v>39.944984060875051</v>
      </c>
    </row>
    <row r="1671" spans="1:12" x14ac:dyDescent="0.3">
      <c r="A1671" s="1">
        <v>44831</v>
      </c>
      <c r="B1671" s="3">
        <f>YEAR(Tabla3[[#This Row],[Date]])</f>
        <v>2022</v>
      </c>
      <c r="C1671" s="1" t="str">
        <f>+TEXT(Tabla3[[#This Row],[Date]],"mmm")</f>
        <v>sept</v>
      </c>
      <c r="D1671" s="2">
        <v>1626.69995117187</v>
      </c>
      <c r="E1671" s="2">
        <v>1626.69995117187</v>
      </c>
      <c r="F1671" s="2">
        <v>1636.59997558593</v>
      </c>
      <c r="G1671" s="2">
        <v>1626.69995117187</v>
      </c>
      <c r="H1671" s="2">
        <v>1632.19995117187</v>
      </c>
      <c r="I1671">
        <v>888</v>
      </c>
      <c r="J1671" s="2">
        <f ca="1">IFERROR((Tabla3[[#This Row],[Close]]-OFFSET(Tabla3[[#This Row],[Close]],-1,0))/OFFSET(Tabla3[[#This Row],[Close]],-1,0),"")</f>
        <v>2.0944386382569448E-3</v>
      </c>
      <c r="K1671" s="2">
        <f ca="1">IFERROR(AVERAGE(OFFSET(Tabla3[[#This Row],[Close]],-6,0,7)),"")</f>
        <v>1650.9428536551284</v>
      </c>
      <c r="L1671" s="2">
        <f ca="1">IFERROR(_xlfn.STDEV.S(OFFSET(Tabla3[[#This Row],[Close]],-29,0,30)),"")</f>
        <v>40.637209910855276</v>
      </c>
    </row>
    <row r="1672" spans="1:12" x14ac:dyDescent="0.3">
      <c r="A1672" s="1">
        <v>44832</v>
      </c>
      <c r="B1672" s="3">
        <f>YEAR(Tabla3[[#This Row],[Date]])</f>
        <v>2022</v>
      </c>
      <c r="C1672" s="1" t="str">
        <f>+TEXT(Tabla3[[#This Row],[Date]],"mmm")</f>
        <v>sept</v>
      </c>
      <c r="D1672" s="2">
        <v>1660.40002441406</v>
      </c>
      <c r="E1672" s="2">
        <v>1660.40002441406</v>
      </c>
      <c r="F1672" s="2">
        <v>1660.40002441406</v>
      </c>
      <c r="G1672" s="2">
        <v>1620.40002441406</v>
      </c>
      <c r="H1672" s="2">
        <v>1620.40002441406</v>
      </c>
      <c r="I1672">
        <v>18311</v>
      </c>
      <c r="J1672" s="2">
        <f ca="1">IFERROR((Tabla3[[#This Row],[Close]]-OFFSET(Tabla3[[#This Row],[Close]],-1,0))/OFFSET(Tabla3[[#This Row],[Close]],-1,0),"")</f>
        <v>2.0716834237262113E-2</v>
      </c>
      <c r="K1672" s="2">
        <f ca="1">IFERROR(AVERAGE(OFFSET(Tabla3[[#This Row],[Close]],-6,0,7)),"")</f>
        <v>1650.1142926897269</v>
      </c>
      <c r="L1672" s="2">
        <f ca="1">IFERROR(_xlfn.STDEV.S(OFFSET(Tabla3[[#This Row],[Close]],-29,0,30)),"")</f>
        <v>39.473875618939672</v>
      </c>
    </row>
    <row r="1673" spans="1:12" x14ac:dyDescent="0.3">
      <c r="A1673" s="1">
        <v>44833</v>
      </c>
      <c r="B1673" s="3">
        <f>YEAR(Tabla3[[#This Row],[Date]])</f>
        <v>2022</v>
      </c>
      <c r="C1673" s="1" t="str">
        <f>+TEXT(Tabla3[[#This Row],[Date]],"mmm")</f>
        <v>sept</v>
      </c>
      <c r="D1673" s="2">
        <v>1658.5</v>
      </c>
      <c r="E1673" s="2">
        <v>1658.5</v>
      </c>
      <c r="F1673" s="2">
        <v>1662.59997558593</v>
      </c>
      <c r="G1673" s="2">
        <v>1640</v>
      </c>
      <c r="H1673" s="2">
        <v>1657</v>
      </c>
      <c r="I1673">
        <v>6028</v>
      </c>
      <c r="J1673" s="2">
        <f ca="1">IFERROR((Tabla3[[#This Row],[Close]]-OFFSET(Tabla3[[#This Row],[Close]],-1,0))/OFFSET(Tabla3[[#This Row],[Close]],-1,0),"")</f>
        <v>-1.1443172645883935E-3</v>
      </c>
      <c r="K1673" s="2">
        <f ca="1">IFERROR(AVERAGE(OFFSET(Tabla3[[#This Row],[Close]],-6,0,7)),"")</f>
        <v>1649.9428710937457</v>
      </c>
      <c r="L1673" s="2">
        <f ca="1">IFERROR(_xlfn.STDEV.S(OFFSET(Tabla3[[#This Row],[Close]],-29,0,30)),"")</f>
        <v>38.741724840902485</v>
      </c>
    </row>
    <row r="1674" spans="1:12" x14ac:dyDescent="0.3">
      <c r="A1674" s="1">
        <v>44834</v>
      </c>
      <c r="B1674" s="3">
        <f>YEAR(Tabla3[[#This Row],[Date]])</f>
        <v>2022</v>
      </c>
      <c r="C1674" s="1" t="str">
        <f>+TEXT(Tabla3[[#This Row],[Date]],"mmm")</f>
        <v>sept</v>
      </c>
      <c r="D1674" s="2">
        <v>1662.40002441406</v>
      </c>
      <c r="E1674" s="2">
        <v>1662.40002441406</v>
      </c>
      <c r="F1674" s="2">
        <v>1672.69995117187</v>
      </c>
      <c r="G1674" s="2">
        <v>1658</v>
      </c>
      <c r="H1674" s="2">
        <v>1661.69995117187</v>
      </c>
      <c r="I1674">
        <v>548</v>
      </c>
      <c r="J1674" s="2">
        <f ca="1">IFERROR((Tabla3[[#This Row],[Close]]-OFFSET(Tabla3[[#This Row],[Close]],-1,0))/OFFSET(Tabla3[[#This Row],[Close]],-1,0),"")</f>
        <v>2.3515371806210423E-3</v>
      </c>
      <c r="K1674" s="2">
        <f ca="1">IFERROR(AVERAGE(OFFSET(Tabla3[[#This Row],[Close]],-6,0,7)),"")</f>
        <v>1649.6285923549074</v>
      </c>
      <c r="L1674" s="2">
        <f ca="1">IFERROR(_xlfn.STDEV.S(OFFSET(Tabla3[[#This Row],[Close]],-29,0,30)),"")</f>
        <v>37.833787645557834</v>
      </c>
    </row>
    <row r="1675" spans="1:12" x14ac:dyDescent="0.3">
      <c r="A1675" s="1">
        <v>44837</v>
      </c>
      <c r="B1675" s="3">
        <f>YEAR(Tabla3[[#This Row],[Date]])</f>
        <v>2022</v>
      </c>
      <c r="C1675" s="1" t="str">
        <f>+TEXT(Tabla3[[#This Row],[Date]],"mmm")</f>
        <v>oct</v>
      </c>
      <c r="D1675" s="2">
        <v>1692.90002441406</v>
      </c>
      <c r="E1675" s="2">
        <v>1692.90002441406</v>
      </c>
      <c r="F1675" s="2">
        <v>1700</v>
      </c>
      <c r="G1675" s="2">
        <v>1661.90002441406</v>
      </c>
      <c r="H1675" s="2">
        <v>1667.19995117187</v>
      </c>
      <c r="I1675">
        <v>410</v>
      </c>
      <c r="J1675" s="2">
        <f ca="1">IFERROR((Tabla3[[#This Row],[Close]]-OFFSET(Tabla3[[#This Row],[Close]],-1,0))/OFFSET(Tabla3[[#This Row],[Close]],-1,0),"")</f>
        <v>1.8346967969246886E-2</v>
      </c>
      <c r="K1675" s="2">
        <f ca="1">IFERROR(AVERAGE(OFFSET(Tabla3[[#This Row],[Close]],-6,0,7)),"")</f>
        <v>1652.7857317243272</v>
      </c>
      <c r="L1675" s="2">
        <f ca="1">IFERROR(_xlfn.STDEV.S(OFFSET(Tabla3[[#This Row],[Close]],-29,0,30)),"")</f>
        <v>36.58104620853176</v>
      </c>
    </row>
    <row r="1676" spans="1:12" x14ac:dyDescent="0.3">
      <c r="A1676" s="1">
        <v>44838</v>
      </c>
      <c r="B1676" s="3">
        <f>YEAR(Tabla3[[#This Row],[Date]])</f>
        <v>2022</v>
      </c>
      <c r="C1676" s="1" t="str">
        <f>+TEXT(Tabla3[[#This Row],[Date]],"mmm")</f>
        <v>oct</v>
      </c>
      <c r="D1676" s="2">
        <v>1721.09997558593</v>
      </c>
      <c r="E1676" s="2">
        <v>1721.09997558593</v>
      </c>
      <c r="F1676" s="2">
        <v>1728</v>
      </c>
      <c r="G1676" s="2">
        <v>1696</v>
      </c>
      <c r="H1676" s="2">
        <v>1701.19995117187</v>
      </c>
      <c r="I1676">
        <v>291</v>
      </c>
      <c r="J1676" s="2">
        <f ca="1">IFERROR((Tabla3[[#This Row],[Close]]-OFFSET(Tabla3[[#This Row],[Close]],-1,0))/OFFSET(Tabla3[[#This Row],[Close]],-1,0),"")</f>
        <v>1.6657777048370268E-2</v>
      </c>
      <c r="K1676" s="2">
        <f ca="1">IFERROR(AVERAGE(OFFSET(Tabla3[[#This Row],[Close]],-6,0,7)),"")</f>
        <v>1663.6142926897287</v>
      </c>
      <c r="L1676" s="2">
        <f ca="1">IFERROR(_xlfn.STDEV.S(OFFSET(Tabla3[[#This Row],[Close]],-29,0,30)),"")</f>
        <v>36.175837353206731</v>
      </c>
    </row>
    <row r="1677" spans="1:12" x14ac:dyDescent="0.3">
      <c r="A1677" s="1">
        <v>44839</v>
      </c>
      <c r="B1677" s="3">
        <f>YEAR(Tabla3[[#This Row],[Date]])</f>
        <v>2022</v>
      </c>
      <c r="C1677" s="1" t="str">
        <f>+TEXT(Tabla3[[#This Row],[Date]],"mmm")</f>
        <v>oct</v>
      </c>
      <c r="D1677" s="2">
        <v>1711.40002441406</v>
      </c>
      <c r="E1677" s="2">
        <v>1711.40002441406</v>
      </c>
      <c r="F1677" s="2">
        <v>1726.59997558593</v>
      </c>
      <c r="G1677" s="2">
        <v>1703</v>
      </c>
      <c r="H1677" s="2">
        <v>1724.09997558593</v>
      </c>
      <c r="I1677">
        <v>418</v>
      </c>
      <c r="J1677" s="2">
        <f ca="1">IFERROR((Tabla3[[#This Row],[Close]]-OFFSET(Tabla3[[#This Row],[Close]],-1,0))/OFFSET(Tabla3[[#This Row],[Close]],-1,0),"")</f>
        <v>-5.6359022192001102E-3</v>
      </c>
      <c r="K1677" s="2">
        <f ca="1">IFERROR(AVERAGE(OFFSET(Tabla3[[#This Row],[Close]],-6,0,7)),"")</f>
        <v>1676.2000034877201</v>
      </c>
      <c r="L1677" s="2">
        <f ca="1">IFERROR(_xlfn.STDEV.S(OFFSET(Tabla3[[#This Row],[Close]],-29,0,30)),"")</f>
        <v>34.9576654022651</v>
      </c>
    </row>
    <row r="1678" spans="1:12" x14ac:dyDescent="0.3">
      <c r="A1678" s="1">
        <v>44840</v>
      </c>
      <c r="B1678" s="3">
        <f>YEAR(Tabla3[[#This Row],[Date]])</f>
        <v>2022</v>
      </c>
      <c r="C1678" s="1" t="str">
        <f>+TEXT(Tabla3[[#This Row],[Date]],"mmm")</f>
        <v>oct</v>
      </c>
      <c r="D1678" s="2">
        <v>1711.69995117187</v>
      </c>
      <c r="E1678" s="2">
        <v>1711.69995117187</v>
      </c>
      <c r="F1678" s="2">
        <v>1723.30004882812</v>
      </c>
      <c r="G1678" s="2">
        <v>1709.09997558593</v>
      </c>
      <c r="H1678" s="2">
        <v>1721</v>
      </c>
      <c r="I1678">
        <v>133</v>
      </c>
      <c r="J1678" s="2">
        <f ca="1">IFERROR((Tabla3[[#This Row],[Close]]-OFFSET(Tabla3[[#This Row],[Close]],-1,0))/OFFSET(Tabla3[[#This Row],[Close]],-1,0),"")</f>
        <v>1.7525228089948532E-4</v>
      </c>
      <c r="K1678" s="2">
        <f ca="1">IFERROR(AVERAGE(OFFSET(Tabla3[[#This Row],[Close]],-6,0,7)),"")</f>
        <v>1688.342860630577</v>
      </c>
      <c r="L1678" s="2">
        <f ca="1">IFERROR(_xlfn.STDEV.S(OFFSET(Tabla3[[#This Row],[Close]],-29,0,30)),"")</f>
        <v>33.601887432322386</v>
      </c>
    </row>
    <row r="1679" spans="1:12" x14ac:dyDescent="0.3">
      <c r="A1679" s="1">
        <v>44841</v>
      </c>
      <c r="B1679" s="3">
        <f>YEAR(Tabla3[[#This Row],[Date]])</f>
        <v>2022</v>
      </c>
      <c r="C1679" s="1" t="str">
        <f>+TEXT(Tabla3[[#This Row],[Date]],"mmm")</f>
        <v>oct</v>
      </c>
      <c r="D1679" s="2">
        <v>1700.5</v>
      </c>
      <c r="E1679" s="2">
        <v>1700.5</v>
      </c>
      <c r="F1679" s="2">
        <v>1710.09997558593</v>
      </c>
      <c r="G1679" s="2">
        <v>1693.69995117187</v>
      </c>
      <c r="H1679" s="2">
        <v>1710.09997558593</v>
      </c>
      <c r="I1679">
        <v>179</v>
      </c>
      <c r="J1679" s="2">
        <f ca="1">IFERROR((Tabla3[[#This Row],[Close]]-OFFSET(Tabla3[[#This Row],[Close]],-1,0))/OFFSET(Tabla3[[#This Row],[Close]],-1,0),"")</f>
        <v>-6.5431743245667837E-3</v>
      </c>
      <c r="K1679" s="2">
        <f ca="1">IFERROR(AVERAGE(OFFSET(Tabla3[[#This Row],[Close]],-6,0,7)),"")</f>
        <v>1694.0714285714257</v>
      </c>
      <c r="L1679" s="2">
        <f ca="1">IFERROR(_xlfn.STDEV.S(OFFSET(Tabla3[[#This Row],[Close]],-29,0,30)),"")</f>
        <v>31.276778088027825</v>
      </c>
    </row>
    <row r="1680" spans="1:12" x14ac:dyDescent="0.3">
      <c r="A1680" s="1">
        <v>44844</v>
      </c>
      <c r="B1680" s="3">
        <f>YEAR(Tabla3[[#This Row],[Date]])</f>
        <v>2022</v>
      </c>
      <c r="C1680" s="1" t="str">
        <f>+TEXT(Tabla3[[#This Row],[Date]],"mmm")</f>
        <v>oct</v>
      </c>
      <c r="D1680" s="2">
        <v>1667.30004882812</v>
      </c>
      <c r="E1680" s="2">
        <v>1667.30004882812</v>
      </c>
      <c r="F1680" s="2">
        <v>1693.40002441406</v>
      </c>
      <c r="G1680" s="2">
        <v>1667</v>
      </c>
      <c r="H1680" s="2">
        <v>1693.40002441406</v>
      </c>
      <c r="I1680">
        <v>195</v>
      </c>
      <c r="J1680" s="2">
        <f ca="1">IFERROR((Tabla3[[#This Row],[Close]]-OFFSET(Tabla3[[#This Row],[Close]],-1,0))/OFFSET(Tabla3[[#This Row],[Close]],-1,0),"")</f>
        <v>-1.9523640794989711E-2</v>
      </c>
      <c r="K1680" s="2">
        <f ca="1">IFERROR(AVERAGE(OFFSET(Tabla3[[#This Row],[Close]],-6,0,7)),"")</f>
        <v>1695.3285784040143</v>
      </c>
      <c r="L1680" s="2">
        <f ca="1">IFERROR(_xlfn.STDEV.S(OFFSET(Tabla3[[#This Row],[Close]],-29,0,30)),"")</f>
        <v>30.279345833648733</v>
      </c>
    </row>
    <row r="1681" spans="1:12" x14ac:dyDescent="0.3">
      <c r="A1681" s="1">
        <v>44845</v>
      </c>
      <c r="B1681" s="3">
        <f>YEAR(Tabla3[[#This Row],[Date]])</f>
        <v>2022</v>
      </c>
      <c r="C1681" s="1" t="str">
        <f>+TEXT(Tabla3[[#This Row],[Date]],"mmm")</f>
        <v>oct</v>
      </c>
      <c r="D1681" s="2">
        <v>1678.69995117187</v>
      </c>
      <c r="E1681" s="2">
        <v>1678.69995117187</v>
      </c>
      <c r="F1681" s="2">
        <v>1678.69995117187</v>
      </c>
      <c r="G1681" s="2">
        <v>1661</v>
      </c>
      <c r="H1681" s="2">
        <v>1661.80004882812</v>
      </c>
      <c r="I1681">
        <v>167</v>
      </c>
      <c r="J1681" s="2">
        <f ca="1">IFERROR((Tabla3[[#This Row],[Close]]-OFFSET(Tabla3[[#This Row],[Close]],-1,0))/OFFSET(Tabla3[[#This Row],[Close]],-1,0),"")</f>
        <v>6.8373430155913122E-3</v>
      </c>
      <c r="K1681" s="2">
        <f ca="1">IFERROR(AVERAGE(OFFSET(Tabla3[[#This Row],[Close]],-6,0,7)),"")</f>
        <v>1697.6571393694155</v>
      </c>
      <c r="L1681" s="2">
        <f ca="1">IFERROR(_xlfn.STDEV.S(OFFSET(Tabla3[[#This Row],[Close]],-29,0,30)),"")</f>
        <v>28.861342120959634</v>
      </c>
    </row>
    <row r="1682" spans="1:12" x14ac:dyDescent="0.3">
      <c r="A1682" s="1">
        <v>44846</v>
      </c>
      <c r="B1682" s="3">
        <f>YEAR(Tabla3[[#This Row],[Date]])</f>
        <v>2022</v>
      </c>
      <c r="C1682" s="1" t="str">
        <f>+TEXT(Tabla3[[#This Row],[Date]],"mmm")</f>
        <v>oct</v>
      </c>
      <c r="D1682" s="2">
        <v>1670.30004882812</v>
      </c>
      <c r="E1682" s="2">
        <v>1670.30004882812</v>
      </c>
      <c r="F1682" s="2">
        <v>1672.69995117187</v>
      </c>
      <c r="G1682" s="2">
        <v>1668</v>
      </c>
      <c r="H1682" s="2">
        <v>1668</v>
      </c>
      <c r="I1682">
        <v>149</v>
      </c>
      <c r="J1682" s="2">
        <f ca="1">IFERROR((Tabla3[[#This Row],[Close]]-OFFSET(Tabla3[[#This Row],[Close]],-1,0))/OFFSET(Tabla3[[#This Row],[Close]],-1,0),"")</f>
        <v>-5.003814015653113E-3</v>
      </c>
      <c r="K1682" s="2">
        <f ca="1">IFERROR(AVERAGE(OFFSET(Tabla3[[#This Row],[Close]],-6,0,7)),"")</f>
        <v>1694.428571428567</v>
      </c>
      <c r="L1682" s="2">
        <f ca="1">IFERROR(_xlfn.STDEV.S(OFFSET(Tabla3[[#This Row],[Close]],-29,0,30)),"")</f>
        <v>28.096019991095922</v>
      </c>
    </row>
    <row r="1683" spans="1:12" x14ac:dyDescent="0.3">
      <c r="A1683" s="1">
        <v>44847</v>
      </c>
      <c r="B1683" s="3">
        <f>YEAR(Tabla3[[#This Row],[Date]])</f>
        <v>2022</v>
      </c>
      <c r="C1683" s="1" t="str">
        <f>+TEXT(Tabla3[[#This Row],[Date]],"mmm")</f>
        <v>oct</v>
      </c>
      <c r="D1683" s="2">
        <v>1670</v>
      </c>
      <c r="E1683" s="2">
        <v>1670</v>
      </c>
      <c r="F1683" s="2">
        <v>1675.30004882812</v>
      </c>
      <c r="G1683" s="2">
        <v>1641.5</v>
      </c>
      <c r="H1683" s="2">
        <v>1675.19995117187</v>
      </c>
      <c r="I1683">
        <v>729</v>
      </c>
      <c r="J1683" s="2">
        <f ca="1">IFERROR((Tabla3[[#This Row],[Close]]-OFFSET(Tabla3[[#This Row],[Close]],-1,0))/OFFSET(Tabla3[[#This Row],[Close]],-1,0),"")</f>
        <v>-1.7963768146358588E-4</v>
      </c>
      <c r="K1683" s="2">
        <f ca="1">IFERROR(AVERAGE(OFFSET(Tabla3[[#This Row],[Close]],-6,0,7)),"")</f>
        <v>1687.1285749162912</v>
      </c>
      <c r="L1683" s="2">
        <f ca="1">IFERROR(_xlfn.STDEV.S(OFFSET(Tabla3[[#This Row],[Close]],-29,0,30)),"")</f>
        <v>27.66228094575634</v>
      </c>
    </row>
    <row r="1684" spans="1:12" x14ac:dyDescent="0.3">
      <c r="A1684" s="1">
        <v>44848</v>
      </c>
      <c r="B1684" s="3">
        <f>YEAR(Tabla3[[#This Row],[Date]])</f>
        <v>2022</v>
      </c>
      <c r="C1684" s="1" t="str">
        <f>+TEXT(Tabla3[[#This Row],[Date]],"mmm")</f>
        <v>oct</v>
      </c>
      <c r="D1684" s="2">
        <v>1641.69995117187</v>
      </c>
      <c r="E1684" s="2">
        <v>1641.69995117187</v>
      </c>
      <c r="F1684" s="2">
        <v>1667</v>
      </c>
      <c r="G1684" s="2">
        <v>1640</v>
      </c>
      <c r="H1684" s="2">
        <v>1665.30004882812</v>
      </c>
      <c r="I1684">
        <v>82</v>
      </c>
      <c r="J1684" s="2">
        <f ca="1">IFERROR((Tabla3[[#This Row],[Close]]-OFFSET(Tabla3[[#This Row],[Close]],-1,0))/OFFSET(Tabla3[[#This Row],[Close]],-1,0),"")</f>
        <v>-1.6946137022832337E-2</v>
      </c>
      <c r="K1684" s="2">
        <f ca="1">IFERROR(AVERAGE(OFFSET(Tabla3[[#This Row],[Close]],-6,0,7)),"")</f>
        <v>1677.1714215959785</v>
      </c>
      <c r="L1684" s="2">
        <f ca="1">IFERROR(_xlfn.STDEV.S(OFFSET(Tabla3[[#This Row],[Close]],-29,0,30)),"")</f>
        <v>28.500143731289256</v>
      </c>
    </row>
    <row r="1685" spans="1:12" x14ac:dyDescent="0.3">
      <c r="A1685" s="1">
        <v>44851</v>
      </c>
      <c r="B1685" s="3">
        <f>YEAR(Tabla3[[#This Row],[Date]])</f>
        <v>2022</v>
      </c>
      <c r="C1685" s="1" t="str">
        <f>+TEXT(Tabla3[[#This Row],[Date]],"mmm")</f>
        <v>oct</v>
      </c>
      <c r="D1685" s="2">
        <v>1657</v>
      </c>
      <c r="E1685" s="2">
        <v>1657</v>
      </c>
      <c r="F1685" s="2">
        <v>1657</v>
      </c>
      <c r="G1685" s="2">
        <v>1646.80004882812</v>
      </c>
      <c r="H1685" s="2">
        <v>1650.19995117187</v>
      </c>
      <c r="I1685">
        <v>238</v>
      </c>
      <c r="J1685" s="2">
        <f ca="1">IFERROR((Tabla3[[#This Row],[Close]]-OFFSET(Tabla3[[#This Row],[Close]],-1,0))/OFFSET(Tabla3[[#This Row],[Close]],-1,0),"")</f>
        <v>9.3196377433090605E-3</v>
      </c>
      <c r="K1685" s="2">
        <f ca="1">IFERROR(AVERAGE(OFFSET(Tabla3[[#This Row],[Close]],-6,0,7)),"")</f>
        <v>1669.3571428571399</v>
      </c>
      <c r="L1685" s="2">
        <f ca="1">IFERROR(_xlfn.STDEV.S(OFFSET(Tabla3[[#This Row],[Close]],-29,0,30)),"")</f>
        <v>28.268152335301579</v>
      </c>
    </row>
    <row r="1686" spans="1:12" x14ac:dyDescent="0.3">
      <c r="A1686" s="1">
        <v>44852</v>
      </c>
      <c r="B1686" s="3">
        <f>YEAR(Tabla3[[#This Row],[Date]])</f>
        <v>2022</v>
      </c>
      <c r="C1686" s="1" t="str">
        <f>+TEXT(Tabla3[[#This Row],[Date]],"mmm")</f>
        <v>oct</v>
      </c>
      <c r="D1686" s="2">
        <v>1649</v>
      </c>
      <c r="E1686" s="2">
        <v>1649</v>
      </c>
      <c r="F1686" s="2">
        <v>1655.19995117187</v>
      </c>
      <c r="G1686" s="2">
        <v>1649</v>
      </c>
      <c r="H1686" s="2">
        <v>1651.40002441406</v>
      </c>
      <c r="I1686">
        <v>597</v>
      </c>
      <c r="J1686" s="2">
        <f ca="1">IFERROR((Tabla3[[#This Row],[Close]]-OFFSET(Tabla3[[#This Row],[Close]],-1,0))/OFFSET(Tabla3[[#This Row],[Close]],-1,0),"")</f>
        <v>-4.8280024140012071E-3</v>
      </c>
      <c r="K1686" s="2">
        <f ca="1">IFERROR(AVERAGE(OFFSET(Tabla3[[#This Row],[Close]],-6,0,7)),"")</f>
        <v>1661.999999999997</v>
      </c>
      <c r="L1686" s="2">
        <f ca="1">IFERROR(_xlfn.STDEV.S(OFFSET(Tabla3[[#This Row],[Close]],-29,0,30)),"")</f>
        <v>28.477214590080589</v>
      </c>
    </row>
    <row r="1687" spans="1:12" x14ac:dyDescent="0.3">
      <c r="A1687" s="1">
        <v>44853</v>
      </c>
      <c r="B1687" s="3">
        <f>YEAR(Tabla3[[#This Row],[Date]])</f>
        <v>2022</v>
      </c>
      <c r="C1687" s="1" t="str">
        <f>+TEXT(Tabla3[[#This Row],[Date]],"mmm")</f>
        <v>oct</v>
      </c>
      <c r="D1687" s="2">
        <v>1627.5</v>
      </c>
      <c r="E1687" s="2">
        <v>1627.5</v>
      </c>
      <c r="F1687" s="2">
        <v>1637.5</v>
      </c>
      <c r="G1687" s="2">
        <v>1627.5</v>
      </c>
      <c r="H1687" s="2">
        <v>1637.5</v>
      </c>
      <c r="I1687">
        <v>84</v>
      </c>
      <c r="J1687" s="2">
        <f ca="1">IFERROR((Tabla3[[#This Row],[Close]]-OFFSET(Tabla3[[#This Row],[Close]],-1,0))/OFFSET(Tabla3[[#This Row],[Close]],-1,0),"")</f>
        <v>-1.3038204972710734E-2</v>
      </c>
      <c r="K1687" s="2">
        <f ca="1">IFERROR(AVERAGE(OFFSET(Tabla3[[#This Row],[Close]],-6,0,7)),"")</f>
        <v>1656.3142787388372</v>
      </c>
      <c r="L1687" s="2">
        <f ca="1">IFERROR(_xlfn.STDEV.S(OFFSET(Tabla3[[#This Row],[Close]],-29,0,30)),"")</f>
        <v>28.933549996646612</v>
      </c>
    </row>
    <row r="1688" spans="1:12" x14ac:dyDescent="0.3">
      <c r="A1688" s="1">
        <v>44854</v>
      </c>
      <c r="B1688" s="3">
        <f>YEAR(Tabla3[[#This Row],[Date]])</f>
        <v>2022</v>
      </c>
      <c r="C1688" s="1" t="str">
        <f>+TEXT(Tabla3[[#This Row],[Date]],"mmm")</f>
        <v>oct</v>
      </c>
      <c r="D1688" s="2">
        <v>1630.80004882812</v>
      </c>
      <c r="E1688" s="2">
        <v>1630.80004882812</v>
      </c>
      <c r="F1688" s="2">
        <v>1641.40002441406</v>
      </c>
      <c r="G1688" s="2">
        <v>1622.80004882812</v>
      </c>
      <c r="H1688" s="2">
        <v>1622.80004882812</v>
      </c>
      <c r="I1688">
        <v>477</v>
      </c>
      <c r="J1688" s="2">
        <f ca="1">IFERROR((Tabla3[[#This Row],[Close]]-OFFSET(Tabla3[[#This Row],[Close]],-1,0))/OFFSET(Tabla3[[#This Row],[Close]],-1,0),"")</f>
        <v>2.0276797715023027E-3</v>
      </c>
      <c r="K1688" s="2">
        <f ca="1">IFERROR(AVERAGE(OFFSET(Tabla3[[#This Row],[Close]],-6,0,7)),"")</f>
        <v>1649.4714355468727</v>
      </c>
      <c r="L1688" s="2">
        <f ca="1">IFERROR(_xlfn.STDEV.S(OFFSET(Tabla3[[#This Row],[Close]],-29,0,30)),"")</f>
        <v>29.260772837515969</v>
      </c>
    </row>
    <row r="1689" spans="1:12" x14ac:dyDescent="0.3">
      <c r="A1689" s="1">
        <v>44855</v>
      </c>
      <c r="B1689" s="3">
        <f>YEAR(Tabla3[[#This Row],[Date]])</f>
        <v>2022</v>
      </c>
      <c r="C1689" s="1" t="str">
        <f>+TEXT(Tabla3[[#This Row],[Date]],"mmm")</f>
        <v>oct</v>
      </c>
      <c r="D1689" s="2">
        <v>1651</v>
      </c>
      <c r="E1689" s="2">
        <v>1651</v>
      </c>
      <c r="F1689" s="2">
        <v>1653.90002441406</v>
      </c>
      <c r="G1689" s="2">
        <v>1634.09997558593</v>
      </c>
      <c r="H1689" s="2">
        <v>1634.09997558593</v>
      </c>
      <c r="I1689">
        <v>224</v>
      </c>
      <c r="J1689" s="2">
        <f ca="1">IFERROR((Tabla3[[#This Row],[Close]]-OFFSET(Tabla3[[#This Row],[Close]],-1,0))/OFFSET(Tabla3[[#This Row],[Close]],-1,0),"")</f>
        <v>1.2386528432100261E-2</v>
      </c>
      <c r="K1689" s="2">
        <f ca="1">IFERROR(AVERAGE(OFFSET(Tabla3[[#This Row],[Close]],-6,0,7)),"")</f>
        <v>1646.7142857142842</v>
      </c>
      <c r="L1689" s="2">
        <f ca="1">IFERROR(_xlfn.STDEV.S(OFFSET(Tabla3[[#This Row],[Close]],-29,0,30)),"")</f>
        <v>28.244517928725447</v>
      </c>
    </row>
    <row r="1690" spans="1:12" x14ac:dyDescent="0.3">
      <c r="A1690" s="1">
        <v>44858</v>
      </c>
      <c r="B1690" s="3">
        <f>YEAR(Tabla3[[#This Row],[Date]])</f>
        <v>2022</v>
      </c>
      <c r="C1690" s="1" t="str">
        <f>+TEXT(Tabla3[[#This Row],[Date]],"mmm")</f>
        <v>oct</v>
      </c>
      <c r="D1690" s="2">
        <v>1648.69995117187</v>
      </c>
      <c r="E1690" s="2">
        <v>1648.69995117187</v>
      </c>
      <c r="F1690" s="2">
        <v>1662.69995117187</v>
      </c>
      <c r="G1690" s="2">
        <v>1648.69995117187</v>
      </c>
      <c r="H1690" s="2">
        <v>1662.69995117187</v>
      </c>
      <c r="I1690">
        <v>29</v>
      </c>
      <c r="J1690" s="2">
        <f ca="1">IFERROR((Tabla3[[#This Row],[Close]]-OFFSET(Tabla3[[#This Row],[Close]],-1,0))/OFFSET(Tabla3[[#This Row],[Close]],-1,0),"")</f>
        <v>-1.3931246687643865E-3</v>
      </c>
      <c r="K1690" s="2">
        <f ca="1">IFERROR(AVERAGE(OFFSET(Tabla3[[#This Row],[Close]],-6,0,7)),"")</f>
        <v>1643.6714215959798</v>
      </c>
      <c r="L1690" s="2">
        <f ca="1">IFERROR(_xlfn.STDEV.S(OFFSET(Tabla3[[#This Row],[Close]],-29,0,30)),"")</f>
        <v>26.212669413230863</v>
      </c>
    </row>
    <row r="1691" spans="1:12" x14ac:dyDescent="0.3">
      <c r="A1691" s="1">
        <v>44859</v>
      </c>
      <c r="B1691" s="3">
        <f>YEAR(Tabla3[[#This Row],[Date]])</f>
        <v>2022</v>
      </c>
      <c r="C1691" s="1" t="str">
        <f>+TEXT(Tabla3[[#This Row],[Date]],"mmm")</f>
        <v>oct</v>
      </c>
      <c r="D1691" s="2">
        <v>1652.80004882812</v>
      </c>
      <c r="E1691" s="2">
        <v>1652.80004882812</v>
      </c>
      <c r="F1691" s="2">
        <v>1652.80004882812</v>
      </c>
      <c r="G1691" s="2">
        <v>1637.30004882812</v>
      </c>
      <c r="H1691" s="2">
        <v>1648.19995117187</v>
      </c>
      <c r="I1691">
        <v>880</v>
      </c>
      <c r="J1691" s="2">
        <f ca="1">IFERROR((Tabla3[[#This Row],[Close]]-OFFSET(Tabla3[[#This Row],[Close]],-1,0))/OFFSET(Tabla3[[#This Row],[Close]],-1,0),"")</f>
        <v>2.4868670938794626E-3</v>
      </c>
      <c r="K1691" s="2">
        <f ca="1">IFERROR(AVERAGE(OFFSET(Tabla3[[#This Row],[Close]],-6,0,7)),"")</f>
        <v>1645.2571498325869</v>
      </c>
      <c r="L1691" s="2">
        <f ca="1">IFERROR(_xlfn.STDEV.S(OFFSET(Tabla3[[#This Row],[Close]],-29,0,30)),"")</f>
        <v>25.311341199489465</v>
      </c>
    </row>
    <row r="1692" spans="1:12" x14ac:dyDescent="0.3">
      <c r="A1692" s="1">
        <v>44860</v>
      </c>
      <c r="B1692" s="3">
        <f>YEAR(Tabla3[[#This Row],[Date]])</f>
        <v>2022</v>
      </c>
      <c r="C1692" s="1" t="str">
        <f>+TEXT(Tabla3[[#This Row],[Date]],"mmm")</f>
        <v>oct</v>
      </c>
      <c r="D1692" s="2">
        <v>1664</v>
      </c>
      <c r="E1692" s="2">
        <v>1664</v>
      </c>
      <c r="F1692" s="2">
        <v>1667</v>
      </c>
      <c r="G1692" s="2">
        <v>1649.80004882812</v>
      </c>
      <c r="H1692" s="2">
        <v>1649.80004882812</v>
      </c>
      <c r="I1692">
        <v>89</v>
      </c>
      <c r="J1692" s="2">
        <f ca="1">IFERROR((Tabla3[[#This Row],[Close]]-OFFSET(Tabla3[[#This Row],[Close]],-1,0))/OFFSET(Tabla3[[#This Row],[Close]],-1,0),"")</f>
        <v>6.7763497343922945E-3</v>
      </c>
      <c r="K1692" s="2">
        <f ca="1">IFERROR(AVERAGE(OFFSET(Tabla3[[#This Row],[Close]],-6,0,7)),"")</f>
        <v>1646.2571498325869</v>
      </c>
      <c r="L1692" s="2">
        <f ca="1">IFERROR(_xlfn.STDEV.S(OFFSET(Tabla3[[#This Row],[Close]],-29,0,30)),"")</f>
        <v>24.608134011111449</v>
      </c>
    </row>
    <row r="1693" spans="1:12" x14ac:dyDescent="0.3">
      <c r="A1693" s="1">
        <v>44861</v>
      </c>
      <c r="B1693" s="3">
        <f>YEAR(Tabla3[[#This Row],[Date]])</f>
        <v>2022</v>
      </c>
      <c r="C1693" s="1" t="str">
        <f>+TEXT(Tabla3[[#This Row],[Date]],"mmm")</f>
        <v>oct</v>
      </c>
      <c r="D1693" s="2">
        <v>1660.69995117187</v>
      </c>
      <c r="E1693" s="2">
        <v>1660.69995117187</v>
      </c>
      <c r="F1693" s="2">
        <v>1660.69995117187</v>
      </c>
      <c r="G1693" s="2">
        <v>1660.69995117187</v>
      </c>
      <c r="H1693" s="2">
        <v>1660.69995117187</v>
      </c>
      <c r="I1693">
        <v>2298</v>
      </c>
      <c r="J1693" s="2">
        <f ca="1">IFERROR((Tabla3[[#This Row],[Close]]-OFFSET(Tabla3[[#This Row],[Close]],-1,0))/OFFSET(Tabla3[[#This Row],[Close]],-1,0),"")</f>
        <v>-1.9832024207512033E-3</v>
      </c>
      <c r="K1693" s="2">
        <f ca="1">IFERROR(AVERAGE(OFFSET(Tabla3[[#This Row],[Close]],-6,0,7)),"")</f>
        <v>1647.9285714285684</v>
      </c>
      <c r="L1693" s="2">
        <f ca="1">IFERROR(_xlfn.STDEV.S(OFFSET(Tabla3[[#This Row],[Close]],-29,0,30)),"")</f>
        <v>24.61418157565042</v>
      </c>
    </row>
    <row r="1694" spans="1:12" x14ac:dyDescent="0.3">
      <c r="A1694" s="1">
        <v>44862</v>
      </c>
      <c r="B1694" s="3">
        <f>YEAR(Tabla3[[#This Row],[Date]])</f>
        <v>2022</v>
      </c>
      <c r="C1694" s="1" t="str">
        <f>+TEXT(Tabla3[[#This Row],[Date]],"mmm")</f>
        <v>oct</v>
      </c>
      <c r="D1694" s="2">
        <v>1639.59997558593</v>
      </c>
      <c r="E1694" s="2">
        <v>1639.59997558593</v>
      </c>
      <c r="F1694" s="2">
        <v>1661</v>
      </c>
      <c r="G1694" s="2">
        <v>1638.69995117187</v>
      </c>
      <c r="H1694" s="2">
        <v>1661</v>
      </c>
      <c r="I1694">
        <v>626</v>
      </c>
      <c r="J1694" s="2">
        <f ca="1">IFERROR((Tabla3[[#This Row],[Close]]-OFFSET(Tabla3[[#This Row],[Close]],-1,0))/OFFSET(Tabla3[[#This Row],[Close]],-1,0),"")</f>
        <v>-1.270547131108834E-2</v>
      </c>
      <c r="K1694" s="2">
        <f ca="1">IFERROR(AVERAGE(OFFSET(Tabla3[[#This Row],[Close]],-6,0,7)),"")</f>
        <v>1649.6571393694157</v>
      </c>
      <c r="L1694" s="2">
        <f ca="1">IFERROR(_xlfn.STDEV.S(OFFSET(Tabla3[[#This Row],[Close]],-29,0,30)),"")</f>
        <v>24.958270691238166</v>
      </c>
    </row>
    <row r="1695" spans="1:12" x14ac:dyDescent="0.3">
      <c r="A1695" s="1">
        <v>44865</v>
      </c>
      <c r="B1695" s="3">
        <f>YEAR(Tabla3[[#This Row],[Date]])</f>
        <v>2022</v>
      </c>
      <c r="C1695" s="1" t="str">
        <f>+TEXT(Tabla3[[#This Row],[Date]],"mmm")</f>
        <v>oct</v>
      </c>
      <c r="D1695" s="2">
        <v>1635.90002441406</v>
      </c>
      <c r="E1695" s="2">
        <v>1635.90002441406</v>
      </c>
      <c r="F1695" s="2">
        <v>1641.80004882812</v>
      </c>
      <c r="G1695" s="2">
        <v>1633.40002441406</v>
      </c>
      <c r="H1695" s="2">
        <v>1641.80004882812</v>
      </c>
      <c r="I1695">
        <v>522</v>
      </c>
      <c r="J1695" s="2">
        <f ca="1">IFERROR((Tabla3[[#This Row],[Close]]-OFFSET(Tabla3[[#This Row],[Close]],-1,0))/OFFSET(Tabla3[[#This Row],[Close]],-1,0),"")</f>
        <v>-2.2566182160058752E-3</v>
      </c>
      <c r="K1695" s="2">
        <f ca="1">IFERROR(AVERAGE(OFFSET(Tabla3[[#This Row],[Close]],-6,0,7)),"")</f>
        <v>1650.3857073102645</v>
      </c>
      <c r="L1695" s="2">
        <f ca="1">IFERROR(_xlfn.STDEV.S(OFFSET(Tabla3[[#This Row],[Close]],-29,0,30)),"")</f>
        <v>25.425483493366652</v>
      </c>
    </row>
    <row r="1696" spans="1:12" x14ac:dyDescent="0.3">
      <c r="A1696" s="1">
        <v>44866</v>
      </c>
      <c r="B1696" s="3">
        <f>YEAR(Tabla3[[#This Row],[Date]])</f>
        <v>2022</v>
      </c>
      <c r="C1696" s="1" t="str">
        <f>+TEXT(Tabla3[[#This Row],[Date]],"mmm")</f>
        <v>nov</v>
      </c>
      <c r="D1696" s="2">
        <v>1645</v>
      </c>
      <c r="E1696" s="2">
        <v>1645</v>
      </c>
      <c r="F1696" s="2">
        <v>1653.69995117187</v>
      </c>
      <c r="G1696" s="2">
        <v>1630.80004882812</v>
      </c>
      <c r="H1696" s="2">
        <v>1630.80004882812</v>
      </c>
      <c r="I1696">
        <v>985</v>
      </c>
      <c r="J1696" s="2">
        <f ca="1">IFERROR((Tabla3[[#This Row],[Close]]-OFFSET(Tabla3[[#This Row],[Close]],-1,0))/OFFSET(Tabla3[[#This Row],[Close]],-1,0),"")</f>
        <v>5.5626721988707066E-3</v>
      </c>
      <c r="K1696" s="2">
        <f ca="1">IFERROR(AVERAGE(OFFSET(Tabla3[[#This Row],[Close]],-6,0,7)),"")</f>
        <v>1649.5285644531216</v>
      </c>
      <c r="L1696" s="2">
        <f ca="1">IFERROR(_xlfn.STDEV.S(OFFSET(Tabla3[[#This Row],[Close]],-29,0,30)),"")</f>
        <v>25.608539796607211</v>
      </c>
    </row>
    <row r="1697" spans="1:12" x14ac:dyDescent="0.3">
      <c r="A1697" s="1">
        <v>44867</v>
      </c>
      <c r="B1697" s="3">
        <f>YEAR(Tabla3[[#This Row],[Date]])</f>
        <v>2022</v>
      </c>
      <c r="C1697" s="1" t="str">
        <f>+TEXT(Tabla3[[#This Row],[Date]],"mmm")</f>
        <v>nov</v>
      </c>
      <c r="D1697" s="2">
        <v>1645.69995117187</v>
      </c>
      <c r="E1697" s="2">
        <v>1645.69995117187</v>
      </c>
      <c r="F1697" s="2">
        <v>1664.69995117187</v>
      </c>
      <c r="G1697" s="2">
        <v>1634</v>
      </c>
      <c r="H1697" s="2">
        <v>1650.80004882812</v>
      </c>
      <c r="I1697">
        <v>612</v>
      </c>
      <c r="J1697" s="2">
        <f ca="1">IFERROR((Tabla3[[#This Row],[Close]]-OFFSET(Tabla3[[#This Row],[Close]],-1,0))/OFFSET(Tabla3[[#This Row],[Close]],-1,0),"")</f>
        <v>4.2550223213981629E-4</v>
      </c>
      <c r="K1697" s="2">
        <f ca="1">IFERROR(AVERAGE(OFFSET(Tabla3[[#This Row],[Close]],-6,0,7)),"")</f>
        <v>1649.09999302455</v>
      </c>
      <c r="L1697" s="2">
        <f ca="1">IFERROR(_xlfn.STDEV.S(OFFSET(Tabla3[[#This Row],[Close]],-29,0,30)),"")</f>
        <v>25.757116715079146</v>
      </c>
    </row>
    <row r="1698" spans="1:12" x14ac:dyDescent="0.3">
      <c r="A1698" s="1">
        <v>44868</v>
      </c>
      <c r="B1698" s="3">
        <f>YEAR(Tabla3[[#This Row],[Date]])</f>
        <v>2022</v>
      </c>
      <c r="C1698" s="1" t="str">
        <f>+TEXT(Tabla3[[#This Row],[Date]],"mmm")</f>
        <v>nov</v>
      </c>
      <c r="D1698" s="2">
        <v>1627.30004882812</v>
      </c>
      <c r="E1698" s="2">
        <v>1627.30004882812</v>
      </c>
      <c r="F1698" s="2">
        <v>1629.19995117187</v>
      </c>
      <c r="G1698" s="2">
        <v>1615.09997558593</v>
      </c>
      <c r="H1698" s="2">
        <v>1629.19995117187</v>
      </c>
      <c r="I1698">
        <v>1427</v>
      </c>
      <c r="J1698" s="2">
        <f ca="1">IFERROR((Tabla3[[#This Row],[Close]]-OFFSET(Tabla3[[#This Row],[Close]],-1,0))/OFFSET(Tabla3[[#This Row],[Close]],-1,0),"")</f>
        <v>-1.1180593601310979E-2</v>
      </c>
      <c r="K1698" s="2">
        <f ca="1">IFERROR(AVERAGE(OFFSET(Tabla3[[#This Row],[Close]],-6,0,7)),"")</f>
        <v>1645.4571358816927</v>
      </c>
      <c r="L1698" s="2">
        <f ca="1">IFERROR(_xlfn.STDEV.S(OFFSET(Tabla3[[#This Row],[Close]],-29,0,30)),"")</f>
        <v>26.385107964798223</v>
      </c>
    </row>
    <row r="1699" spans="1:12" x14ac:dyDescent="0.3">
      <c r="A1699" s="1">
        <v>44869</v>
      </c>
      <c r="B1699" s="3">
        <f>YEAR(Tabla3[[#This Row],[Date]])</f>
        <v>2022</v>
      </c>
      <c r="C1699" s="1" t="str">
        <f>+TEXT(Tabla3[[#This Row],[Date]],"mmm")</f>
        <v>nov</v>
      </c>
      <c r="D1699" s="2">
        <v>1672.5</v>
      </c>
      <c r="E1699" s="2">
        <v>1672.5</v>
      </c>
      <c r="F1699" s="2">
        <v>1674.5</v>
      </c>
      <c r="G1699" s="2">
        <v>1629</v>
      </c>
      <c r="H1699" s="2">
        <v>1630.19995117187</v>
      </c>
      <c r="I1699">
        <v>159</v>
      </c>
      <c r="J1699" s="2">
        <f ca="1">IFERROR((Tabla3[[#This Row],[Close]]-OFFSET(Tabla3[[#This Row],[Close]],-1,0))/OFFSET(Tabla3[[#This Row],[Close]],-1,0),"")</f>
        <v>2.777603995306839E-2</v>
      </c>
      <c r="K1699" s="2">
        <f ca="1">IFERROR(AVERAGE(OFFSET(Tabla3[[#This Row],[Close]],-6,0,7)),"")</f>
        <v>1646.6714215959785</v>
      </c>
      <c r="L1699" s="2">
        <f ca="1">IFERROR(_xlfn.STDEV.S(OFFSET(Tabla3[[#This Row],[Close]],-29,0,30)),"")</f>
        <v>26.356892529691457</v>
      </c>
    </row>
    <row r="1700" spans="1:12" x14ac:dyDescent="0.3">
      <c r="A1700" s="1">
        <v>44872</v>
      </c>
      <c r="B1700" s="3">
        <f>YEAR(Tabla3[[#This Row],[Date]])</f>
        <v>2022</v>
      </c>
      <c r="C1700" s="1" t="str">
        <f>+TEXT(Tabla3[[#This Row],[Date]],"mmm")</f>
        <v>nov</v>
      </c>
      <c r="D1700" s="2">
        <v>1676.5</v>
      </c>
      <c r="E1700" s="2">
        <v>1676.5</v>
      </c>
      <c r="F1700" s="2">
        <v>1677.90002441406</v>
      </c>
      <c r="G1700" s="2">
        <v>1672.90002441406</v>
      </c>
      <c r="H1700" s="2">
        <v>1676.90002441406</v>
      </c>
      <c r="I1700">
        <v>42</v>
      </c>
      <c r="J1700" s="2">
        <f ca="1">IFERROR((Tabla3[[#This Row],[Close]]-OFFSET(Tabla3[[#This Row],[Close]],-1,0))/OFFSET(Tabla3[[#This Row],[Close]],-1,0),"")</f>
        <v>2.391629297458894E-3</v>
      </c>
      <c r="K1700" s="2">
        <f ca="1">IFERROR(AVERAGE(OFFSET(Tabla3[[#This Row],[Close]],-6,0,7)),"")</f>
        <v>1648.9285714285686</v>
      </c>
      <c r="L1700" s="2">
        <f ca="1">IFERROR(_xlfn.STDEV.S(OFFSET(Tabla3[[#This Row],[Close]],-29,0,30)),"")</f>
        <v>25.570258011898137</v>
      </c>
    </row>
    <row r="1701" spans="1:12" x14ac:dyDescent="0.3">
      <c r="A1701" s="1">
        <v>44873</v>
      </c>
      <c r="B1701" s="3">
        <f>YEAR(Tabla3[[#This Row],[Date]])</f>
        <v>2022</v>
      </c>
      <c r="C1701" s="1" t="str">
        <f>+TEXT(Tabla3[[#This Row],[Date]],"mmm")</f>
        <v>nov</v>
      </c>
      <c r="D1701" s="2">
        <v>1712.09997558593</v>
      </c>
      <c r="E1701" s="2">
        <v>1712.09997558593</v>
      </c>
      <c r="F1701" s="2">
        <v>1712.09997558593</v>
      </c>
      <c r="G1701" s="2">
        <v>1703.19995117187</v>
      </c>
      <c r="H1701" s="2">
        <v>1703.19995117187</v>
      </c>
      <c r="I1701">
        <v>23</v>
      </c>
      <c r="J1701" s="2">
        <f ca="1">IFERROR((Tabla3[[#This Row],[Close]]-OFFSET(Tabla3[[#This Row],[Close]],-1,0))/OFFSET(Tabla3[[#This Row],[Close]],-1,0),"")</f>
        <v>2.1234700617912314E-2</v>
      </c>
      <c r="K1701" s="2">
        <f ca="1">IFERROR(AVERAGE(OFFSET(Tabla3[[#This Row],[Close]],-6,0,7)),"")</f>
        <v>1659.2857142857115</v>
      </c>
      <c r="L1701" s="2">
        <f ca="1">IFERROR(_xlfn.STDEV.S(OFFSET(Tabla3[[#This Row],[Close]],-29,0,30)),"")</f>
        <v>26.258514235663707</v>
      </c>
    </row>
    <row r="1702" spans="1:12" x14ac:dyDescent="0.3">
      <c r="A1702" s="1">
        <v>44874</v>
      </c>
      <c r="B1702" s="3">
        <f>YEAR(Tabla3[[#This Row],[Date]])</f>
        <v>2022</v>
      </c>
      <c r="C1702" s="1" t="str">
        <f>+TEXT(Tabla3[[#This Row],[Date]],"mmm")</f>
        <v>nov</v>
      </c>
      <c r="D1702" s="2">
        <v>1710.09997558593</v>
      </c>
      <c r="E1702" s="2">
        <v>1710.09997558593</v>
      </c>
      <c r="F1702" s="2">
        <v>1720.19995117187</v>
      </c>
      <c r="G1702" s="2">
        <v>1706</v>
      </c>
      <c r="H1702" s="2">
        <v>1707.40002441406</v>
      </c>
      <c r="I1702">
        <v>497</v>
      </c>
      <c r="J1702" s="2">
        <f ca="1">IFERROR((Tabla3[[#This Row],[Close]]-OFFSET(Tabla3[[#This Row],[Close]],-1,0))/OFFSET(Tabla3[[#This Row],[Close]],-1,0),"")</f>
        <v>-1.168156082307952E-3</v>
      </c>
      <c r="K1702" s="2">
        <f ca="1">IFERROR(AVERAGE(OFFSET(Tabla3[[#This Row],[Close]],-6,0,7)),"")</f>
        <v>1669.8857073102643</v>
      </c>
      <c r="L1702" s="2">
        <f ca="1">IFERROR(_xlfn.STDEV.S(OFFSET(Tabla3[[#This Row],[Close]],-29,0,30)),"")</f>
        <v>27.511428777202767</v>
      </c>
    </row>
    <row r="1703" spans="1:12" x14ac:dyDescent="0.3">
      <c r="A1703" s="1">
        <v>44875</v>
      </c>
      <c r="B1703" s="3">
        <f>YEAR(Tabla3[[#This Row],[Date]])</f>
        <v>2022</v>
      </c>
      <c r="C1703" s="1" t="str">
        <f>+TEXT(Tabla3[[#This Row],[Date]],"mmm")</f>
        <v>nov</v>
      </c>
      <c r="D1703" s="2">
        <v>1750.30004882812</v>
      </c>
      <c r="E1703" s="2">
        <v>1750.30004882812</v>
      </c>
      <c r="F1703" s="2">
        <v>1750.30004882812</v>
      </c>
      <c r="G1703" s="2">
        <v>1708.19995117187</v>
      </c>
      <c r="H1703" s="2">
        <v>1708.19995117187</v>
      </c>
      <c r="I1703">
        <v>325</v>
      </c>
      <c r="J1703" s="2">
        <f ca="1">IFERROR((Tabla3[[#This Row],[Close]]-OFFSET(Tabla3[[#This Row],[Close]],-1,0))/OFFSET(Tabla3[[#This Row],[Close]],-1,0),"")</f>
        <v>2.3507440393019295E-2</v>
      </c>
      <c r="K1703" s="2">
        <f ca="1">IFERROR(AVERAGE(OFFSET(Tabla3[[#This Row],[Close]],-6,0,7)),"")</f>
        <v>1684.928571428567</v>
      </c>
      <c r="L1703" s="2">
        <f ca="1">IFERROR(_xlfn.STDEV.S(OFFSET(Tabla3[[#This Row],[Close]],-29,0,30)),"")</f>
        <v>31.426487224354446</v>
      </c>
    </row>
    <row r="1704" spans="1:12" x14ac:dyDescent="0.3">
      <c r="A1704" s="1">
        <v>44876</v>
      </c>
      <c r="B1704" s="3">
        <f>YEAR(Tabla3[[#This Row],[Date]])</f>
        <v>2022</v>
      </c>
      <c r="C1704" s="1" t="str">
        <f>+TEXT(Tabla3[[#This Row],[Date]],"mmm")</f>
        <v>nov</v>
      </c>
      <c r="D1704" s="2">
        <v>1766</v>
      </c>
      <c r="E1704" s="2">
        <v>1766</v>
      </c>
      <c r="F1704" s="2">
        <v>1766</v>
      </c>
      <c r="G1704" s="2">
        <v>1757.59997558593</v>
      </c>
      <c r="H1704" s="2">
        <v>1763.80004882812</v>
      </c>
      <c r="I1704">
        <v>257</v>
      </c>
      <c r="J1704" s="2">
        <f ca="1">IFERROR((Tabla3[[#This Row],[Close]]-OFFSET(Tabla3[[#This Row],[Close]],-1,0))/OFFSET(Tabla3[[#This Row],[Close]],-1,0),"")</f>
        <v>8.9698627286170767E-3</v>
      </c>
      <c r="K1704" s="2">
        <f ca="1">IFERROR(AVERAGE(OFFSET(Tabla3[[#This Row],[Close]],-6,0,7)),"")</f>
        <v>1702.1142926897285</v>
      </c>
      <c r="L1704" s="2">
        <f ca="1">IFERROR(_xlfn.STDEV.S(OFFSET(Tabla3[[#This Row],[Close]],-29,0,30)),"")</f>
        <v>35.983055108403924</v>
      </c>
    </row>
    <row r="1705" spans="1:12" x14ac:dyDescent="0.3">
      <c r="A1705" s="1">
        <v>44879</v>
      </c>
      <c r="B1705" s="3">
        <f>YEAR(Tabla3[[#This Row],[Date]])</f>
        <v>2022</v>
      </c>
      <c r="C1705" s="1" t="str">
        <f>+TEXT(Tabla3[[#This Row],[Date]],"mmm")</f>
        <v>nov</v>
      </c>
      <c r="D1705" s="2">
        <v>1773.59997558593</v>
      </c>
      <c r="E1705" s="2">
        <v>1773.59997558593</v>
      </c>
      <c r="F1705" s="2">
        <v>1773.59997558593</v>
      </c>
      <c r="G1705" s="2">
        <v>1761.59997558593</v>
      </c>
      <c r="H1705" s="2">
        <v>1762</v>
      </c>
      <c r="I1705">
        <v>358</v>
      </c>
      <c r="J1705" s="2">
        <f ca="1">IFERROR((Tabla3[[#This Row],[Close]]-OFFSET(Tabla3[[#This Row],[Close]],-1,0))/OFFSET(Tabla3[[#This Row],[Close]],-1,0),"")</f>
        <v>4.3034969342751967E-3</v>
      </c>
      <c r="K1705" s="2">
        <f ca="1">IFERROR(AVERAGE(OFFSET(Tabla3[[#This Row],[Close]],-6,0,7)),"")</f>
        <v>1723.0142822265586</v>
      </c>
      <c r="L1705" s="2">
        <f ca="1">IFERROR(_xlfn.STDEV.S(OFFSET(Tabla3[[#This Row],[Close]],-29,0,30)),"")</f>
        <v>40.286093646339133</v>
      </c>
    </row>
    <row r="1706" spans="1:12" x14ac:dyDescent="0.3">
      <c r="A1706" s="1">
        <v>44880</v>
      </c>
      <c r="B1706" s="3">
        <f>YEAR(Tabla3[[#This Row],[Date]])</f>
        <v>2022</v>
      </c>
      <c r="C1706" s="1" t="str">
        <f>+TEXT(Tabla3[[#This Row],[Date]],"mmm")</f>
        <v>nov</v>
      </c>
      <c r="D1706" s="2">
        <v>1773.80004882812</v>
      </c>
      <c r="E1706" s="2">
        <v>1773.80004882812</v>
      </c>
      <c r="F1706" s="2">
        <v>1773.80004882812</v>
      </c>
      <c r="G1706" s="2">
        <v>1769.90002441406</v>
      </c>
      <c r="H1706" s="2">
        <v>1770.80004882812</v>
      </c>
      <c r="I1706">
        <v>57</v>
      </c>
      <c r="J1706" s="2">
        <f ca="1">IFERROR((Tabla3[[#This Row],[Close]]-OFFSET(Tabla3[[#This Row],[Close]],-1,0))/OFFSET(Tabla3[[#This Row],[Close]],-1,0),"")</f>
        <v>1.128062950744598E-4</v>
      </c>
      <c r="K1706" s="2">
        <f ca="1">IFERROR(AVERAGE(OFFSET(Tabla3[[#This Row],[Close]],-6,0,7)),"")</f>
        <v>1737.4857177734327</v>
      </c>
      <c r="L1706" s="2">
        <f ca="1">IFERROR(_xlfn.STDEV.S(OFFSET(Tabla3[[#This Row],[Close]],-29,0,30)),"")</f>
        <v>43.368400105966948</v>
      </c>
    </row>
    <row r="1707" spans="1:12" x14ac:dyDescent="0.3">
      <c r="A1707" s="1">
        <v>44881</v>
      </c>
      <c r="B1707" s="3">
        <f>YEAR(Tabla3[[#This Row],[Date]])</f>
        <v>2022</v>
      </c>
      <c r="C1707" s="1" t="str">
        <f>+TEXT(Tabla3[[#This Row],[Date]],"mmm")</f>
        <v>nov</v>
      </c>
      <c r="D1707" s="2">
        <v>1773</v>
      </c>
      <c r="E1707" s="2">
        <v>1773</v>
      </c>
      <c r="F1707" s="2">
        <v>1778.90002441406</v>
      </c>
      <c r="G1707" s="2">
        <v>1773</v>
      </c>
      <c r="H1707" s="2">
        <v>1776.59997558593</v>
      </c>
      <c r="I1707">
        <v>303</v>
      </c>
      <c r="J1707" s="2">
        <f ca="1">IFERROR((Tabla3[[#This Row],[Close]]-OFFSET(Tabla3[[#This Row],[Close]],-1,0))/OFFSET(Tabla3[[#This Row],[Close]],-1,0),"")</f>
        <v>-4.5103664792914999E-4</v>
      </c>
      <c r="K1707" s="2">
        <f ca="1">IFERROR(AVERAGE(OFFSET(Tabla3[[#This Row],[Close]],-6,0,7)),"")</f>
        <v>1751.2714320591472</v>
      </c>
      <c r="L1707" s="2">
        <f ca="1">IFERROR(_xlfn.STDEV.S(OFFSET(Tabla3[[#This Row],[Close]],-29,0,30)),"")</f>
        <v>46.38766636914427</v>
      </c>
    </row>
    <row r="1708" spans="1:12" x14ac:dyDescent="0.3">
      <c r="A1708" s="1">
        <v>44882</v>
      </c>
      <c r="B1708" s="3">
        <f>YEAR(Tabla3[[#This Row],[Date]])</f>
        <v>2022</v>
      </c>
      <c r="C1708" s="1" t="str">
        <f>+TEXT(Tabla3[[#This Row],[Date]],"mmm")</f>
        <v>nov</v>
      </c>
      <c r="D1708" s="2">
        <v>1760.80004882812</v>
      </c>
      <c r="E1708" s="2">
        <v>1760.80004882812</v>
      </c>
      <c r="F1708" s="2">
        <v>1763</v>
      </c>
      <c r="G1708" s="2">
        <v>1756</v>
      </c>
      <c r="H1708" s="2">
        <v>1763</v>
      </c>
      <c r="I1708">
        <v>18</v>
      </c>
      <c r="J1708" s="2">
        <f ca="1">IFERROR((Tabla3[[#This Row],[Close]]-OFFSET(Tabla3[[#This Row],[Close]],-1,0))/OFFSET(Tabla3[[#This Row],[Close]],-1,0),"")</f>
        <v>-6.8809651279639044E-3</v>
      </c>
      <c r="K1708" s="2">
        <f ca="1">IFERROR(AVERAGE(OFFSET(Tabla3[[#This Row],[Close]],-6,0,7)),"")</f>
        <v>1758.2285853794599</v>
      </c>
      <c r="L1708" s="2">
        <f ca="1">IFERROR(_xlfn.STDEV.S(OFFSET(Tabla3[[#This Row],[Close]],-29,0,30)),"")</f>
        <v>48.388290119751453</v>
      </c>
    </row>
    <row r="1709" spans="1:12" x14ac:dyDescent="0.3">
      <c r="A1709" s="1">
        <v>44883</v>
      </c>
      <c r="B1709" s="3">
        <f>YEAR(Tabla3[[#This Row],[Date]])</f>
        <v>2022</v>
      </c>
      <c r="C1709" s="1" t="str">
        <f>+TEXT(Tabla3[[#This Row],[Date]],"mmm")</f>
        <v>nov</v>
      </c>
      <c r="D1709" s="2">
        <v>1751.90002441406</v>
      </c>
      <c r="E1709" s="2">
        <v>1751.90002441406</v>
      </c>
      <c r="F1709" s="2">
        <v>1763.30004882812</v>
      </c>
      <c r="G1709" s="2">
        <v>1747.59997558593</v>
      </c>
      <c r="H1709" s="2">
        <v>1763.30004882812</v>
      </c>
      <c r="I1709">
        <v>414</v>
      </c>
      <c r="J1709" s="2">
        <f ca="1">IFERROR((Tabla3[[#This Row],[Close]]-OFFSET(Tabla3[[#This Row],[Close]],-1,0))/OFFSET(Tabla3[[#This Row],[Close]],-1,0),"")</f>
        <v>-5.0545343975787064E-3</v>
      </c>
      <c r="K1709" s="2">
        <f ca="1">IFERROR(AVERAGE(OFFSET(Tabla3[[#This Row],[Close]],-6,0,7)),"")</f>
        <v>1764.2000209263356</v>
      </c>
      <c r="L1709" s="2">
        <f ca="1">IFERROR(_xlfn.STDEV.S(OFFSET(Tabla3[[#This Row],[Close]],-29,0,30)),"")</f>
        <v>49.983559753866594</v>
      </c>
    </row>
    <row r="1710" spans="1:12" x14ac:dyDescent="0.3">
      <c r="A1710" s="1">
        <v>44886</v>
      </c>
      <c r="B1710" s="3">
        <f>YEAR(Tabla3[[#This Row],[Date]])</f>
        <v>2022</v>
      </c>
      <c r="C1710" s="1" t="str">
        <f>+TEXT(Tabla3[[#This Row],[Date]],"mmm")</f>
        <v>nov</v>
      </c>
      <c r="D1710" s="2">
        <v>1737.40002441406</v>
      </c>
      <c r="E1710" s="2">
        <v>1737.40002441406</v>
      </c>
      <c r="F1710" s="2">
        <v>1744.90002441406</v>
      </c>
      <c r="G1710" s="2">
        <v>1736.09997558593</v>
      </c>
      <c r="H1710" s="2">
        <v>1739</v>
      </c>
      <c r="I1710">
        <v>544</v>
      </c>
      <c r="J1710" s="2">
        <f ca="1">IFERROR((Tabla3[[#This Row],[Close]]-OFFSET(Tabla3[[#This Row],[Close]],-1,0))/OFFSET(Tabla3[[#This Row],[Close]],-1,0),"")</f>
        <v>-8.2767280084088506E-3</v>
      </c>
      <c r="K1710" s="2">
        <f ca="1">IFERROR(AVERAGE(OFFSET(Tabla3[[#This Row],[Close]],-6,0,7)),"")</f>
        <v>1762.3571602957559</v>
      </c>
      <c r="L1710" s="2">
        <f ca="1">IFERROR(_xlfn.STDEV.S(OFFSET(Tabla3[[#This Row],[Close]],-29,0,30)),"")</f>
        <v>50.865378090749438</v>
      </c>
    </row>
    <row r="1711" spans="1:12" x14ac:dyDescent="0.3">
      <c r="A1711" s="1">
        <v>44887</v>
      </c>
      <c r="B1711" s="3">
        <f>YEAR(Tabla3[[#This Row],[Date]])</f>
        <v>2022</v>
      </c>
      <c r="C1711" s="1" t="str">
        <f>+TEXT(Tabla3[[#This Row],[Date]],"mmm")</f>
        <v>nov</v>
      </c>
      <c r="D1711" s="2">
        <v>1738.30004882812</v>
      </c>
      <c r="E1711" s="2">
        <v>1738.30004882812</v>
      </c>
      <c r="F1711" s="2">
        <v>1741.69995117187</v>
      </c>
      <c r="G1711" s="2">
        <v>1738.30004882812</v>
      </c>
      <c r="H1711" s="2">
        <v>1741.69995117187</v>
      </c>
      <c r="I1711">
        <v>15</v>
      </c>
      <c r="J1711" s="2">
        <f ca="1">IFERROR((Tabla3[[#This Row],[Close]]-OFFSET(Tabla3[[#This Row],[Close]],-1,0))/OFFSET(Tabla3[[#This Row],[Close]],-1,0),"")</f>
        <v>5.1802947013514233E-4</v>
      </c>
      <c r="K1711" s="2">
        <f ca="1">IFERROR(AVERAGE(OFFSET(Tabla3[[#This Row],[Close]],-6,0,7)),"")</f>
        <v>1758.4000244140586</v>
      </c>
      <c r="L1711" s="2">
        <f ca="1">IFERROR(_xlfn.STDEV.S(OFFSET(Tabla3[[#This Row],[Close]],-29,0,30)),"")</f>
        <v>51.761858938125933</v>
      </c>
    </row>
    <row r="1712" spans="1:12" x14ac:dyDescent="0.3">
      <c r="A1712" s="1">
        <v>44888</v>
      </c>
      <c r="B1712" s="3">
        <f>YEAR(Tabla3[[#This Row],[Date]])</f>
        <v>2022</v>
      </c>
      <c r="C1712" s="1" t="str">
        <f>+TEXT(Tabla3[[#This Row],[Date]],"mmm")</f>
        <v>nov</v>
      </c>
      <c r="D1712" s="2">
        <v>1744.90002441406</v>
      </c>
      <c r="E1712" s="2">
        <v>1744.90002441406</v>
      </c>
      <c r="F1712" s="2">
        <v>1750.90002441406</v>
      </c>
      <c r="G1712" s="2">
        <v>1736.5</v>
      </c>
      <c r="H1712" s="2">
        <v>1736.5</v>
      </c>
      <c r="I1712">
        <v>39</v>
      </c>
      <c r="J1712" s="2">
        <f ca="1">IFERROR((Tabla3[[#This Row],[Close]]-OFFSET(Tabla3[[#This Row],[Close]],-1,0))/OFFSET(Tabla3[[#This Row],[Close]],-1,0),"")</f>
        <v>3.7967988267557109E-3</v>
      </c>
      <c r="K1712" s="2">
        <f ca="1">IFERROR(AVERAGE(OFFSET(Tabla3[[#This Row],[Close]],-6,0,7)),"")</f>
        <v>1754.3000313895059</v>
      </c>
      <c r="L1712" s="2">
        <f ca="1">IFERROR(_xlfn.STDEV.S(OFFSET(Tabla3[[#This Row],[Close]],-29,0,30)),"")</f>
        <v>52.709685553302059</v>
      </c>
    </row>
    <row r="1713" spans="1:12" x14ac:dyDescent="0.3">
      <c r="A1713" s="1">
        <v>44890</v>
      </c>
      <c r="B1713" s="3">
        <f>YEAR(Tabla3[[#This Row],[Date]])</f>
        <v>2022</v>
      </c>
      <c r="C1713" s="1" t="str">
        <f>+TEXT(Tabla3[[#This Row],[Date]],"mmm")</f>
        <v>nov</v>
      </c>
      <c r="D1713" s="2">
        <v>1753.30004882812</v>
      </c>
      <c r="E1713" s="2">
        <v>1753.30004882812</v>
      </c>
      <c r="F1713" s="2">
        <v>1757.90002441406</v>
      </c>
      <c r="G1713" s="2">
        <v>1749.19995117187</v>
      </c>
      <c r="H1713" s="2">
        <v>1753</v>
      </c>
      <c r="I1713">
        <v>216</v>
      </c>
      <c r="J1713" s="2">
        <f ca="1">IFERROR((Tabla3[[#This Row],[Close]]-OFFSET(Tabla3[[#This Row],[Close]],-1,0))/OFFSET(Tabla3[[#This Row],[Close]],-1,0),"")</f>
        <v>4.8140433815861399E-3</v>
      </c>
      <c r="K1713" s="2">
        <f ca="1">IFERROR(AVERAGE(OFFSET(Tabla3[[#This Row],[Close]],-6,0,7)),"")</f>
        <v>1751.3714599609343</v>
      </c>
      <c r="L1713" s="2">
        <f ca="1">IFERROR(_xlfn.STDEV.S(OFFSET(Tabla3[[#This Row],[Close]],-29,0,30)),"")</f>
        <v>53.824046580631716</v>
      </c>
    </row>
    <row r="1714" spans="1:12" x14ac:dyDescent="0.3">
      <c r="A1714" s="1">
        <v>44893</v>
      </c>
      <c r="B1714" s="3">
        <f>YEAR(Tabla3[[#This Row],[Date]])</f>
        <v>2022</v>
      </c>
      <c r="C1714" s="1" t="str">
        <f>+TEXT(Tabla3[[#This Row],[Date]],"mmm")</f>
        <v>nov</v>
      </c>
      <c r="D1714" s="2">
        <v>1740.09997558593</v>
      </c>
      <c r="E1714" s="2">
        <v>1740.09997558593</v>
      </c>
      <c r="F1714" s="2">
        <v>1741.30004882812</v>
      </c>
      <c r="G1714" s="2">
        <v>1740.09997558593</v>
      </c>
      <c r="H1714" s="2">
        <v>1741.30004882812</v>
      </c>
      <c r="I1714">
        <v>132767</v>
      </c>
      <c r="J1714" s="2">
        <f ca="1">IFERROR((Tabla3[[#This Row],[Close]]-OFFSET(Tabla3[[#This Row],[Close]],-1,0))/OFFSET(Tabla3[[#This Row],[Close]],-1,0),"")</f>
        <v>-7.5287018049265079E-3</v>
      </c>
      <c r="K1714" s="2">
        <f ca="1">IFERROR(AVERAGE(OFFSET(Tabla3[[#This Row],[Close]],-6,0,7)),"")</f>
        <v>1746.6714564732101</v>
      </c>
      <c r="L1714" s="2">
        <f ca="1">IFERROR(_xlfn.STDEV.S(OFFSET(Tabla3[[#This Row],[Close]],-29,0,30)),"")</f>
        <v>53.62741803847463</v>
      </c>
    </row>
    <row r="1715" spans="1:12" x14ac:dyDescent="0.3">
      <c r="A1715" s="1">
        <v>44894</v>
      </c>
      <c r="B1715" s="3">
        <f>YEAR(Tabla3[[#This Row],[Date]])</f>
        <v>2022</v>
      </c>
      <c r="C1715" s="1" t="str">
        <f>+TEXT(Tabla3[[#This Row],[Date]],"mmm")</f>
        <v>nov</v>
      </c>
      <c r="D1715" s="2">
        <v>1748.40002441406</v>
      </c>
      <c r="E1715" s="2">
        <v>1748.40002441406</v>
      </c>
      <c r="F1715" s="2">
        <v>1758.19995117187</v>
      </c>
      <c r="G1715" s="2">
        <v>1737.90002441406</v>
      </c>
      <c r="H1715" s="2">
        <v>1739.5</v>
      </c>
      <c r="I1715">
        <v>19416</v>
      </c>
      <c r="J1715" s="2">
        <f ca="1">IFERROR((Tabla3[[#This Row],[Close]]-OFFSET(Tabla3[[#This Row],[Close]],-1,0))/OFFSET(Tabla3[[#This Row],[Close]],-1,0),"")</f>
        <v>4.7698689411998828E-3</v>
      </c>
      <c r="K1715" s="2">
        <f ca="1">IFERROR(AVERAGE(OFFSET(Tabla3[[#This Row],[Close]],-6,0,7)),"")</f>
        <v>1744.9000244140586</v>
      </c>
      <c r="L1715" s="2">
        <f ca="1">IFERROR(_xlfn.STDEV.S(OFFSET(Tabla3[[#This Row],[Close]],-29,0,30)),"")</f>
        <v>53.951052343432707</v>
      </c>
    </row>
    <row r="1716" spans="1:12" x14ac:dyDescent="0.3">
      <c r="A1716" s="1">
        <v>44895</v>
      </c>
      <c r="B1716" s="3">
        <f>YEAR(Tabla3[[#This Row],[Date]])</f>
        <v>2022</v>
      </c>
      <c r="C1716" s="1" t="str">
        <f>+TEXT(Tabla3[[#This Row],[Date]],"mmm")</f>
        <v>nov</v>
      </c>
      <c r="D1716" s="2">
        <v>1746</v>
      </c>
      <c r="E1716" s="2">
        <v>1746</v>
      </c>
      <c r="F1716" s="2">
        <v>1769.40002441406</v>
      </c>
      <c r="G1716" s="2">
        <v>1745.09997558593</v>
      </c>
      <c r="H1716" s="2">
        <v>1748.09997558593</v>
      </c>
      <c r="I1716">
        <v>3339</v>
      </c>
      <c r="J1716" s="2">
        <f ca="1">IFERROR((Tabla3[[#This Row],[Close]]-OFFSET(Tabla3[[#This Row],[Close]],-1,0))/OFFSET(Tabla3[[#This Row],[Close]],-1,0),"")</f>
        <v>-1.3726975409213446E-3</v>
      </c>
      <c r="K1716" s="2">
        <f ca="1">IFERROR(AVERAGE(OFFSET(Tabla3[[#This Row],[Close]],-6,0,7)),"")</f>
        <v>1744.0571637834787</v>
      </c>
      <c r="L1716" s="2">
        <f ca="1">IFERROR(_xlfn.STDEV.S(OFFSET(Tabla3[[#This Row],[Close]],-29,0,30)),"")</f>
        <v>53.776142161628272</v>
      </c>
    </row>
    <row r="1717" spans="1:12" x14ac:dyDescent="0.3">
      <c r="A1717" s="1">
        <v>44896</v>
      </c>
      <c r="B1717" s="3">
        <f>YEAR(Tabla3[[#This Row],[Date]])</f>
        <v>2022</v>
      </c>
      <c r="C1717" s="1" t="str">
        <f>+TEXT(Tabla3[[#This Row],[Date]],"mmm")</f>
        <v>dic</v>
      </c>
      <c r="D1717" s="2">
        <v>1801.09997558593</v>
      </c>
      <c r="E1717" s="2">
        <v>1801.09997558593</v>
      </c>
      <c r="F1717" s="2">
        <v>1803.69995117187</v>
      </c>
      <c r="G1717" s="2">
        <v>1768.69995117187</v>
      </c>
      <c r="H1717" s="2">
        <v>1768.69995117187</v>
      </c>
      <c r="I1717">
        <v>1053</v>
      </c>
      <c r="J1717" s="2">
        <f ca="1">IFERROR((Tabla3[[#This Row],[Close]]-OFFSET(Tabla3[[#This Row],[Close]],-1,0))/OFFSET(Tabla3[[#This Row],[Close]],-1,0),"")</f>
        <v>3.1557832523442152E-2</v>
      </c>
      <c r="K1717" s="2">
        <f ca="1">IFERROR(AVERAGE(OFFSET(Tabla3[[#This Row],[Close]],-6,0,7)),"")</f>
        <v>1753.1571568080315</v>
      </c>
      <c r="L1717" s="2">
        <f ca="1">IFERROR(_xlfn.STDEV.S(OFFSET(Tabla3[[#This Row],[Close]],-29,0,30)),"")</f>
        <v>54.820542479950277</v>
      </c>
    </row>
    <row r="1718" spans="1:12" x14ac:dyDescent="0.3">
      <c r="A1718" s="1">
        <v>44897</v>
      </c>
      <c r="B1718" s="3">
        <f>YEAR(Tabla3[[#This Row],[Date]])</f>
        <v>2022</v>
      </c>
      <c r="C1718" s="1" t="str">
        <f>+TEXT(Tabla3[[#This Row],[Date]],"mmm")</f>
        <v>dic</v>
      </c>
      <c r="D1718" s="2">
        <v>1795.90002441406</v>
      </c>
      <c r="E1718" s="2">
        <v>1795.90002441406</v>
      </c>
      <c r="F1718" s="2">
        <v>1802.30004882812</v>
      </c>
      <c r="G1718" s="2">
        <v>1779.40002441406</v>
      </c>
      <c r="H1718" s="2">
        <v>1802</v>
      </c>
      <c r="I1718">
        <v>1725</v>
      </c>
      <c r="J1718" s="2">
        <f ca="1">IFERROR((Tabla3[[#This Row],[Close]]-OFFSET(Tabla3[[#This Row],[Close]],-1,0))/OFFSET(Tabla3[[#This Row],[Close]],-1,0),"")</f>
        <v>-2.8870974639696838E-3</v>
      </c>
      <c r="K1718" s="2">
        <f ca="1">IFERROR(AVERAGE(OFFSET(Tabla3[[#This Row],[Close]],-6,0,7)),"")</f>
        <v>1761.38572474888</v>
      </c>
      <c r="L1718" s="2">
        <f ca="1">IFERROR(_xlfn.STDEV.S(OFFSET(Tabla3[[#This Row],[Close]],-29,0,30)),"")</f>
        <v>55.118649384882112</v>
      </c>
    </row>
    <row r="1719" spans="1:12" x14ac:dyDescent="0.3">
      <c r="A1719" s="1">
        <v>44900</v>
      </c>
      <c r="B1719" s="3">
        <f>YEAR(Tabla3[[#This Row],[Date]])</f>
        <v>2022</v>
      </c>
      <c r="C1719" s="1" t="str">
        <f>+TEXT(Tabla3[[#This Row],[Date]],"mmm")</f>
        <v>dic</v>
      </c>
      <c r="D1719" s="2">
        <v>1767.40002441406</v>
      </c>
      <c r="E1719" s="2">
        <v>1767.40002441406</v>
      </c>
      <c r="F1719" s="2">
        <v>1808</v>
      </c>
      <c r="G1719" s="2">
        <v>1764.30004882812</v>
      </c>
      <c r="H1719" s="2">
        <v>1795.69995117187</v>
      </c>
      <c r="I1719">
        <v>1713</v>
      </c>
      <c r="J1719" s="2">
        <f ca="1">IFERROR((Tabla3[[#This Row],[Close]]-OFFSET(Tabla3[[#This Row],[Close]],-1,0))/OFFSET(Tabla3[[#This Row],[Close]],-1,0),"")</f>
        <v>-1.5869480267588148E-2</v>
      </c>
      <c r="K1719" s="2">
        <f ca="1">IFERROR(AVERAGE(OFFSET(Tabla3[[#This Row],[Close]],-6,0,7)),"")</f>
        <v>1764.6000104631657</v>
      </c>
      <c r="L1719" s="2">
        <f ca="1">IFERROR(_xlfn.STDEV.S(OFFSET(Tabla3[[#This Row],[Close]],-29,0,30)),"")</f>
        <v>54.682669741178508</v>
      </c>
    </row>
    <row r="1720" spans="1:12" x14ac:dyDescent="0.3">
      <c r="A1720" s="1">
        <v>44901</v>
      </c>
      <c r="B1720" s="3">
        <f>YEAR(Tabla3[[#This Row],[Date]])</f>
        <v>2022</v>
      </c>
      <c r="C1720" s="1" t="str">
        <f>+TEXT(Tabla3[[#This Row],[Date]],"mmm")</f>
        <v>dic</v>
      </c>
      <c r="D1720" s="2">
        <v>1769.30004882812</v>
      </c>
      <c r="E1720" s="2">
        <v>1769.30004882812</v>
      </c>
      <c r="F1720" s="2">
        <v>1779.40002441406</v>
      </c>
      <c r="G1720" s="2">
        <v>1767.90002441406</v>
      </c>
      <c r="H1720" s="2">
        <v>1768.59997558593</v>
      </c>
      <c r="I1720">
        <v>105</v>
      </c>
      <c r="J1720" s="2">
        <f ca="1">IFERROR((Tabla3[[#This Row],[Close]]-OFFSET(Tabla3[[#This Row],[Close]],-1,0))/OFFSET(Tabla3[[#This Row],[Close]],-1,0),"")</f>
        <v>1.0750392598245591E-3</v>
      </c>
      <c r="K1720" s="2">
        <f ca="1">IFERROR(AVERAGE(OFFSET(Tabla3[[#This Row],[Close]],-6,0,7)),"")</f>
        <v>1766.88572474888</v>
      </c>
      <c r="L1720" s="2">
        <f ca="1">IFERROR(_xlfn.STDEV.S(OFFSET(Tabla3[[#This Row],[Close]],-29,0,30)),"")</f>
        <v>53.908062411601001</v>
      </c>
    </row>
    <row r="1721" spans="1:12" x14ac:dyDescent="0.3">
      <c r="A1721" s="1">
        <v>44902</v>
      </c>
      <c r="B1721" s="3">
        <f>YEAR(Tabla3[[#This Row],[Date]])</f>
        <v>2022</v>
      </c>
      <c r="C1721" s="1" t="str">
        <f>+TEXT(Tabla3[[#This Row],[Date]],"mmm")</f>
        <v>dic</v>
      </c>
      <c r="D1721" s="2">
        <v>1785.5</v>
      </c>
      <c r="E1721" s="2">
        <v>1785.5</v>
      </c>
      <c r="F1721" s="2">
        <v>1790.30004882812</v>
      </c>
      <c r="G1721" s="2">
        <v>1769.30004882812</v>
      </c>
      <c r="H1721" s="2">
        <v>1769.30004882812</v>
      </c>
      <c r="I1721">
        <v>422</v>
      </c>
      <c r="J1721" s="2">
        <f ca="1">IFERROR((Tabla3[[#This Row],[Close]]-OFFSET(Tabla3[[#This Row],[Close]],-1,0))/OFFSET(Tabla3[[#This Row],[Close]],-1,0),"")</f>
        <v>9.1561356043650677E-3</v>
      </c>
      <c r="K1721" s="2">
        <f ca="1">IFERROR(AVERAGE(OFFSET(Tabla3[[#This Row],[Close]],-6,0,7)),"")</f>
        <v>1773.3714425223186</v>
      </c>
      <c r="L1721" s="2">
        <f ca="1">IFERROR(_xlfn.STDEV.S(OFFSET(Tabla3[[#This Row],[Close]],-29,0,30)),"")</f>
        <v>53.551651474133401</v>
      </c>
    </row>
    <row r="1722" spans="1:12" x14ac:dyDescent="0.3">
      <c r="A1722" s="1">
        <v>44903</v>
      </c>
      <c r="B1722" s="3">
        <f>YEAR(Tabla3[[#This Row],[Date]])</f>
        <v>2022</v>
      </c>
      <c r="C1722" s="1" t="str">
        <f>+TEXT(Tabla3[[#This Row],[Date]],"mmm")</f>
        <v>dic</v>
      </c>
      <c r="D1722" s="2">
        <v>1788.69995117187</v>
      </c>
      <c r="E1722" s="2">
        <v>1788.69995117187</v>
      </c>
      <c r="F1722" s="2">
        <v>1790.90002441406</v>
      </c>
      <c r="G1722" s="2">
        <v>1782</v>
      </c>
      <c r="H1722" s="2">
        <v>1782</v>
      </c>
      <c r="I1722">
        <v>713</v>
      </c>
      <c r="J1722" s="2">
        <f ca="1">IFERROR((Tabla3[[#This Row],[Close]]-OFFSET(Tabla3[[#This Row],[Close]],-1,0))/OFFSET(Tabla3[[#This Row],[Close]],-1,0),"")</f>
        <v>1.7921877187734516E-3</v>
      </c>
      <c r="K1722" s="2">
        <f ca="1">IFERROR(AVERAGE(OFFSET(Tabla3[[#This Row],[Close]],-6,0,7)),"")</f>
        <v>1779.1285749162912</v>
      </c>
      <c r="L1722" s="2">
        <f ca="1">IFERROR(_xlfn.STDEV.S(OFFSET(Tabla3[[#This Row],[Close]],-29,0,30)),"")</f>
        <v>53.449173052094686</v>
      </c>
    </row>
    <row r="1723" spans="1:12" x14ac:dyDescent="0.3">
      <c r="A1723" s="1">
        <v>44904</v>
      </c>
      <c r="B1723" s="3">
        <f>YEAR(Tabla3[[#This Row],[Date]])</f>
        <v>2022</v>
      </c>
      <c r="C1723" s="1" t="str">
        <f>+TEXT(Tabla3[[#This Row],[Date]],"mmm")</f>
        <v>dic</v>
      </c>
      <c r="D1723" s="2">
        <v>1798.09997558593</v>
      </c>
      <c r="E1723" s="2">
        <v>1798.09997558593</v>
      </c>
      <c r="F1723" s="2">
        <v>1804.30004882812</v>
      </c>
      <c r="G1723" s="2">
        <v>1791.09997558593</v>
      </c>
      <c r="H1723" s="2">
        <v>1794.90002441406</v>
      </c>
      <c r="I1723">
        <v>125</v>
      </c>
      <c r="J1723" s="2">
        <f ca="1">IFERROR((Tabla3[[#This Row],[Close]]-OFFSET(Tabla3[[#This Row],[Close]],-1,0))/OFFSET(Tabla3[[#This Row],[Close]],-1,0),"")</f>
        <v>5.2552270759003237E-3</v>
      </c>
      <c r="K1723" s="2">
        <f ca="1">IFERROR(AVERAGE(OFFSET(Tabla3[[#This Row],[Close]],-6,0,7)),"")</f>
        <v>1786.5714285714241</v>
      </c>
      <c r="L1723" s="2">
        <f ca="1">IFERROR(_xlfn.STDEV.S(OFFSET(Tabla3[[#This Row],[Close]],-29,0,30)),"")</f>
        <v>53.218789974455667</v>
      </c>
    </row>
    <row r="1724" spans="1:12" x14ac:dyDescent="0.3">
      <c r="A1724" s="1">
        <v>44907</v>
      </c>
      <c r="B1724" s="3">
        <f>YEAR(Tabla3[[#This Row],[Date]])</f>
        <v>2022</v>
      </c>
      <c r="C1724" s="1" t="str">
        <f>+TEXT(Tabla3[[#This Row],[Date]],"mmm")</f>
        <v>dic</v>
      </c>
      <c r="D1724" s="2">
        <v>1780.5</v>
      </c>
      <c r="E1724" s="2">
        <v>1780.5</v>
      </c>
      <c r="F1724" s="2">
        <v>1793.90002441406</v>
      </c>
      <c r="G1724" s="2">
        <v>1777.69995117187</v>
      </c>
      <c r="H1724" s="2">
        <v>1787.30004882812</v>
      </c>
      <c r="I1724">
        <v>85</v>
      </c>
      <c r="J1724" s="2">
        <f ca="1">IFERROR((Tabla3[[#This Row],[Close]]-OFFSET(Tabla3[[#This Row],[Close]],-1,0))/OFFSET(Tabla3[[#This Row],[Close]],-1,0),"")</f>
        <v>-9.7880962265153564E-3</v>
      </c>
      <c r="K1724" s="2">
        <f ca="1">IFERROR(AVERAGE(OFFSET(Tabla3[[#This Row],[Close]],-6,0,7)),"")</f>
        <v>1783.6285749162914</v>
      </c>
      <c r="L1724" s="2">
        <f ca="1">IFERROR(_xlfn.STDEV.S(OFFSET(Tabla3[[#This Row],[Close]],-29,0,30)),"")</f>
        <v>50.734001307532999</v>
      </c>
    </row>
    <row r="1725" spans="1:12" x14ac:dyDescent="0.3">
      <c r="A1725" s="1">
        <v>44908</v>
      </c>
      <c r="B1725" s="3">
        <f>YEAR(Tabla3[[#This Row],[Date]])</f>
        <v>2022</v>
      </c>
      <c r="C1725" s="1" t="str">
        <f>+TEXT(Tabla3[[#This Row],[Date]],"mmm")</f>
        <v>dic</v>
      </c>
      <c r="D1725" s="2">
        <v>1813.90002441406</v>
      </c>
      <c r="E1725" s="2">
        <v>1813.90002441406</v>
      </c>
      <c r="F1725" s="2">
        <v>1819.80004882812</v>
      </c>
      <c r="G1725" s="2">
        <v>1780.5</v>
      </c>
      <c r="H1725" s="2">
        <v>1780.69995117187</v>
      </c>
      <c r="I1725">
        <v>205</v>
      </c>
      <c r="J1725" s="2">
        <f ca="1">IFERROR((Tabla3[[#This Row],[Close]]-OFFSET(Tabla3[[#This Row],[Close]],-1,0))/OFFSET(Tabla3[[#This Row],[Close]],-1,0),"")</f>
        <v>1.8758789336736872E-2</v>
      </c>
      <c r="K1725" s="2">
        <f ca="1">IFERROR(AVERAGE(OFFSET(Tabla3[[#This Row],[Close]],-6,0,7)),"")</f>
        <v>1786.2000034877201</v>
      </c>
      <c r="L1725" s="2">
        <f ca="1">IFERROR(_xlfn.STDEV.S(OFFSET(Tabla3[[#This Row],[Close]],-29,0,30)),"")</f>
        <v>48.627940011370647</v>
      </c>
    </row>
    <row r="1726" spans="1:12" x14ac:dyDescent="0.3">
      <c r="A1726" s="1">
        <v>44909</v>
      </c>
      <c r="B1726" s="3">
        <f>YEAR(Tabla3[[#This Row],[Date]])</f>
        <v>2022</v>
      </c>
      <c r="C1726" s="1" t="str">
        <f>+TEXT(Tabla3[[#This Row],[Date]],"mmm")</f>
        <v>dic</v>
      </c>
      <c r="D1726" s="2">
        <v>1807.5</v>
      </c>
      <c r="E1726" s="2">
        <v>1807.5</v>
      </c>
      <c r="F1726" s="2">
        <v>1812.80004882812</v>
      </c>
      <c r="G1726" s="2">
        <v>1797.90002441406</v>
      </c>
      <c r="H1726" s="2">
        <v>1810.80004882812</v>
      </c>
      <c r="I1726">
        <v>1074</v>
      </c>
      <c r="J1726" s="2">
        <f ca="1">IFERROR((Tabla3[[#This Row],[Close]]-OFFSET(Tabla3[[#This Row],[Close]],-1,0))/OFFSET(Tabla3[[#This Row],[Close]],-1,0),"")</f>
        <v>-3.5283225800316004E-3</v>
      </c>
      <c r="K1726" s="2">
        <f ca="1">IFERROR(AVERAGE(OFFSET(Tabla3[[#This Row],[Close]],-6,0,7)),"")</f>
        <v>1791.9285714285686</v>
      </c>
      <c r="L1726" s="2">
        <f ca="1">IFERROR(_xlfn.STDEV.S(OFFSET(Tabla3[[#This Row],[Close]],-29,0,30)),"")</f>
        <v>46.09952702529695</v>
      </c>
    </row>
    <row r="1727" spans="1:12" x14ac:dyDescent="0.3">
      <c r="A1727" s="1">
        <v>44910</v>
      </c>
      <c r="B1727" s="3">
        <f>YEAR(Tabla3[[#This Row],[Date]])</f>
        <v>2022</v>
      </c>
      <c r="C1727" s="1" t="str">
        <f>+TEXT(Tabla3[[#This Row],[Date]],"mmm")</f>
        <v>dic</v>
      </c>
      <c r="D1727" s="2">
        <v>1777.19995117187</v>
      </c>
      <c r="E1727" s="2">
        <v>1777.19995117187</v>
      </c>
      <c r="F1727" s="2">
        <v>1801</v>
      </c>
      <c r="G1727" s="2">
        <v>1774.80004882812</v>
      </c>
      <c r="H1727" s="2">
        <v>1801</v>
      </c>
      <c r="I1727">
        <v>421</v>
      </c>
      <c r="J1727" s="2">
        <f ca="1">IFERROR((Tabla3[[#This Row],[Close]]-OFFSET(Tabla3[[#This Row],[Close]],-1,0))/OFFSET(Tabla3[[#This Row],[Close]],-1,0),"")</f>
        <v>-1.676351249135823E-2</v>
      </c>
      <c r="K1727" s="2">
        <f ca="1">IFERROR(AVERAGE(OFFSET(Tabla3[[#This Row],[Close]],-6,0,7)),"")</f>
        <v>1793.057128906247</v>
      </c>
      <c r="L1727" s="2">
        <f ca="1">IFERROR(_xlfn.STDEV.S(OFFSET(Tabla3[[#This Row],[Close]],-29,0,30)),"")</f>
        <v>41.865120795431658</v>
      </c>
    </row>
    <row r="1728" spans="1:12" x14ac:dyDescent="0.3">
      <c r="A1728" s="1">
        <v>44911</v>
      </c>
      <c r="B1728" s="3">
        <f>YEAR(Tabla3[[#This Row],[Date]])</f>
        <v>2022</v>
      </c>
      <c r="C1728" s="1" t="str">
        <f>+TEXT(Tabla3[[#This Row],[Date]],"mmm")</f>
        <v>dic</v>
      </c>
      <c r="D1728" s="2">
        <v>1790</v>
      </c>
      <c r="E1728" s="2">
        <v>1790</v>
      </c>
      <c r="F1728" s="2">
        <v>1791.40002441406</v>
      </c>
      <c r="G1728" s="2">
        <v>1777.90002441406</v>
      </c>
      <c r="H1728" s="2">
        <v>1777.90002441406</v>
      </c>
      <c r="I1728">
        <v>206</v>
      </c>
      <c r="J1728" s="2">
        <f ca="1">IFERROR((Tabla3[[#This Row],[Close]]-OFFSET(Tabla3[[#This Row],[Close]],-1,0))/OFFSET(Tabla3[[#This Row],[Close]],-1,0),"")</f>
        <v>7.2023684333829534E-3</v>
      </c>
      <c r="K1728" s="2">
        <f ca="1">IFERROR(AVERAGE(OFFSET(Tabla3[[#This Row],[Close]],-6,0,7)),"")</f>
        <v>1793.6999860491044</v>
      </c>
      <c r="L1728" s="2">
        <f ca="1">IFERROR(_xlfn.STDEV.S(OFFSET(Tabla3[[#This Row],[Close]],-29,0,30)),"")</f>
        <v>34.718864442275631</v>
      </c>
    </row>
    <row r="1729" spans="1:12" x14ac:dyDescent="0.3">
      <c r="A1729" s="1">
        <v>44914</v>
      </c>
      <c r="B1729" s="3">
        <f>YEAR(Tabla3[[#This Row],[Date]])</f>
        <v>2022</v>
      </c>
      <c r="C1729" s="1" t="str">
        <f>+TEXT(Tabla3[[#This Row],[Date]],"mmm")</f>
        <v>dic</v>
      </c>
      <c r="D1729" s="2">
        <v>1787.69995117187</v>
      </c>
      <c r="E1729" s="2">
        <v>1787.69995117187</v>
      </c>
      <c r="F1729" s="2">
        <v>1796.30004882812</v>
      </c>
      <c r="G1729" s="2">
        <v>1785.59997558593</v>
      </c>
      <c r="H1729" s="2">
        <v>1791.59997558593</v>
      </c>
      <c r="I1729">
        <v>79</v>
      </c>
      <c r="J1729" s="2">
        <f ca="1">IFERROR((Tabla3[[#This Row],[Close]]-OFFSET(Tabla3[[#This Row],[Close]],-1,0))/OFFSET(Tabla3[[#This Row],[Close]],-1,0),"")</f>
        <v>-1.2849434794022358E-3</v>
      </c>
      <c r="K1729" s="2">
        <f ca="1">IFERROR(AVERAGE(OFFSET(Tabla3[[#This Row],[Close]],-6,0,7)),"")</f>
        <v>1793.557128906247</v>
      </c>
      <c r="L1729" s="2">
        <f ca="1">IFERROR(_xlfn.STDEV.S(OFFSET(Tabla3[[#This Row],[Close]],-29,0,30)),"")</f>
        <v>30.846542807707397</v>
      </c>
    </row>
    <row r="1730" spans="1:12" x14ac:dyDescent="0.3">
      <c r="A1730" s="1">
        <v>44915</v>
      </c>
      <c r="B1730" s="3">
        <f>YEAR(Tabla3[[#This Row],[Date]])</f>
        <v>2022</v>
      </c>
      <c r="C1730" s="1" t="str">
        <f>+TEXT(Tabla3[[#This Row],[Date]],"mmm")</f>
        <v>dic</v>
      </c>
      <c r="D1730" s="2">
        <v>1815.90002441406</v>
      </c>
      <c r="E1730" s="2">
        <v>1815.90002441406</v>
      </c>
      <c r="F1730" s="2">
        <v>1821.40002441406</v>
      </c>
      <c r="G1730" s="2">
        <v>1786.5</v>
      </c>
      <c r="H1730" s="2">
        <v>1786.5</v>
      </c>
      <c r="I1730">
        <v>51</v>
      </c>
      <c r="J1730" s="2">
        <f ca="1">IFERROR((Tabla3[[#This Row],[Close]]-OFFSET(Tabla3[[#This Row],[Close]],-1,0))/OFFSET(Tabla3[[#This Row],[Close]],-1,0),"")</f>
        <v>1.5774500202734992E-2</v>
      </c>
      <c r="K1730" s="2">
        <f ca="1">IFERROR(AVERAGE(OFFSET(Tabla3[[#This Row],[Close]],-6,0,7)),"")</f>
        <v>1796.0999930245514</v>
      </c>
      <c r="L1730" s="2">
        <f ca="1">IFERROR(_xlfn.STDEV.S(OFFSET(Tabla3[[#This Row],[Close]],-29,0,30)),"")</f>
        <v>27.536738852729936</v>
      </c>
    </row>
    <row r="1731" spans="1:12" x14ac:dyDescent="0.3">
      <c r="A1731" s="1">
        <v>44916</v>
      </c>
      <c r="B1731" s="3">
        <f>YEAR(Tabla3[[#This Row],[Date]])</f>
        <v>2022</v>
      </c>
      <c r="C1731" s="1" t="str">
        <f>+TEXT(Tabla3[[#This Row],[Date]],"mmm")</f>
        <v>dic</v>
      </c>
      <c r="D1731" s="2">
        <v>1815.90002441406</v>
      </c>
      <c r="E1731" s="2">
        <v>1815.90002441406</v>
      </c>
      <c r="F1731" s="2">
        <v>1821.40002441406</v>
      </c>
      <c r="G1731" s="2">
        <v>1814.40002441406</v>
      </c>
      <c r="H1731" s="2">
        <v>1817.40002441406</v>
      </c>
      <c r="I1731">
        <v>35</v>
      </c>
      <c r="J1731" s="2">
        <f ca="1">IFERROR((Tabla3[[#This Row],[Close]]-OFFSET(Tabla3[[#This Row],[Close]],-1,0))/OFFSET(Tabla3[[#This Row],[Close]],-1,0),"")</f>
        <v>0</v>
      </c>
      <c r="K1731" s="2">
        <f ca="1">IFERROR(AVERAGE(OFFSET(Tabla3[[#This Row],[Close]],-6,0,7)),"")</f>
        <v>1801.1571393694173</v>
      </c>
      <c r="L1731" s="2">
        <f ca="1">IFERROR(_xlfn.STDEV.S(OFFSET(Tabla3[[#This Row],[Close]],-29,0,30)),"")</f>
        <v>26.698142432934418</v>
      </c>
    </row>
    <row r="1732" spans="1:12" x14ac:dyDescent="0.3">
      <c r="A1732" s="1">
        <v>44917</v>
      </c>
      <c r="B1732" s="3">
        <f>YEAR(Tabla3[[#This Row],[Date]])</f>
        <v>2022</v>
      </c>
      <c r="C1732" s="1" t="str">
        <f>+TEXT(Tabla3[[#This Row],[Date]],"mmm")</f>
        <v>dic</v>
      </c>
      <c r="D1732" s="2">
        <v>1787</v>
      </c>
      <c r="E1732" s="2">
        <v>1787</v>
      </c>
      <c r="F1732" s="2">
        <v>1818.09997558593</v>
      </c>
      <c r="G1732" s="2">
        <v>1785</v>
      </c>
      <c r="H1732" s="2">
        <v>1818.09997558593</v>
      </c>
      <c r="I1732">
        <v>411</v>
      </c>
      <c r="J1732" s="2">
        <f ca="1">IFERROR((Tabla3[[#This Row],[Close]]-OFFSET(Tabla3[[#This Row],[Close]],-1,0))/OFFSET(Tabla3[[#This Row],[Close]],-1,0),"")</f>
        <v>-1.5914986522116065E-2</v>
      </c>
      <c r="K1732" s="2">
        <f ca="1">IFERROR(AVERAGE(OFFSET(Tabla3[[#This Row],[Close]],-6,0,7)),"")</f>
        <v>1797.3142787388372</v>
      </c>
      <c r="L1732" s="2">
        <f ca="1">IFERROR(_xlfn.STDEV.S(OFFSET(Tabla3[[#This Row],[Close]],-29,0,30)),"")</f>
        <v>24.107791034540156</v>
      </c>
    </row>
    <row r="1733" spans="1:12" x14ac:dyDescent="0.3">
      <c r="A1733" s="1">
        <v>44918</v>
      </c>
      <c r="B1733" s="3">
        <f>YEAR(Tabla3[[#This Row],[Date]])</f>
        <v>2022</v>
      </c>
      <c r="C1733" s="1" t="str">
        <f>+TEXT(Tabla3[[#This Row],[Date]],"mmm")</f>
        <v>dic</v>
      </c>
      <c r="D1733" s="2">
        <v>1795.90002441406</v>
      </c>
      <c r="E1733" s="2">
        <v>1795.90002441406</v>
      </c>
      <c r="F1733" s="2">
        <v>1802.80004882812</v>
      </c>
      <c r="G1733" s="2">
        <v>1794.09997558593</v>
      </c>
      <c r="H1733" s="2">
        <v>1794.30004882812</v>
      </c>
      <c r="I1733">
        <v>49</v>
      </c>
      <c r="J1733" s="2">
        <f ca="1">IFERROR((Tabla3[[#This Row],[Close]]-OFFSET(Tabla3[[#This Row],[Close]],-1,0))/OFFSET(Tabla3[[#This Row],[Close]],-1,0),"")</f>
        <v>4.980427763883603E-3</v>
      </c>
      <c r="K1733" s="2">
        <f ca="1">IFERROR(AVERAGE(OFFSET(Tabla3[[#This Row],[Close]],-6,0,7)),"")</f>
        <v>1795.6571393694173</v>
      </c>
      <c r="L1733" s="2">
        <f ca="1">IFERROR(_xlfn.STDEV.S(OFFSET(Tabla3[[#This Row],[Close]],-29,0,30)),"")</f>
        <v>23.956869824290653</v>
      </c>
    </row>
    <row r="1734" spans="1:12" x14ac:dyDescent="0.3">
      <c r="A1734" s="1">
        <v>44922</v>
      </c>
      <c r="B1734" s="3">
        <f>YEAR(Tabla3[[#This Row],[Date]])</f>
        <v>2022</v>
      </c>
      <c r="C1734" s="1" t="str">
        <f>+TEXT(Tabla3[[#This Row],[Date]],"mmm")</f>
        <v>dic</v>
      </c>
      <c r="D1734" s="2">
        <v>1814.80004882812</v>
      </c>
      <c r="E1734" s="2">
        <v>1814.80004882812</v>
      </c>
      <c r="F1734" s="2">
        <v>1826.30004882812</v>
      </c>
      <c r="G1734" s="2">
        <v>1803.40002441406</v>
      </c>
      <c r="H1734" s="2">
        <v>1803.40002441406</v>
      </c>
      <c r="I1734">
        <v>69</v>
      </c>
      <c r="J1734" s="2">
        <f ca="1">IFERROR((Tabla3[[#This Row],[Close]]-OFFSET(Tabla3[[#This Row],[Close]],-1,0))/OFFSET(Tabla3[[#This Row],[Close]],-1,0),"")</f>
        <v>1.0523984719152961E-2</v>
      </c>
      <c r="K1734" s="2">
        <f ca="1">IFERROR(AVERAGE(OFFSET(Tabla3[[#This Row],[Close]],-6,0,7)),"")</f>
        <v>1801.0285818917384</v>
      </c>
      <c r="L1734" s="2">
        <f ca="1">IFERROR(_xlfn.STDEV.S(OFFSET(Tabla3[[#This Row],[Close]],-29,0,30)),"")</f>
        <v>24.881658915495848</v>
      </c>
    </row>
    <row r="1735" spans="1:12" x14ac:dyDescent="0.3">
      <c r="A1735" s="1">
        <v>44923</v>
      </c>
      <c r="B1735" s="3">
        <f>YEAR(Tabla3[[#This Row],[Date]])</f>
        <v>2022</v>
      </c>
      <c r="C1735" s="1" t="str">
        <f>+TEXT(Tabla3[[#This Row],[Date]],"mmm")</f>
        <v>dic</v>
      </c>
      <c r="D1735" s="2">
        <v>1807.90002441406</v>
      </c>
      <c r="E1735" s="2">
        <v>1807.90002441406</v>
      </c>
      <c r="F1735" s="2">
        <v>1807.90002441406</v>
      </c>
      <c r="G1735" s="2">
        <v>1803.09997558593</v>
      </c>
      <c r="H1735" s="2">
        <v>1803.19995117187</v>
      </c>
      <c r="I1735">
        <v>434</v>
      </c>
      <c r="J1735" s="2">
        <f ca="1">IFERROR((Tabla3[[#This Row],[Close]]-OFFSET(Tabla3[[#This Row],[Close]],-1,0))/OFFSET(Tabla3[[#This Row],[Close]],-1,0),"")</f>
        <v>-3.8020852041058665E-3</v>
      </c>
      <c r="K1735" s="2">
        <f ca="1">IFERROR(AVERAGE(OFFSET(Tabla3[[#This Row],[Close]],-6,0,7)),"")</f>
        <v>1803.5857282366044</v>
      </c>
      <c r="L1735" s="2">
        <f ca="1">IFERROR(_xlfn.STDEV.S(OFFSET(Tabla3[[#This Row],[Close]],-29,0,30)),"")</f>
        <v>25.463579836732656</v>
      </c>
    </row>
    <row r="1736" spans="1:12" x14ac:dyDescent="0.3">
      <c r="A1736" s="1">
        <v>44924</v>
      </c>
      <c r="B1736" s="3">
        <f>YEAR(Tabla3[[#This Row],[Date]])</f>
        <v>2022</v>
      </c>
      <c r="C1736" s="1" t="str">
        <f>+TEXT(Tabla3[[#This Row],[Date]],"mmm")</f>
        <v>dic</v>
      </c>
      <c r="D1736" s="2">
        <v>1819.5</v>
      </c>
      <c r="E1736" s="2">
        <v>1819.5</v>
      </c>
      <c r="F1736" s="2">
        <v>1819.5</v>
      </c>
      <c r="G1736" s="2">
        <v>1805.80004882812</v>
      </c>
      <c r="H1736" s="2">
        <v>1805.80004882812</v>
      </c>
      <c r="I1736">
        <v>277</v>
      </c>
      <c r="J1736" s="2">
        <f ca="1">IFERROR((Tabla3[[#This Row],[Close]]-OFFSET(Tabla3[[#This Row],[Close]],-1,0))/OFFSET(Tabla3[[#This Row],[Close]],-1,0),"")</f>
        <v>6.4162704957645821E-3</v>
      </c>
      <c r="K1736" s="2">
        <f ca="1">IFERROR(AVERAGE(OFFSET(Tabla3[[#This Row],[Close]],-6,0,7)),"")</f>
        <v>1808.1285923549087</v>
      </c>
      <c r="L1736" s="2">
        <f ca="1">IFERROR(_xlfn.STDEV.S(OFFSET(Tabla3[[#This Row],[Close]],-29,0,30)),"")</f>
        <v>26.491901812290877</v>
      </c>
    </row>
    <row r="1737" spans="1:12" x14ac:dyDescent="0.3">
      <c r="A1737" s="1">
        <v>44925</v>
      </c>
      <c r="B1737" s="3">
        <f>YEAR(Tabla3[[#This Row],[Date]])</f>
        <v>2022</v>
      </c>
      <c r="C1737" s="1" t="str">
        <f>+TEXT(Tabla3[[#This Row],[Date]],"mmm")</f>
        <v>dic</v>
      </c>
      <c r="D1737" s="2">
        <v>1819.69995117187</v>
      </c>
      <c r="E1737" s="2">
        <v>1819.69995117187</v>
      </c>
      <c r="F1737" s="2">
        <v>1822.30004882812</v>
      </c>
      <c r="G1737" s="2">
        <v>1816.80004882812</v>
      </c>
      <c r="H1737" s="2">
        <v>1817</v>
      </c>
      <c r="I1737">
        <v>95</v>
      </c>
      <c r="J1737" s="2">
        <f ca="1">IFERROR((Tabla3[[#This Row],[Close]]-OFFSET(Tabla3[[#This Row],[Close]],-1,0))/OFFSET(Tabla3[[#This Row],[Close]],-1,0),"")</f>
        <v>1.0989347176147171E-4</v>
      </c>
      <c r="K1737" s="2">
        <f ca="1">IFERROR(AVERAGE(OFFSET(Tabla3[[#This Row],[Close]],-6,0,7)),"")</f>
        <v>1808.6714390345956</v>
      </c>
      <c r="L1737" s="2">
        <f ca="1">IFERROR(_xlfn.STDEV.S(OFFSET(Tabla3[[#This Row],[Close]],-29,0,30)),"")</f>
        <v>27.395085175791458</v>
      </c>
    </row>
    <row r="1738" spans="1:12" x14ac:dyDescent="0.3">
      <c r="A1738" s="1">
        <v>44929</v>
      </c>
      <c r="B1738" s="3">
        <f>YEAR(Tabla3[[#This Row],[Date]])</f>
        <v>2023</v>
      </c>
      <c r="C1738" s="1" t="str">
        <f>+TEXT(Tabla3[[#This Row],[Date]],"mmm")</f>
        <v>ene</v>
      </c>
      <c r="D1738" s="2">
        <v>1839.69995117187</v>
      </c>
      <c r="E1738" s="2">
        <v>1839.69995117187</v>
      </c>
      <c r="F1738" s="2">
        <v>1839.69995117187</v>
      </c>
      <c r="G1738" s="2">
        <v>1836.19995117187</v>
      </c>
      <c r="H1738" s="2">
        <v>1836.19995117187</v>
      </c>
      <c r="I1738">
        <v>29</v>
      </c>
      <c r="J1738" s="2">
        <f ca="1">IFERROR((Tabla3[[#This Row],[Close]]-OFFSET(Tabla3[[#This Row],[Close]],-1,0))/OFFSET(Tabla3[[#This Row],[Close]],-1,0),"")</f>
        <v>1.0990822957993808E-2</v>
      </c>
      <c r="K1738" s="2">
        <f ca="1">IFERROR(AVERAGE(OFFSET(Tabla3[[#This Row],[Close]],-6,0,7)),"")</f>
        <v>1812.0714285714255</v>
      </c>
      <c r="L1738" s="2">
        <f ca="1">IFERROR(_xlfn.STDEV.S(OFFSET(Tabla3[[#This Row],[Close]],-29,0,30)),"")</f>
        <v>29.026705141735551</v>
      </c>
    </row>
    <row r="1739" spans="1:12" x14ac:dyDescent="0.3">
      <c r="A1739" s="1">
        <v>44930</v>
      </c>
      <c r="B1739" s="3">
        <f>YEAR(Tabla3[[#This Row],[Date]])</f>
        <v>2023</v>
      </c>
      <c r="C1739" s="1" t="str">
        <f>+TEXT(Tabla3[[#This Row],[Date]],"mmm")</f>
        <v>ene</v>
      </c>
      <c r="D1739" s="2">
        <v>1852.80004882812</v>
      </c>
      <c r="E1739" s="2">
        <v>1852.80004882812</v>
      </c>
      <c r="F1739" s="2">
        <v>1859.09997558593</v>
      </c>
      <c r="G1739" s="2">
        <v>1845.59997558593</v>
      </c>
      <c r="H1739" s="2">
        <v>1845.59997558593</v>
      </c>
      <c r="I1739">
        <v>25</v>
      </c>
      <c r="J1739" s="2">
        <f ca="1">IFERROR((Tabla3[[#This Row],[Close]]-OFFSET(Tabla3[[#This Row],[Close]],-1,0))/OFFSET(Tabla3[[#This Row],[Close]],-1,0),"")</f>
        <v>7.1207794770584039E-3</v>
      </c>
      <c r="K1739" s="2">
        <f ca="1">IFERROR(AVERAGE(OFFSET(Tabla3[[#This Row],[Close]],-6,0,7)),"")</f>
        <v>1821.4714355468714</v>
      </c>
      <c r="L1739" s="2">
        <f ca="1">IFERROR(_xlfn.STDEV.S(OFFSET(Tabla3[[#This Row],[Close]],-29,0,30)),"")</f>
        <v>30.887514589782946</v>
      </c>
    </row>
    <row r="1740" spans="1:12" x14ac:dyDescent="0.3">
      <c r="A1740" s="1">
        <v>44931</v>
      </c>
      <c r="B1740" s="3">
        <f>YEAR(Tabla3[[#This Row],[Date]])</f>
        <v>2023</v>
      </c>
      <c r="C1740" s="1" t="str">
        <f>+TEXT(Tabla3[[#This Row],[Date]],"mmm")</f>
        <v>ene</v>
      </c>
      <c r="D1740" s="2">
        <v>1834.80004882812</v>
      </c>
      <c r="E1740" s="2">
        <v>1834.80004882812</v>
      </c>
      <c r="F1740" s="2">
        <v>1855.19995117187</v>
      </c>
      <c r="G1740" s="2">
        <v>1834.80004882812</v>
      </c>
      <c r="H1740" s="2">
        <v>1855.19995117187</v>
      </c>
      <c r="I1740">
        <v>24</v>
      </c>
      <c r="J1740" s="2">
        <f ca="1">IFERROR((Tabla3[[#This Row],[Close]]-OFFSET(Tabla3[[#This Row],[Close]],-1,0))/OFFSET(Tabla3[[#This Row],[Close]],-1,0),"")</f>
        <v>-9.7150256507089611E-3</v>
      </c>
      <c r="K1740" s="2">
        <f ca="1">IFERROR(AVERAGE(OFFSET(Tabla3[[#This Row],[Close]],-6,0,7)),"")</f>
        <v>1827.0285818917368</v>
      </c>
      <c r="L1740" s="2">
        <f ca="1">IFERROR(_xlfn.STDEV.S(OFFSET(Tabla3[[#This Row],[Close]],-29,0,30)),"")</f>
        <v>30.500893490278365</v>
      </c>
    </row>
    <row r="1741" spans="1:12" x14ac:dyDescent="0.3">
      <c r="A1741" s="1">
        <v>44932</v>
      </c>
      <c r="B1741" s="3">
        <f>YEAR(Tabla3[[#This Row],[Date]])</f>
        <v>2023</v>
      </c>
      <c r="C1741" s="1" t="str">
        <f>+TEXT(Tabla3[[#This Row],[Date]],"mmm")</f>
        <v>ene</v>
      </c>
      <c r="D1741" s="2">
        <v>1864.19995117187</v>
      </c>
      <c r="E1741" s="2">
        <v>1864.19995117187</v>
      </c>
      <c r="F1741" s="2">
        <v>1868.19995117187</v>
      </c>
      <c r="G1741" s="2">
        <v>1835.30004882812</v>
      </c>
      <c r="H1741" s="2">
        <v>1838.40002441406</v>
      </c>
      <c r="I1741">
        <v>26</v>
      </c>
      <c r="J1741" s="2">
        <f ca="1">IFERROR((Tabla3[[#This Row],[Close]]-OFFSET(Tabla3[[#This Row],[Close]],-1,0))/OFFSET(Tabla3[[#This Row],[Close]],-1,0),"")</f>
        <v>1.6023491149636502E-2</v>
      </c>
      <c r="K1741" s="2">
        <f ca="1">IFERROR(AVERAGE(OFFSET(Tabla3[[#This Row],[Close]],-6,0,7)),"")</f>
        <v>1834.0857107979868</v>
      </c>
      <c r="L1741" s="2">
        <f ca="1">IFERROR(_xlfn.STDEV.S(OFFSET(Tabla3[[#This Row],[Close]],-29,0,30)),"")</f>
        <v>31.604664014148952</v>
      </c>
    </row>
    <row r="1742" spans="1:12" x14ac:dyDescent="0.3">
      <c r="A1742" s="1">
        <v>44935</v>
      </c>
      <c r="B1742" s="3">
        <f>YEAR(Tabla3[[#This Row],[Date]])</f>
        <v>2023</v>
      </c>
      <c r="C1742" s="1" t="str">
        <f>+TEXT(Tabla3[[#This Row],[Date]],"mmm")</f>
        <v>ene</v>
      </c>
      <c r="D1742" s="2">
        <v>1872.69995117187</v>
      </c>
      <c r="E1742" s="2">
        <v>1872.69995117187</v>
      </c>
      <c r="F1742" s="2">
        <v>1880</v>
      </c>
      <c r="G1742" s="2">
        <v>1867</v>
      </c>
      <c r="H1742" s="2">
        <v>1867</v>
      </c>
      <c r="I1742">
        <v>62</v>
      </c>
      <c r="J1742" s="2">
        <f ca="1">IFERROR((Tabla3[[#This Row],[Close]]-OFFSET(Tabla3[[#This Row],[Close]],-1,0))/OFFSET(Tabla3[[#This Row],[Close]],-1,0),"")</f>
        <v>4.5595967292332267E-3</v>
      </c>
      <c r="K1742" s="2">
        <f ca="1">IFERROR(AVERAGE(OFFSET(Tabla3[[#This Row],[Close]],-6,0,7)),"")</f>
        <v>1843.3428431919599</v>
      </c>
      <c r="L1742" s="2">
        <f ca="1">IFERROR(_xlfn.STDEV.S(OFFSET(Tabla3[[#This Row],[Close]],-29,0,30)),"")</f>
        <v>33.131797183042082</v>
      </c>
    </row>
    <row r="1743" spans="1:12" x14ac:dyDescent="0.3">
      <c r="A1743" s="1">
        <v>44936</v>
      </c>
      <c r="B1743" s="3">
        <f>YEAR(Tabla3[[#This Row],[Date]])</f>
        <v>2023</v>
      </c>
      <c r="C1743" s="1" t="str">
        <f>+TEXT(Tabla3[[#This Row],[Date]],"mmm")</f>
        <v>ene</v>
      </c>
      <c r="D1743" s="2">
        <v>1871.59997558593</v>
      </c>
      <c r="E1743" s="2">
        <v>1871.59997558593</v>
      </c>
      <c r="F1743" s="2">
        <v>1878.09997558593</v>
      </c>
      <c r="G1743" s="2">
        <v>1871.59997558593</v>
      </c>
      <c r="H1743" s="2">
        <v>1877.80004882812</v>
      </c>
      <c r="I1743">
        <v>101</v>
      </c>
      <c r="J1743" s="2">
        <f ca="1">IFERROR((Tabla3[[#This Row],[Close]]-OFFSET(Tabla3[[#This Row],[Close]],-1,0))/OFFSET(Tabla3[[#This Row],[Close]],-1,0),"")</f>
        <v>-5.8737417345030359E-4</v>
      </c>
      <c r="K1743" s="2">
        <f ca="1">IFERROR(AVERAGE(OFFSET(Tabla3[[#This Row],[Close]],-6,0,7)),"")</f>
        <v>1850.7856968470928</v>
      </c>
      <c r="L1743" s="2">
        <f ca="1">IFERROR(_xlfn.STDEV.S(OFFSET(Tabla3[[#This Row],[Close]],-29,0,30)),"")</f>
        <v>34.431723524078251</v>
      </c>
    </row>
    <row r="1744" spans="1:12" x14ac:dyDescent="0.3">
      <c r="A1744" s="1">
        <v>44937</v>
      </c>
      <c r="B1744" s="3">
        <f>YEAR(Tabla3[[#This Row],[Date]])</f>
        <v>2023</v>
      </c>
      <c r="C1744" s="1" t="str">
        <f>+TEXT(Tabla3[[#This Row],[Date]],"mmm")</f>
        <v>ene</v>
      </c>
      <c r="D1744" s="2">
        <v>1874.59997558593</v>
      </c>
      <c r="E1744" s="2">
        <v>1874.59997558593</v>
      </c>
      <c r="F1744" s="2">
        <v>1877.80004882812</v>
      </c>
      <c r="G1744" s="2">
        <v>1873.09997558593</v>
      </c>
      <c r="H1744" s="2">
        <v>1873.09997558593</v>
      </c>
      <c r="I1744">
        <v>1236</v>
      </c>
      <c r="J1744" s="2">
        <f ca="1">IFERROR((Tabla3[[#This Row],[Close]]-OFFSET(Tabla3[[#This Row],[Close]],-1,0))/OFFSET(Tabla3[[#This Row],[Close]],-1,0),"")</f>
        <v>1.60290662488431E-3</v>
      </c>
      <c r="K1744" s="2">
        <f ca="1">IFERROR(AVERAGE(OFFSET(Tabla3[[#This Row],[Close]],-6,0,7)),"")</f>
        <v>1858.6285574776728</v>
      </c>
      <c r="L1744" s="2">
        <f ca="1">IFERROR(_xlfn.STDEV.S(OFFSET(Tabla3[[#This Row],[Close]],-29,0,30)),"")</f>
        <v>34.626706936187233</v>
      </c>
    </row>
    <row r="1745" spans="1:12" x14ac:dyDescent="0.3">
      <c r="A1745" s="1">
        <v>44938</v>
      </c>
      <c r="B1745" s="3">
        <f>YEAR(Tabla3[[#This Row],[Date]])</f>
        <v>2023</v>
      </c>
      <c r="C1745" s="1" t="str">
        <f>+TEXT(Tabla3[[#This Row],[Date]],"mmm")</f>
        <v>ene</v>
      </c>
      <c r="D1745" s="2">
        <v>1895.5</v>
      </c>
      <c r="E1745" s="2">
        <v>1895.5</v>
      </c>
      <c r="F1745" s="2">
        <v>1897.40002441406</v>
      </c>
      <c r="G1745" s="2">
        <v>1877.19995117187</v>
      </c>
      <c r="H1745" s="2">
        <v>1877.19995117187</v>
      </c>
      <c r="I1745">
        <v>59</v>
      </c>
      <c r="J1745" s="2">
        <f ca="1">IFERROR((Tabla3[[#This Row],[Close]]-OFFSET(Tabla3[[#This Row],[Close]],-1,0))/OFFSET(Tabla3[[#This Row],[Close]],-1,0),"")</f>
        <v>1.1149058298444411E-2</v>
      </c>
      <c r="K1745" s="2">
        <f ca="1">IFERROR(AVERAGE(OFFSET(Tabla3[[#This Row],[Close]],-6,0,7)),"")</f>
        <v>1866.5999930245487</v>
      </c>
      <c r="L1745" s="2">
        <f ca="1">IFERROR(_xlfn.STDEV.S(OFFSET(Tabla3[[#This Row],[Close]],-29,0,30)),"")</f>
        <v>36.252410843025508</v>
      </c>
    </row>
    <row r="1746" spans="1:12" x14ac:dyDescent="0.3">
      <c r="A1746" s="1">
        <v>44939</v>
      </c>
      <c r="B1746" s="3">
        <f>YEAR(Tabla3[[#This Row],[Date]])</f>
        <v>2023</v>
      </c>
      <c r="C1746" s="1" t="str">
        <f>+TEXT(Tabla3[[#This Row],[Date]],"mmm")</f>
        <v>ene</v>
      </c>
      <c r="D1746" s="2">
        <v>1918.40002441406</v>
      </c>
      <c r="E1746" s="2">
        <v>1918.40002441406</v>
      </c>
      <c r="F1746" s="2">
        <v>1920.90002441406</v>
      </c>
      <c r="G1746" s="2">
        <v>1898.30004882812</v>
      </c>
      <c r="H1746" s="2">
        <v>1899</v>
      </c>
      <c r="I1746">
        <v>512</v>
      </c>
      <c r="J1746" s="2">
        <f ca="1">IFERROR((Tabla3[[#This Row],[Close]]-OFFSET(Tabla3[[#This Row],[Close]],-1,0))/OFFSET(Tabla3[[#This Row],[Close]],-1,0),"")</f>
        <v>1.2081257934085992E-2</v>
      </c>
      <c r="K1746" s="2">
        <f ca="1">IFERROR(AVERAGE(OFFSET(Tabla3[[#This Row],[Close]],-6,0,7)),"")</f>
        <v>1875.9714181082545</v>
      </c>
      <c r="L1746" s="2">
        <f ca="1">IFERROR(_xlfn.STDEV.S(OFFSET(Tabla3[[#This Row],[Close]],-29,0,30)),"")</f>
        <v>38.830924622857417</v>
      </c>
    </row>
    <row r="1747" spans="1:12" x14ac:dyDescent="0.3">
      <c r="A1747" s="1">
        <v>44943</v>
      </c>
      <c r="B1747" s="3">
        <f>YEAR(Tabla3[[#This Row],[Date]])</f>
        <v>2023</v>
      </c>
      <c r="C1747" s="1" t="str">
        <f>+TEXT(Tabla3[[#This Row],[Date]],"mmm")</f>
        <v>ene</v>
      </c>
      <c r="D1747" s="2">
        <v>1907.19995117187</v>
      </c>
      <c r="E1747" s="2">
        <v>1907.19995117187</v>
      </c>
      <c r="F1747" s="2">
        <v>1920.09997558593</v>
      </c>
      <c r="G1747" s="2">
        <v>1905.19995117187</v>
      </c>
      <c r="H1747" s="2">
        <v>1920.09997558593</v>
      </c>
      <c r="I1747">
        <v>706</v>
      </c>
      <c r="J1747" s="2">
        <f ca="1">IFERROR((Tabla3[[#This Row],[Close]]-OFFSET(Tabla3[[#This Row],[Close]],-1,0))/OFFSET(Tabla3[[#This Row],[Close]],-1,0),"")</f>
        <v>-5.8382366032396485E-3</v>
      </c>
      <c r="K1747" s="2">
        <f ca="1">IFERROR(AVERAGE(OFFSET(Tabla3[[#This Row],[Close]],-6,0,7)),"")</f>
        <v>1886.3142613002185</v>
      </c>
      <c r="L1747" s="2">
        <f ca="1">IFERROR(_xlfn.STDEV.S(OFFSET(Tabla3[[#This Row],[Close]],-29,0,30)),"")</f>
        <v>41.876469893745224</v>
      </c>
    </row>
    <row r="1748" spans="1:12" x14ac:dyDescent="0.3">
      <c r="A1748" s="1">
        <v>44944</v>
      </c>
      <c r="B1748" s="3">
        <f>YEAR(Tabla3[[#This Row],[Date]])</f>
        <v>2023</v>
      </c>
      <c r="C1748" s="1" t="str">
        <f>+TEXT(Tabla3[[#This Row],[Date]],"mmm")</f>
        <v>ene</v>
      </c>
      <c r="D1748" s="2">
        <v>1904.40002441406</v>
      </c>
      <c r="E1748" s="2">
        <v>1904.40002441406</v>
      </c>
      <c r="F1748" s="2">
        <v>1911.09997558593</v>
      </c>
      <c r="G1748" s="2">
        <v>1903.09997558593</v>
      </c>
      <c r="H1748" s="2">
        <v>1911.09997558593</v>
      </c>
      <c r="I1748">
        <v>1027</v>
      </c>
      <c r="J1748" s="2">
        <f ca="1">IFERROR((Tabla3[[#This Row],[Close]]-OFFSET(Tabla3[[#This Row],[Close]],-1,0))/OFFSET(Tabla3[[#This Row],[Close]],-1,0),"")</f>
        <v>-1.4680824399610523E-3</v>
      </c>
      <c r="K1748" s="2">
        <f ca="1">IFERROR(AVERAGE(OFFSET(Tabla3[[#This Row],[Close]],-6,0,7)),"")</f>
        <v>1892.0571289062459</v>
      </c>
      <c r="L1748" s="2">
        <f ca="1">IFERROR(_xlfn.STDEV.S(OFFSET(Tabla3[[#This Row],[Close]],-29,0,30)),"")</f>
        <v>44.139584243986576</v>
      </c>
    </row>
    <row r="1749" spans="1:12" x14ac:dyDescent="0.3">
      <c r="A1749" s="1">
        <v>44945</v>
      </c>
      <c r="B1749" s="3">
        <f>YEAR(Tabla3[[#This Row],[Date]])</f>
        <v>2023</v>
      </c>
      <c r="C1749" s="1" t="str">
        <f>+TEXT(Tabla3[[#This Row],[Date]],"mmm")</f>
        <v>ene</v>
      </c>
      <c r="D1749" s="2">
        <v>1922.09997558593</v>
      </c>
      <c r="E1749" s="2">
        <v>1922.09997558593</v>
      </c>
      <c r="F1749" s="2">
        <v>1931.80004882812</v>
      </c>
      <c r="G1749" s="2">
        <v>1922.09997558593</v>
      </c>
      <c r="H1749" s="2">
        <v>1922.09997558593</v>
      </c>
      <c r="I1749">
        <v>371</v>
      </c>
      <c r="J1749" s="2">
        <f ca="1">IFERROR((Tabla3[[#This Row],[Close]]-OFFSET(Tabla3[[#This Row],[Close]],-1,0))/OFFSET(Tabla3[[#This Row],[Close]],-1,0),"")</f>
        <v>9.2942401517327571E-3</v>
      </c>
      <c r="K1749" s="2">
        <f ca="1">IFERROR(AVERAGE(OFFSET(Tabla3[[#This Row],[Close]],-6,0,7)),"")</f>
        <v>1899.1142752511116</v>
      </c>
      <c r="L1749" s="2">
        <f ca="1">IFERROR(_xlfn.STDEV.S(OFFSET(Tabla3[[#This Row],[Close]],-29,0,30)),"")</f>
        <v>46.059118598265428</v>
      </c>
    </row>
    <row r="1750" spans="1:12" x14ac:dyDescent="0.3">
      <c r="A1750" s="1">
        <v>44946</v>
      </c>
      <c r="B1750" s="3">
        <f>YEAR(Tabla3[[#This Row],[Date]])</f>
        <v>2023</v>
      </c>
      <c r="C1750" s="1" t="str">
        <f>+TEXT(Tabla3[[#This Row],[Date]],"mmm")</f>
        <v>ene</v>
      </c>
      <c r="D1750" s="2">
        <v>1926.40002441406</v>
      </c>
      <c r="E1750" s="2">
        <v>1926.40002441406</v>
      </c>
      <c r="F1750" s="2">
        <v>1928.5</v>
      </c>
      <c r="G1750" s="2">
        <v>1921.40002441406</v>
      </c>
      <c r="H1750" s="2">
        <v>1922.09997558593</v>
      </c>
      <c r="I1750">
        <v>1346</v>
      </c>
      <c r="J1750" s="2">
        <f ca="1">IFERROR((Tabla3[[#This Row],[Close]]-OFFSET(Tabla3[[#This Row],[Close]],-1,0))/OFFSET(Tabla3[[#This Row],[Close]],-1,0),"")</f>
        <v>2.2371618972728941E-3</v>
      </c>
      <c r="K1750" s="2">
        <f ca="1">IFERROR(AVERAGE(OFFSET(Tabla3[[#This Row],[Close]],-6,0,7)),"")</f>
        <v>1906.9428536551302</v>
      </c>
      <c r="L1750" s="2">
        <f ca="1">IFERROR(_xlfn.STDEV.S(OFFSET(Tabla3[[#This Row],[Close]],-29,0,30)),"")</f>
        <v>47.692264848405884</v>
      </c>
    </row>
    <row r="1751" spans="1:12" x14ac:dyDescent="0.3">
      <c r="A1751" s="1">
        <v>44949</v>
      </c>
      <c r="B1751" s="3">
        <f>YEAR(Tabla3[[#This Row],[Date]])</f>
        <v>2023</v>
      </c>
      <c r="C1751" s="1" t="str">
        <f>+TEXT(Tabla3[[#This Row],[Date]],"mmm")</f>
        <v>ene</v>
      </c>
      <c r="D1751" s="2">
        <v>1927.09997558593</v>
      </c>
      <c r="E1751" s="2">
        <v>1927.09997558593</v>
      </c>
      <c r="F1751" s="2">
        <v>1927.09997558593</v>
      </c>
      <c r="G1751" s="2">
        <v>1915</v>
      </c>
      <c r="H1751" s="2">
        <v>1926.5</v>
      </c>
      <c r="I1751">
        <v>218</v>
      </c>
      <c r="J1751" s="2">
        <f ca="1">IFERROR((Tabla3[[#This Row],[Close]]-OFFSET(Tabla3[[#This Row],[Close]],-1,0))/OFFSET(Tabla3[[#This Row],[Close]],-1,0),"")</f>
        <v>3.6334674159013111E-4</v>
      </c>
      <c r="K1751" s="2">
        <f ca="1">IFERROR(AVERAGE(OFFSET(Tabla3[[#This Row],[Close]],-6,0,7)),"")</f>
        <v>1914.44285365513</v>
      </c>
      <c r="L1751" s="2">
        <f ca="1">IFERROR(_xlfn.STDEV.S(OFFSET(Tabla3[[#This Row],[Close]],-29,0,30)),"")</f>
        <v>49.461678947974342</v>
      </c>
    </row>
    <row r="1752" spans="1:12" x14ac:dyDescent="0.3">
      <c r="A1752" s="1">
        <v>44950</v>
      </c>
      <c r="B1752" s="3">
        <f>YEAR(Tabla3[[#This Row],[Date]])</f>
        <v>2023</v>
      </c>
      <c r="C1752" s="1" t="str">
        <f>+TEXT(Tabla3[[#This Row],[Date]],"mmm")</f>
        <v>ene</v>
      </c>
      <c r="D1752" s="2">
        <v>1933.90002441406</v>
      </c>
      <c r="E1752" s="2">
        <v>1933.90002441406</v>
      </c>
      <c r="F1752" s="2">
        <v>1936.80004882812</v>
      </c>
      <c r="G1752" s="2">
        <v>1931.80004882812</v>
      </c>
      <c r="H1752" s="2">
        <v>1931.80004882812</v>
      </c>
      <c r="I1752">
        <v>201</v>
      </c>
      <c r="J1752" s="2">
        <f ca="1">IFERROR((Tabla3[[#This Row],[Close]]-OFFSET(Tabla3[[#This Row],[Close]],-1,0))/OFFSET(Tabla3[[#This Row],[Close]],-1,0),"")</f>
        <v>3.5286435131952425E-3</v>
      </c>
      <c r="K1752" s="2">
        <f ca="1">IFERROR(AVERAGE(OFFSET(Tabla3[[#This Row],[Close]],-6,0,7)),"")</f>
        <v>1919.9285714285672</v>
      </c>
      <c r="L1752" s="2">
        <f ca="1">IFERROR(_xlfn.STDEV.S(OFFSET(Tabla3[[#This Row],[Close]],-29,0,30)),"")</f>
        <v>51.234137734301449</v>
      </c>
    </row>
    <row r="1753" spans="1:12" x14ac:dyDescent="0.3">
      <c r="A1753" s="1">
        <v>44951</v>
      </c>
      <c r="B1753" s="3">
        <f>YEAR(Tabla3[[#This Row],[Date]])</f>
        <v>2023</v>
      </c>
      <c r="C1753" s="1" t="str">
        <f>+TEXT(Tabla3[[#This Row],[Date]],"mmm")</f>
        <v>ene</v>
      </c>
      <c r="D1753" s="2">
        <v>1941.19995117187</v>
      </c>
      <c r="E1753" s="2">
        <v>1941.19995117187</v>
      </c>
      <c r="F1753" s="2">
        <v>1941.19995117187</v>
      </c>
      <c r="G1753" s="2">
        <v>1939.80004882812</v>
      </c>
      <c r="H1753" s="2">
        <v>1941.19995117187</v>
      </c>
      <c r="I1753">
        <v>7</v>
      </c>
      <c r="J1753" s="2">
        <f ca="1">IFERROR((Tabla3[[#This Row],[Close]]-OFFSET(Tabla3[[#This Row],[Close]],-1,0))/OFFSET(Tabla3[[#This Row],[Close]],-1,0),"")</f>
        <v>3.7747177546169986E-3</v>
      </c>
      <c r="K1753" s="2">
        <f ca="1">IFERROR(AVERAGE(OFFSET(Tabla3[[#This Row],[Close]],-6,0,7)),"")</f>
        <v>1923.1857038225401</v>
      </c>
      <c r="L1753" s="2">
        <f ca="1">IFERROR(_xlfn.STDEV.S(OFFSET(Tabla3[[#This Row],[Close]],-29,0,30)),"")</f>
        <v>53.252416404849079</v>
      </c>
    </row>
    <row r="1754" spans="1:12" x14ac:dyDescent="0.3">
      <c r="A1754" s="1">
        <v>44952</v>
      </c>
      <c r="B1754" s="3">
        <f>YEAR(Tabla3[[#This Row],[Date]])</f>
        <v>2023</v>
      </c>
      <c r="C1754" s="1" t="str">
        <f>+TEXT(Tabla3[[#This Row],[Date]],"mmm")</f>
        <v>ene</v>
      </c>
      <c r="D1754" s="2">
        <v>1929.09997558593</v>
      </c>
      <c r="E1754" s="2">
        <v>1929.09997558593</v>
      </c>
      <c r="F1754" s="2">
        <v>1937.09997558593</v>
      </c>
      <c r="G1754" s="2">
        <v>1927.09997558593</v>
      </c>
      <c r="H1754" s="2">
        <v>1936.59997558593</v>
      </c>
      <c r="I1754">
        <v>131</v>
      </c>
      <c r="J1754" s="2">
        <f ca="1">IFERROR((Tabla3[[#This Row],[Close]]-OFFSET(Tabla3[[#This Row],[Close]],-1,0))/OFFSET(Tabla3[[#This Row],[Close]],-1,0),"")</f>
        <v>-6.2332453586944753E-3</v>
      </c>
      <c r="K1754" s="2">
        <f ca="1">IFERROR(AVERAGE(OFFSET(Tabla3[[#This Row],[Close]],-6,0,7)),"")</f>
        <v>1926.3142787388344</v>
      </c>
      <c r="L1754" s="2">
        <f ca="1">IFERROR(_xlfn.STDEV.S(OFFSET(Tabla3[[#This Row],[Close]],-29,0,30)),"")</f>
        <v>53.411588142901351</v>
      </c>
    </row>
    <row r="1755" spans="1:12" x14ac:dyDescent="0.3">
      <c r="A1755" s="1">
        <v>44953</v>
      </c>
      <c r="B1755" s="3">
        <f>YEAR(Tabla3[[#This Row],[Date]])</f>
        <v>2023</v>
      </c>
      <c r="C1755" s="1" t="str">
        <f>+TEXT(Tabla3[[#This Row],[Date]],"mmm")</f>
        <v>ene</v>
      </c>
      <c r="D1755" s="2">
        <v>1928.59997558593</v>
      </c>
      <c r="E1755" s="2">
        <v>1928.59997558593</v>
      </c>
      <c r="F1755" s="2">
        <v>1928.59997558593</v>
      </c>
      <c r="G1755" s="2">
        <v>1928.59997558593</v>
      </c>
      <c r="H1755" s="2">
        <v>1928.59997558593</v>
      </c>
      <c r="I1755">
        <v>150902</v>
      </c>
      <c r="J1755" s="2">
        <f ca="1">IFERROR((Tabla3[[#This Row],[Close]]-OFFSET(Tabla3[[#This Row],[Close]],-1,0))/OFFSET(Tabla3[[#This Row],[Close]],-1,0),"")</f>
        <v>-2.591882257673731E-4</v>
      </c>
      <c r="K1755" s="2">
        <f ca="1">IFERROR(AVERAGE(OFFSET(Tabla3[[#This Row],[Close]],-6,0,7)),"")</f>
        <v>1929.7714146205301</v>
      </c>
      <c r="L1755" s="2">
        <f ca="1">IFERROR(_xlfn.STDEV.S(OFFSET(Tabla3[[#This Row],[Close]],-29,0,30)),"")</f>
        <v>54.417961133614831</v>
      </c>
    </row>
    <row r="1756" spans="1:12" x14ac:dyDescent="0.3">
      <c r="A1756" s="1">
        <v>44956</v>
      </c>
      <c r="B1756" s="3">
        <f>YEAR(Tabla3[[#This Row],[Date]])</f>
        <v>2023</v>
      </c>
      <c r="C1756" s="1" t="str">
        <f>+TEXT(Tabla3[[#This Row],[Date]],"mmm")</f>
        <v>ene</v>
      </c>
      <c r="D1756" s="2">
        <v>1922.90002441406</v>
      </c>
      <c r="E1756" s="2">
        <v>1922.90002441406</v>
      </c>
      <c r="F1756" s="2">
        <v>1933.59997558593</v>
      </c>
      <c r="G1756" s="2">
        <v>1920.30004882812</v>
      </c>
      <c r="H1756" s="2">
        <v>1928.30004882812</v>
      </c>
      <c r="I1756">
        <v>27220</v>
      </c>
      <c r="J1756" s="2">
        <f ca="1">IFERROR((Tabla3[[#This Row],[Close]]-OFFSET(Tabla3[[#This Row],[Close]],-1,0))/OFFSET(Tabla3[[#This Row],[Close]],-1,0),"")</f>
        <v>-2.9554864896948314E-3</v>
      </c>
      <c r="K1756" s="2">
        <f ca="1">IFERROR(AVERAGE(OFFSET(Tabla3[[#This Row],[Close]],-6,0,7)),"")</f>
        <v>1929.8857073102629</v>
      </c>
      <c r="L1756" s="2">
        <f ca="1">IFERROR(_xlfn.STDEV.S(OFFSET(Tabla3[[#This Row],[Close]],-29,0,30)),"")</f>
        <v>54.697556545952466</v>
      </c>
    </row>
    <row r="1757" spans="1:12" x14ac:dyDescent="0.3">
      <c r="A1757" s="1">
        <v>44957</v>
      </c>
      <c r="B1757" s="3">
        <f>YEAR(Tabla3[[#This Row],[Date]])</f>
        <v>2023</v>
      </c>
      <c r="C1757" s="1" t="str">
        <f>+TEXT(Tabla3[[#This Row],[Date]],"mmm")</f>
        <v>ene</v>
      </c>
      <c r="D1757" s="2">
        <v>1929.5</v>
      </c>
      <c r="E1757" s="2">
        <v>1929.5</v>
      </c>
      <c r="F1757" s="2">
        <v>1930.40002441406</v>
      </c>
      <c r="G1757" s="2">
        <v>1900.59997558593</v>
      </c>
      <c r="H1757" s="2">
        <v>1923</v>
      </c>
      <c r="I1757">
        <v>1910</v>
      </c>
      <c r="J1757" s="2">
        <f ca="1">IFERROR((Tabla3[[#This Row],[Close]]-OFFSET(Tabla3[[#This Row],[Close]],-1,0))/OFFSET(Tabla3[[#This Row],[Close]],-1,0),"")</f>
        <v>3.432303032993681E-3</v>
      </c>
      <c r="K1757" s="2">
        <f ca="1">IFERROR(AVERAGE(OFFSET(Tabla3[[#This Row],[Close]],-6,0,7)),"")</f>
        <v>1930.3285609653974</v>
      </c>
      <c r="L1757" s="2">
        <f ca="1">IFERROR(_xlfn.STDEV.S(OFFSET(Tabla3[[#This Row],[Close]],-29,0,30)),"")</f>
        <v>53.486044125512379</v>
      </c>
    </row>
    <row r="1758" spans="1:12" x14ac:dyDescent="0.3">
      <c r="A1758" s="1">
        <v>44958</v>
      </c>
      <c r="B1758" s="3">
        <f>YEAR(Tabla3[[#This Row],[Date]])</f>
        <v>2023</v>
      </c>
      <c r="C1758" s="1" t="str">
        <f>+TEXT(Tabla3[[#This Row],[Date]],"mmm")</f>
        <v>feb</v>
      </c>
      <c r="D1758" s="2">
        <v>1927.80004882812</v>
      </c>
      <c r="E1758" s="2">
        <v>1927.80004882812</v>
      </c>
      <c r="F1758" s="2">
        <v>1955</v>
      </c>
      <c r="G1758" s="2">
        <v>1922</v>
      </c>
      <c r="H1758" s="2">
        <v>1927.19995117187</v>
      </c>
      <c r="I1758">
        <v>2290</v>
      </c>
      <c r="J1758" s="2">
        <f ca="1">IFERROR((Tabla3[[#This Row],[Close]]-OFFSET(Tabla3[[#This Row],[Close]],-1,0))/OFFSET(Tabla3[[#This Row],[Close]],-1,0),"")</f>
        <v>-8.8103196262244215E-4</v>
      </c>
      <c r="K1758" s="2">
        <f ca="1">IFERROR(AVERAGE(OFFSET(Tabla3[[#This Row],[Close]],-6,0,7)),"")</f>
        <v>1930.4285714285672</v>
      </c>
      <c r="L1758" s="2">
        <f ca="1">IFERROR(_xlfn.STDEV.S(OFFSET(Tabla3[[#This Row],[Close]],-29,0,30)),"")</f>
        <v>52.430572280419341</v>
      </c>
    </row>
    <row r="1759" spans="1:12" x14ac:dyDescent="0.3">
      <c r="A1759" s="1">
        <v>44959</v>
      </c>
      <c r="B1759" s="3">
        <f>YEAR(Tabla3[[#This Row],[Date]])</f>
        <v>2023</v>
      </c>
      <c r="C1759" s="1" t="str">
        <f>+TEXT(Tabla3[[#This Row],[Date]],"mmm")</f>
        <v>feb</v>
      </c>
      <c r="D1759" s="2">
        <v>1916.30004882812</v>
      </c>
      <c r="E1759" s="2">
        <v>1916.30004882812</v>
      </c>
      <c r="F1759" s="2">
        <v>1959.09997558593</v>
      </c>
      <c r="G1759" s="2">
        <v>1911.30004882812</v>
      </c>
      <c r="H1759" s="2">
        <v>1952.30004882812</v>
      </c>
      <c r="I1759">
        <v>748</v>
      </c>
      <c r="J1759" s="2">
        <f ca="1">IFERROR((Tabla3[[#This Row],[Close]]-OFFSET(Tabla3[[#This Row],[Close]],-1,0))/OFFSET(Tabla3[[#This Row],[Close]],-1,0),"")</f>
        <v>-5.9653489515111655E-3</v>
      </c>
      <c r="K1759" s="2">
        <f ca="1">IFERROR(AVERAGE(OFFSET(Tabla3[[#This Row],[Close]],-6,0,7)),"")</f>
        <v>1927.9142892020043</v>
      </c>
      <c r="L1759" s="2">
        <f ca="1">IFERROR(_xlfn.STDEV.S(OFFSET(Tabla3[[#This Row],[Close]],-29,0,30)),"")</f>
        <v>50.438696400722257</v>
      </c>
    </row>
    <row r="1760" spans="1:12" x14ac:dyDescent="0.3">
      <c r="A1760" s="1">
        <v>44960</v>
      </c>
      <c r="B1760" s="3">
        <f>YEAR(Tabla3[[#This Row],[Date]])</f>
        <v>2023</v>
      </c>
      <c r="C1760" s="1" t="str">
        <f>+TEXT(Tabla3[[#This Row],[Date]],"mmm")</f>
        <v>feb</v>
      </c>
      <c r="D1760" s="2">
        <v>1862.90002441406</v>
      </c>
      <c r="E1760" s="2">
        <v>1862.90002441406</v>
      </c>
      <c r="F1760" s="2">
        <v>1917</v>
      </c>
      <c r="G1760" s="2">
        <v>1861.5</v>
      </c>
      <c r="H1760" s="2">
        <v>1912.40002441406</v>
      </c>
      <c r="I1760">
        <v>992</v>
      </c>
      <c r="J1760" s="2">
        <f ca="1">IFERROR((Tabla3[[#This Row],[Close]]-OFFSET(Tabla3[[#This Row],[Close]],-1,0))/OFFSET(Tabla3[[#This Row],[Close]],-1,0),"")</f>
        <v>-2.7866212520693642E-2</v>
      </c>
      <c r="K1760" s="2">
        <f ca="1">IFERROR(AVERAGE(OFFSET(Tabla3[[#This Row],[Close]],-6,0,7)),"")</f>
        <v>1916.7285853794601</v>
      </c>
      <c r="L1760" s="2">
        <f ca="1">IFERROR(_xlfn.STDEV.S(OFFSET(Tabla3[[#This Row],[Close]],-29,0,30)),"")</f>
        <v>49.181782077747172</v>
      </c>
    </row>
    <row r="1761" spans="1:12" x14ac:dyDescent="0.3">
      <c r="A1761" s="1">
        <v>44963</v>
      </c>
      <c r="B1761" s="3">
        <f>YEAR(Tabla3[[#This Row],[Date]])</f>
        <v>2023</v>
      </c>
      <c r="C1761" s="1" t="str">
        <f>+TEXT(Tabla3[[#This Row],[Date]],"mmm")</f>
        <v>feb</v>
      </c>
      <c r="D1761" s="2">
        <v>1866.19995117187</v>
      </c>
      <c r="E1761" s="2">
        <v>1866.19995117187</v>
      </c>
      <c r="F1761" s="2">
        <v>1880</v>
      </c>
      <c r="G1761" s="2">
        <v>1863.40002441406</v>
      </c>
      <c r="H1761" s="2">
        <v>1865.59997558593</v>
      </c>
      <c r="I1761">
        <v>424</v>
      </c>
      <c r="J1761" s="2">
        <f ca="1">IFERROR((Tabla3[[#This Row],[Close]]-OFFSET(Tabla3[[#This Row],[Close]],-1,0))/OFFSET(Tabla3[[#This Row],[Close]],-1,0),"")</f>
        <v>1.7713922994058301E-3</v>
      </c>
      <c r="K1761" s="2">
        <f ca="1">IFERROR(AVERAGE(OFFSET(Tabla3[[#This Row],[Close]],-6,0,7)),"")</f>
        <v>1907.7428676060229</v>
      </c>
      <c r="L1761" s="2">
        <f ca="1">IFERROR(_xlfn.STDEV.S(OFFSET(Tabla3[[#This Row],[Close]],-29,0,30)),"")</f>
        <v>47.801045928078764</v>
      </c>
    </row>
    <row r="1762" spans="1:12" x14ac:dyDescent="0.3">
      <c r="A1762" s="1">
        <v>44964</v>
      </c>
      <c r="B1762" s="3">
        <f>YEAR(Tabla3[[#This Row],[Date]])</f>
        <v>2023</v>
      </c>
      <c r="C1762" s="1" t="str">
        <f>+TEXT(Tabla3[[#This Row],[Date]],"mmm")</f>
        <v>feb</v>
      </c>
      <c r="D1762" s="2">
        <v>1871.69995117187</v>
      </c>
      <c r="E1762" s="2">
        <v>1871.69995117187</v>
      </c>
      <c r="F1762" s="2">
        <v>1875.69995117187</v>
      </c>
      <c r="G1762" s="2">
        <v>1868</v>
      </c>
      <c r="H1762" s="2">
        <v>1870</v>
      </c>
      <c r="I1762">
        <v>297</v>
      </c>
      <c r="J1762" s="2">
        <f ca="1">IFERROR((Tabla3[[#This Row],[Close]]-OFFSET(Tabla3[[#This Row],[Close]],-1,0))/OFFSET(Tabla3[[#This Row],[Close]],-1,0),"")</f>
        <v>2.9471654398802792E-3</v>
      </c>
      <c r="K1762" s="2">
        <f ca="1">IFERROR(AVERAGE(OFFSET(Tabla3[[#This Row],[Close]],-6,0,7)),"")</f>
        <v>1899.6142926897285</v>
      </c>
      <c r="L1762" s="2">
        <f ca="1">IFERROR(_xlfn.STDEV.S(OFFSET(Tabla3[[#This Row],[Close]],-29,0,30)),"")</f>
        <v>44.474327673866476</v>
      </c>
    </row>
    <row r="1763" spans="1:12" x14ac:dyDescent="0.3">
      <c r="A1763" s="1">
        <v>44965</v>
      </c>
      <c r="B1763" s="3">
        <f>YEAR(Tabla3[[#This Row],[Date]])</f>
        <v>2023</v>
      </c>
      <c r="C1763" s="1" t="str">
        <f>+TEXT(Tabla3[[#This Row],[Date]],"mmm")</f>
        <v>feb</v>
      </c>
      <c r="D1763" s="2">
        <v>1877.40002441406</v>
      </c>
      <c r="E1763" s="2">
        <v>1877.40002441406</v>
      </c>
      <c r="F1763" s="2">
        <v>1880.40002441406</v>
      </c>
      <c r="G1763" s="2">
        <v>1872.09997558593</v>
      </c>
      <c r="H1763" s="2">
        <v>1872.09997558593</v>
      </c>
      <c r="I1763">
        <v>230</v>
      </c>
      <c r="J1763" s="2">
        <f ca="1">IFERROR((Tabla3[[#This Row],[Close]]-OFFSET(Tabla3[[#This Row],[Close]],-1,0))/OFFSET(Tabla3[[#This Row],[Close]],-1,0),"")</f>
        <v>3.0453990441262711E-3</v>
      </c>
      <c r="K1763" s="2">
        <f ca="1">IFERROR(AVERAGE(OFFSET(Tabla3[[#This Row],[Close]],-6,0,7)),"")</f>
        <v>1893.1142926897285</v>
      </c>
      <c r="L1763" s="2">
        <f ca="1">IFERROR(_xlfn.STDEV.S(OFFSET(Tabla3[[#This Row],[Close]],-29,0,30)),"")</f>
        <v>41.328574769829288</v>
      </c>
    </row>
    <row r="1764" spans="1:12" x14ac:dyDescent="0.3">
      <c r="A1764" s="1">
        <v>44966</v>
      </c>
      <c r="B1764" s="3">
        <f>YEAR(Tabla3[[#This Row],[Date]])</f>
        <v>2023</v>
      </c>
      <c r="C1764" s="1" t="str">
        <f>+TEXT(Tabla3[[#This Row],[Date]],"mmm")</f>
        <v>feb</v>
      </c>
      <c r="D1764" s="2">
        <v>1866.19995117187</v>
      </c>
      <c r="E1764" s="2">
        <v>1866.19995117187</v>
      </c>
      <c r="F1764" s="2">
        <v>1884.59997558593</v>
      </c>
      <c r="G1764" s="2">
        <v>1859.80004882812</v>
      </c>
      <c r="H1764" s="2">
        <v>1875.30004882812</v>
      </c>
      <c r="I1764">
        <v>223</v>
      </c>
      <c r="J1764" s="2">
        <f ca="1">IFERROR((Tabla3[[#This Row],[Close]]-OFFSET(Tabla3[[#This Row],[Close]],-1,0))/OFFSET(Tabla3[[#This Row],[Close]],-1,0),"")</f>
        <v>-5.9657361758507299E-3</v>
      </c>
      <c r="K1764" s="2">
        <f ca="1">IFERROR(AVERAGE(OFFSET(Tabla3[[#This Row],[Close]],-6,0,7)),"")</f>
        <v>1884.0714285714241</v>
      </c>
      <c r="L1764" s="2">
        <f ca="1">IFERROR(_xlfn.STDEV.S(OFFSET(Tabla3[[#This Row],[Close]],-29,0,30)),"")</f>
        <v>39.288913023804568</v>
      </c>
    </row>
    <row r="1765" spans="1:12" x14ac:dyDescent="0.3">
      <c r="A1765" s="1">
        <v>44967</v>
      </c>
      <c r="B1765" s="3">
        <f>YEAR(Tabla3[[#This Row],[Date]])</f>
        <v>2023</v>
      </c>
      <c r="C1765" s="1" t="str">
        <f>+TEXT(Tabla3[[#This Row],[Date]],"mmm")</f>
        <v>feb</v>
      </c>
      <c r="D1765" s="2">
        <v>1862.80004882812</v>
      </c>
      <c r="E1765" s="2">
        <v>1862.80004882812</v>
      </c>
      <c r="F1765" s="2">
        <v>1863.5</v>
      </c>
      <c r="G1765" s="2">
        <v>1852.40002441406</v>
      </c>
      <c r="H1765" s="2">
        <v>1861.59997558593</v>
      </c>
      <c r="I1765">
        <v>27</v>
      </c>
      <c r="J1765" s="2">
        <f ca="1">IFERROR((Tabla3[[#This Row],[Close]]-OFFSET(Tabla3[[#This Row],[Close]],-1,0))/OFFSET(Tabla3[[#This Row],[Close]],-1,0),"")</f>
        <v>-1.821831761175993E-3</v>
      </c>
      <c r="K1765" s="2">
        <f ca="1">IFERROR(AVERAGE(OFFSET(Tabla3[[#This Row],[Close]],-6,0,7)),"")</f>
        <v>1874.7857142857099</v>
      </c>
      <c r="L1765" s="2">
        <f ca="1">IFERROR(_xlfn.STDEV.S(OFFSET(Tabla3[[#This Row],[Close]],-29,0,30)),"")</f>
        <v>36.630347790995266</v>
      </c>
    </row>
    <row r="1766" spans="1:12" x14ac:dyDescent="0.3">
      <c r="A1766" s="1">
        <v>44970</v>
      </c>
      <c r="B1766" s="3">
        <f>YEAR(Tabla3[[#This Row],[Date]])</f>
        <v>2023</v>
      </c>
      <c r="C1766" s="1" t="str">
        <f>+TEXT(Tabla3[[#This Row],[Date]],"mmm")</f>
        <v>feb</v>
      </c>
      <c r="D1766" s="2">
        <v>1851.90002441406</v>
      </c>
      <c r="E1766" s="2">
        <v>1851.90002441406</v>
      </c>
      <c r="F1766" s="2">
        <v>1861</v>
      </c>
      <c r="G1766" s="2">
        <v>1850</v>
      </c>
      <c r="H1766" s="2">
        <v>1859</v>
      </c>
      <c r="I1766">
        <v>569</v>
      </c>
      <c r="J1766" s="2">
        <f ca="1">IFERROR((Tabla3[[#This Row],[Close]]-OFFSET(Tabla3[[#This Row],[Close]],-1,0))/OFFSET(Tabla3[[#This Row],[Close]],-1,0),"")</f>
        <v>-5.8514194375918985E-3</v>
      </c>
      <c r="K1766" s="2">
        <f ca="1">IFERROR(AVERAGE(OFFSET(Tabla3[[#This Row],[Close]],-6,0,7)),"")</f>
        <v>1865.5857107979871</v>
      </c>
      <c r="L1766" s="2">
        <f ca="1">IFERROR(_xlfn.STDEV.S(OFFSET(Tabla3[[#This Row],[Close]],-29,0,30)),"")</f>
        <v>34.931313625396363</v>
      </c>
    </row>
    <row r="1767" spans="1:12" x14ac:dyDescent="0.3">
      <c r="A1767" s="1">
        <v>44971</v>
      </c>
      <c r="B1767" s="3">
        <f>YEAR(Tabla3[[#This Row],[Date]])</f>
        <v>2023</v>
      </c>
      <c r="C1767" s="1" t="str">
        <f>+TEXT(Tabla3[[#This Row],[Date]],"mmm")</f>
        <v>feb</v>
      </c>
      <c r="D1767" s="2">
        <v>1854</v>
      </c>
      <c r="E1767" s="2">
        <v>1854</v>
      </c>
      <c r="F1767" s="2">
        <v>1862</v>
      </c>
      <c r="G1767" s="2">
        <v>1846.19995117187</v>
      </c>
      <c r="H1767" s="2">
        <v>1854.09997558593</v>
      </c>
      <c r="I1767">
        <v>656</v>
      </c>
      <c r="J1767" s="2">
        <f ca="1">IFERROR((Tabla3[[#This Row],[Close]]-OFFSET(Tabla3[[#This Row],[Close]],-1,0))/OFFSET(Tabla3[[#This Row],[Close]],-1,0),"")</f>
        <v>1.1339573185676867E-3</v>
      </c>
      <c r="K1767" s="2">
        <f ca="1">IFERROR(AVERAGE(OFFSET(Tabla3[[#This Row],[Close]],-6,0,7)),"")</f>
        <v>1864.3142787388356</v>
      </c>
      <c r="L1767" s="2">
        <f ca="1">IFERROR(_xlfn.STDEV.S(OFFSET(Tabla3[[#This Row],[Close]],-29,0,30)),"")</f>
        <v>33.03893824510223</v>
      </c>
    </row>
    <row r="1768" spans="1:12" x14ac:dyDescent="0.3">
      <c r="A1768" s="1">
        <v>44972</v>
      </c>
      <c r="B1768" s="3">
        <f>YEAR(Tabla3[[#This Row],[Date]])</f>
        <v>2023</v>
      </c>
      <c r="C1768" s="1" t="str">
        <f>+TEXT(Tabla3[[#This Row],[Date]],"mmm")</f>
        <v>feb</v>
      </c>
      <c r="D1768" s="2">
        <v>1834.19995117187</v>
      </c>
      <c r="E1768" s="2">
        <v>1834.19995117187</v>
      </c>
      <c r="F1768" s="2">
        <v>1842</v>
      </c>
      <c r="G1768" s="2">
        <v>1828.19995117187</v>
      </c>
      <c r="H1768" s="2">
        <v>1842</v>
      </c>
      <c r="I1768">
        <v>368</v>
      </c>
      <c r="J1768" s="2">
        <f ca="1">IFERROR((Tabla3[[#This Row],[Close]]-OFFSET(Tabla3[[#This Row],[Close]],-1,0))/OFFSET(Tabla3[[#This Row],[Close]],-1,0),"")</f>
        <v>-1.0679637987125136E-2</v>
      </c>
      <c r="K1768" s="2">
        <f ca="1">IFERROR(AVERAGE(OFFSET(Tabla3[[#This Row],[Close]],-6,0,7)),"")</f>
        <v>1859.7428501674071</v>
      </c>
      <c r="L1768" s="2">
        <f ca="1">IFERROR(_xlfn.STDEV.S(OFFSET(Tabla3[[#This Row],[Close]],-29,0,30)),"")</f>
        <v>33.35177050144403</v>
      </c>
    </row>
    <row r="1769" spans="1:12" x14ac:dyDescent="0.3">
      <c r="A1769" s="1">
        <v>44973</v>
      </c>
      <c r="B1769" s="3">
        <f>YEAR(Tabla3[[#This Row],[Date]])</f>
        <v>2023</v>
      </c>
      <c r="C1769" s="1" t="str">
        <f>+TEXT(Tabla3[[#This Row],[Date]],"mmm")</f>
        <v>feb</v>
      </c>
      <c r="D1769" s="2">
        <v>1842</v>
      </c>
      <c r="E1769" s="2">
        <v>1842</v>
      </c>
      <c r="F1769" s="2">
        <v>1843.69995117187</v>
      </c>
      <c r="G1769" s="2">
        <v>1827.19995117187</v>
      </c>
      <c r="H1769" s="2">
        <v>1838.59997558593</v>
      </c>
      <c r="I1769">
        <v>222</v>
      </c>
      <c r="J1769" s="2">
        <f ca="1">IFERROR((Tabla3[[#This Row],[Close]]-OFFSET(Tabla3[[#This Row],[Close]],-1,0))/OFFSET(Tabla3[[#This Row],[Close]],-1,0),"")</f>
        <v>4.252561899342846E-3</v>
      </c>
      <c r="K1769" s="2">
        <f ca="1">IFERROR(AVERAGE(OFFSET(Tabla3[[#This Row],[Close]],-6,0,7)),"")</f>
        <v>1855.499999999997</v>
      </c>
      <c r="L1769" s="2">
        <f ca="1">IFERROR(_xlfn.STDEV.S(OFFSET(Tabla3[[#This Row],[Close]],-29,0,30)),"")</f>
        <v>33.839887175130528</v>
      </c>
    </row>
    <row r="1770" spans="1:12" x14ac:dyDescent="0.3">
      <c r="A1770" s="1">
        <v>44974</v>
      </c>
      <c r="B1770" s="3">
        <f>YEAR(Tabla3[[#This Row],[Date]])</f>
        <v>2023</v>
      </c>
      <c r="C1770" s="1" t="str">
        <f>+TEXT(Tabla3[[#This Row],[Date]],"mmm")</f>
        <v>feb</v>
      </c>
      <c r="D1770" s="2">
        <v>1840.40002441406</v>
      </c>
      <c r="E1770" s="2">
        <v>1840.40002441406</v>
      </c>
      <c r="F1770" s="2">
        <v>1842.19995117187</v>
      </c>
      <c r="G1770" s="2">
        <v>1818.40002441406</v>
      </c>
      <c r="H1770" s="2">
        <v>1827.40002441406</v>
      </c>
      <c r="I1770">
        <v>35</v>
      </c>
      <c r="J1770" s="2">
        <f ca="1">IFERROR((Tabla3[[#This Row],[Close]]-OFFSET(Tabla3[[#This Row],[Close]],-1,0))/OFFSET(Tabla3[[#This Row],[Close]],-1,0),"")</f>
        <v>-8.6860780995656956E-4</v>
      </c>
      <c r="K1770" s="2">
        <f ca="1">IFERROR(AVERAGE(OFFSET(Tabla3[[#This Row],[Close]],-6,0,7)),"")</f>
        <v>1850.2142857142828</v>
      </c>
      <c r="L1770" s="2">
        <f ca="1">IFERROR(_xlfn.STDEV.S(OFFSET(Tabla3[[#This Row],[Close]],-29,0,30)),"")</f>
        <v>33.531786969578356</v>
      </c>
    </row>
    <row r="1771" spans="1:12" x14ac:dyDescent="0.3">
      <c r="A1771" s="1">
        <v>44978</v>
      </c>
      <c r="B1771" s="3">
        <f>YEAR(Tabla3[[#This Row],[Date]])</f>
        <v>2023</v>
      </c>
      <c r="C1771" s="1" t="str">
        <f>+TEXT(Tabla3[[#This Row],[Date]],"mmm")</f>
        <v>feb</v>
      </c>
      <c r="D1771" s="2">
        <v>1833</v>
      </c>
      <c r="E1771" s="2">
        <v>1833</v>
      </c>
      <c r="F1771" s="2">
        <v>1843</v>
      </c>
      <c r="G1771" s="2">
        <v>1833</v>
      </c>
      <c r="H1771" s="2">
        <v>1842.59997558593</v>
      </c>
      <c r="I1771">
        <v>862</v>
      </c>
      <c r="J1771" s="2">
        <f ca="1">IFERROR((Tabla3[[#This Row],[Close]]-OFFSET(Tabla3[[#This Row],[Close]],-1,0))/OFFSET(Tabla3[[#This Row],[Close]],-1,0),"")</f>
        <v>-4.0208782416290131E-3</v>
      </c>
      <c r="K1771" s="2">
        <f ca="1">IFERROR(AVERAGE(OFFSET(Tabla3[[#This Row],[Close]],-6,0,7)),"")</f>
        <v>1845.471435546873</v>
      </c>
      <c r="L1771" s="2">
        <f ca="1">IFERROR(_xlfn.STDEV.S(OFFSET(Tabla3[[#This Row],[Close]],-29,0,30)),"")</f>
        <v>34.863184054320527</v>
      </c>
    </row>
    <row r="1772" spans="1:12" x14ac:dyDescent="0.3">
      <c r="A1772" s="1">
        <v>44979</v>
      </c>
      <c r="B1772" s="3">
        <f>YEAR(Tabla3[[#This Row],[Date]])</f>
        <v>2023</v>
      </c>
      <c r="C1772" s="1" t="str">
        <f>+TEXT(Tabla3[[#This Row],[Date]],"mmm")</f>
        <v>feb</v>
      </c>
      <c r="D1772" s="2">
        <v>1832</v>
      </c>
      <c r="E1772" s="2">
        <v>1832</v>
      </c>
      <c r="F1772" s="2">
        <v>1836.19995117187</v>
      </c>
      <c r="G1772" s="2">
        <v>1825.09997558593</v>
      </c>
      <c r="H1772" s="2">
        <v>1835.69995117187</v>
      </c>
      <c r="I1772">
        <v>278</v>
      </c>
      <c r="J1772" s="2">
        <f ca="1">IFERROR((Tabla3[[#This Row],[Close]]-OFFSET(Tabla3[[#This Row],[Close]],-1,0))/OFFSET(Tabla3[[#This Row],[Close]],-1,0),"")</f>
        <v>-5.455537370430987E-4</v>
      </c>
      <c r="K1772" s="2">
        <f ca="1">IFERROR(AVERAGE(OFFSET(Tabla3[[#This Row],[Close]],-6,0,7)),"")</f>
        <v>1841.0714285714273</v>
      </c>
      <c r="L1772" s="2">
        <f ca="1">IFERROR(_xlfn.STDEV.S(OFFSET(Tabla3[[#This Row],[Close]],-29,0,30)),"")</f>
        <v>36.336482194172696</v>
      </c>
    </row>
    <row r="1773" spans="1:12" x14ac:dyDescent="0.3">
      <c r="A1773" s="1">
        <v>44980</v>
      </c>
      <c r="B1773" s="3">
        <f>YEAR(Tabla3[[#This Row],[Date]])</f>
        <v>2023</v>
      </c>
      <c r="C1773" s="1" t="str">
        <f>+TEXT(Tabla3[[#This Row],[Date]],"mmm")</f>
        <v>feb</v>
      </c>
      <c r="D1773" s="2">
        <v>1818</v>
      </c>
      <c r="E1773" s="2">
        <v>1818</v>
      </c>
      <c r="F1773" s="2">
        <v>1827.5</v>
      </c>
      <c r="G1773" s="2">
        <v>1818</v>
      </c>
      <c r="H1773" s="2">
        <v>1826.40002441406</v>
      </c>
      <c r="I1773">
        <v>291</v>
      </c>
      <c r="J1773" s="2">
        <f ca="1">IFERROR((Tabla3[[#This Row],[Close]]-OFFSET(Tabla3[[#This Row],[Close]],-1,0))/OFFSET(Tabla3[[#This Row],[Close]],-1,0),"")</f>
        <v>-7.6419213973799123E-3</v>
      </c>
      <c r="K1773" s="2">
        <f ca="1">IFERROR(AVERAGE(OFFSET(Tabla3[[#This Row],[Close]],-6,0,7)),"")</f>
        <v>1836.2285679408471</v>
      </c>
      <c r="L1773" s="2">
        <f ca="1">IFERROR(_xlfn.STDEV.S(OFFSET(Tabla3[[#This Row],[Close]],-29,0,30)),"")</f>
        <v>38.478376006562577</v>
      </c>
    </row>
    <row r="1774" spans="1:12" x14ac:dyDescent="0.3">
      <c r="A1774" s="1">
        <v>44981</v>
      </c>
      <c r="B1774" s="3">
        <f>YEAR(Tabla3[[#This Row],[Date]])</f>
        <v>2023</v>
      </c>
      <c r="C1774" s="1" t="str">
        <f>+TEXT(Tabla3[[#This Row],[Date]],"mmm")</f>
        <v>feb</v>
      </c>
      <c r="D1774" s="2">
        <v>1808.80004882812</v>
      </c>
      <c r="E1774" s="2">
        <v>1808.80004882812</v>
      </c>
      <c r="F1774" s="2">
        <v>1808.80004882812</v>
      </c>
      <c r="G1774" s="2">
        <v>1808.80004882812</v>
      </c>
      <c r="H1774" s="2">
        <v>1808.80004882812</v>
      </c>
      <c r="I1774">
        <v>404</v>
      </c>
      <c r="J1774" s="2">
        <f ca="1">IFERROR((Tabla3[[#This Row],[Close]]-OFFSET(Tabla3[[#This Row],[Close]],-1,0))/OFFSET(Tabla3[[#This Row],[Close]],-1,0),"")</f>
        <v>-5.0604791924532466E-3</v>
      </c>
      <c r="K1774" s="2">
        <f ca="1">IFERROR(AVERAGE(OFFSET(Tabla3[[#This Row],[Close]],-6,0,7)),"")</f>
        <v>1829.7714320591499</v>
      </c>
      <c r="L1774" s="2">
        <f ca="1">IFERROR(_xlfn.STDEV.S(OFFSET(Tabla3[[#This Row],[Close]],-29,0,30)),"")</f>
        <v>41.016357128330242</v>
      </c>
    </row>
    <row r="1775" spans="1:12" x14ac:dyDescent="0.3">
      <c r="A1775" s="1">
        <v>44984</v>
      </c>
      <c r="B1775" s="3">
        <f>YEAR(Tabla3[[#This Row],[Date]])</f>
        <v>2023</v>
      </c>
      <c r="C1775" s="1" t="str">
        <f>+TEXT(Tabla3[[#This Row],[Date]],"mmm")</f>
        <v>feb</v>
      </c>
      <c r="D1775" s="2">
        <v>1817</v>
      </c>
      <c r="E1775" s="2">
        <v>1817</v>
      </c>
      <c r="F1775" s="2">
        <v>1817.5</v>
      </c>
      <c r="G1775" s="2">
        <v>1808.90002441406</v>
      </c>
      <c r="H1775" s="2">
        <v>1811.59997558593</v>
      </c>
      <c r="I1775">
        <v>829</v>
      </c>
      <c r="J1775" s="2">
        <f ca="1">IFERROR((Tabla3[[#This Row],[Close]]-OFFSET(Tabla3[[#This Row],[Close]],-1,0))/OFFSET(Tabla3[[#This Row],[Close]],-1,0),"")</f>
        <v>4.5333651871540814E-3</v>
      </c>
      <c r="K1775" s="2">
        <f ca="1">IFERROR(AVERAGE(OFFSET(Tabla3[[#This Row],[Close]],-6,0,7)),"")</f>
        <v>1827.314296177454</v>
      </c>
      <c r="L1775" s="2">
        <f ca="1">IFERROR(_xlfn.STDEV.S(OFFSET(Tabla3[[#This Row],[Close]],-29,0,30)),"")</f>
        <v>42.793082803121465</v>
      </c>
    </row>
    <row r="1776" spans="1:12" x14ac:dyDescent="0.3">
      <c r="A1776" s="1">
        <v>44985</v>
      </c>
      <c r="B1776" s="3">
        <f>YEAR(Tabla3[[#This Row],[Date]])</f>
        <v>2023</v>
      </c>
      <c r="C1776" s="1" t="str">
        <f>+TEXT(Tabla3[[#This Row],[Date]],"mmm")</f>
        <v>feb</v>
      </c>
      <c r="D1776" s="2">
        <v>1828.90002441406</v>
      </c>
      <c r="E1776" s="2">
        <v>1828.90002441406</v>
      </c>
      <c r="F1776" s="2">
        <v>1830</v>
      </c>
      <c r="G1776" s="2">
        <v>1808.09997558593</v>
      </c>
      <c r="H1776" s="2">
        <v>1808.09997558593</v>
      </c>
      <c r="I1776">
        <v>618</v>
      </c>
      <c r="J1776" s="2">
        <f ca="1">IFERROR((Tabla3[[#This Row],[Close]]-OFFSET(Tabla3[[#This Row],[Close]],-1,0))/OFFSET(Tabla3[[#This Row],[Close]],-1,0),"")</f>
        <v>6.5492704535277928E-3</v>
      </c>
      <c r="K1776" s="2">
        <f ca="1">IFERROR(AVERAGE(OFFSET(Tabla3[[#This Row],[Close]],-6,0,7)),"")</f>
        <v>1825.4428710937486</v>
      </c>
      <c r="L1776" s="2">
        <f ca="1">IFERROR(_xlfn.STDEV.S(OFFSET(Tabla3[[#This Row],[Close]],-29,0,30)),"")</f>
        <v>43.316708934115155</v>
      </c>
    </row>
    <row r="1777" spans="1:12" x14ac:dyDescent="0.3">
      <c r="A1777" s="1">
        <v>44986</v>
      </c>
      <c r="B1777" s="3">
        <f>YEAR(Tabla3[[#This Row],[Date]])</f>
        <v>2023</v>
      </c>
      <c r="C1777" s="1" t="str">
        <f>+TEXT(Tabla3[[#This Row],[Date]],"mmm")</f>
        <v>mar</v>
      </c>
      <c r="D1777" s="2">
        <v>1837.69995117187</v>
      </c>
      <c r="E1777" s="2">
        <v>1837.69995117187</v>
      </c>
      <c r="F1777" s="2">
        <v>1841.69995117187</v>
      </c>
      <c r="G1777" s="2">
        <v>1827.09997558593</v>
      </c>
      <c r="H1777" s="2">
        <v>1827.09997558593</v>
      </c>
      <c r="I1777">
        <v>211</v>
      </c>
      <c r="J1777" s="2">
        <f ca="1">IFERROR((Tabla3[[#This Row],[Close]]-OFFSET(Tabla3[[#This Row],[Close]],-1,0))/OFFSET(Tabla3[[#This Row],[Close]],-1,0),"")</f>
        <v>4.8115952979055293E-3</v>
      </c>
      <c r="K1777" s="2">
        <f ca="1">IFERROR(AVERAGE(OFFSET(Tabla3[[#This Row],[Close]],-6,0,7)),"")</f>
        <v>1825.0571463448643</v>
      </c>
      <c r="L1777" s="2">
        <f ca="1">IFERROR(_xlfn.STDEV.S(OFFSET(Tabla3[[#This Row],[Close]],-29,0,30)),"")</f>
        <v>43.639444674645055</v>
      </c>
    </row>
    <row r="1778" spans="1:12" x14ac:dyDescent="0.3">
      <c r="A1778" s="1">
        <v>44987</v>
      </c>
      <c r="B1778" s="3">
        <f>YEAR(Tabla3[[#This Row],[Date]])</f>
        <v>2023</v>
      </c>
      <c r="C1778" s="1" t="str">
        <f>+TEXT(Tabla3[[#This Row],[Date]],"mmm")</f>
        <v>mar</v>
      </c>
      <c r="D1778" s="2">
        <v>1833.5</v>
      </c>
      <c r="E1778" s="2">
        <v>1833.5</v>
      </c>
      <c r="F1778" s="2">
        <v>1836.30004882812</v>
      </c>
      <c r="G1778" s="2">
        <v>1830</v>
      </c>
      <c r="H1778" s="2">
        <v>1830</v>
      </c>
      <c r="I1778">
        <v>154</v>
      </c>
      <c r="J1778" s="2">
        <f ca="1">IFERROR((Tabla3[[#This Row],[Close]]-OFFSET(Tabla3[[#This Row],[Close]],-1,0))/OFFSET(Tabla3[[#This Row],[Close]],-1,0),"")</f>
        <v>-2.2854390180463142E-3</v>
      </c>
      <c r="K1778" s="2">
        <f ca="1">IFERROR(AVERAGE(OFFSET(Tabla3[[#This Row],[Close]],-6,0,7)),"")</f>
        <v>1825.1285749162928</v>
      </c>
      <c r="L1778" s="2">
        <f ca="1">IFERROR(_xlfn.STDEV.S(OFFSET(Tabla3[[#This Row],[Close]],-29,0,30)),"")</f>
        <v>44.030694028809549</v>
      </c>
    </row>
    <row r="1779" spans="1:12" x14ac:dyDescent="0.3">
      <c r="A1779" s="1">
        <v>44988</v>
      </c>
      <c r="B1779" s="3">
        <f>YEAR(Tabla3[[#This Row],[Date]])</f>
        <v>2023</v>
      </c>
      <c r="C1779" s="1" t="str">
        <f>+TEXT(Tabla3[[#This Row],[Date]],"mmm")</f>
        <v>mar</v>
      </c>
      <c r="D1779" s="2">
        <v>1847.69995117187</v>
      </c>
      <c r="E1779" s="2">
        <v>1847.69995117187</v>
      </c>
      <c r="F1779" s="2">
        <v>1855.40002441406</v>
      </c>
      <c r="G1779" s="2">
        <v>1837.30004882812</v>
      </c>
      <c r="H1779" s="2">
        <v>1837.30004882812</v>
      </c>
      <c r="I1779">
        <v>61</v>
      </c>
      <c r="J1779" s="2">
        <f ca="1">IFERROR((Tabla3[[#This Row],[Close]]-OFFSET(Tabla3[[#This Row],[Close]],-1,0))/OFFSET(Tabla3[[#This Row],[Close]],-1,0),"")</f>
        <v>7.7447238461248969E-3</v>
      </c>
      <c r="K1779" s="2">
        <f ca="1">IFERROR(AVERAGE(OFFSET(Tabla3[[#This Row],[Close]],-6,0,7)),"")</f>
        <v>1827.3714250837027</v>
      </c>
      <c r="L1779" s="2">
        <f ca="1">IFERROR(_xlfn.STDEV.S(OFFSET(Tabla3[[#This Row],[Close]],-29,0,30)),"")</f>
        <v>43.363933574776048</v>
      </c>
    </row>
    <row r="1780" spans="1:12" x14ac:dyDescent="0.3">
      <c r="A1780" s="1">
        <v>44991</v>
      </c>
      <c r="B1780" s="3">
        <f>YEAR(Tabla3[[#This Row],[Date]])</f>
        <v>2023</v>
      </c>
      <c r="C1780" s="1" t="str">
        <f>+TEXT(Tabla3[[#This Row],[Date]],"mmm")</f>
        <v>mar</v>
      </c>
      <c r="D1780" s="2">
        <v>1847.90002441406</v>
      </c>
      <c r="E1780" s="2">
        <v>1847.90002441406</v>
      </c>
      <c r="F1780" s="2">
        <v>1853.80004882812</v>
      </c>
      <c r="G1780" s="2">
        <v>1844.19995117187</v>
      </c>
      <c r="H1780" s="2">
        <v>1853.30004882812</v>
      </c>
      <c r="I1780">
        <v>5</v>
      </c>
      <c r="J1780" s="2">
        <f ca="1">IFERROR((Tabla3[[#This Row],[Close]]-OFFSET(Tabla3[[#This Row],[Close]],-1,0))/OFFSET(Tabla3[[#This Row],[Close]],-1,0),"")</f>
        <v>1.0828232260498156E-4</v>
      </c>
      <c r="K1780" s="2">
        <f ca="1">IFERROR(AVERAGE(OFFSET(Tabla3[[#This Row],[Close]],-6,0,7)),"")</f>
        <v>1831.6428571428544</v>
      </c>
      <c r="L1780" s="2">
        <f ca="1">IFERROR(_xlfn.STDEV.S(OFFSET(Tabla3[[#This Row],[Close]],-29,0,30)),"")</f>
        <v>42.343485578220175</v>
      </c>
    </row>
    <row r="1781" spans="1:12" x14ac:dyDescent="0.3">
      <c r="A1781" s="1">
        <v>44992</v>
      </c>
      <c r="B1781" s="3">
        <f>YEAR(Tabla3[[#This Row],[Date]])</f>
        <v>2023</v>
      </c>
      <c r="C1781" s="1" t="str">
        <f>+TEXT(Tabla3[[#This Row],[Date]],"mmm")</f>
        <v>mar</v>
      </c>
      <c r="D1781" s="2">
        <v>1813.90002441406</v>
      </c>
      <c r="E1781" s="2">
        <v>1813.90002441406</v>
      </c>
      <c r="F1781" s="2">
        <v>1840.90002441406</v>
      </c>
      <c r="G1781" s="2">
        <v>1813.90002441406</v>
      </c>
      <c r="H1781" s="2">
        <v>1840.90002441406</v>
      </c>
      <c r="I1781">
        <v>450</v>
      </c>
      <c r="J1781" s="2">
        <f ca="1">IFERROR((Tabla3[[#This Row],[Close]]-OFFSET(Tabla3[[#This Row],[Close]],-1,0))/OFFSET(Tabla3[[#This Row],[Close]],-1,0),"")</f>
        <v>-1.8399263786351681E-2</v>
      </c>
      <c r="K1781" s="2">
        <f ca="1">IFERROR(AVERAGE(OFFSET(Tabla3[[#This Row],[Close]],-6,0,7)),"")</f>
        <v>1832.3714250837031</v>
      </c>
      <c r="L1781" s="2">
        <f ca="1">IFERROR(_xlfn.STDEV.S(OFFSET(Tabla3[[#This Row],[Close]],-29,0,30)),"")</f>
        <v>42.093849423822398</v>
      </c>
    </row>
    <row r="1782" spans="1:12" x14ac:dyDescent="0.3">
      <c r="A1782" s="1">
        <v>44993</v>
      </c>
      <c r="B1782" s="3">
        <f>YEAR(Tabla3[[#This Row],[Date]])</f>
        <v>2023</v>
      </c>
      <c r="C1782" s="1" t="str">
        <f>+TEXT(Tabla3[[#This Row],[Date]],"mmm")</f>
        <v>mar</v>
      </c>
      <c r="D1782" s="2">
        <v>1812.69995117187</v>
      </c>
      <c r="E1782" s="2">
        <v>1812.69995117187</v>
      </c>
      <c r="F1782" s="2">
        <v>1812.90002441406</v>
      </c>
      <c r="G1782" s="2">
        <v>1811.5</v>
      </c>
      <c r="H1782" s="2">
        <v>1811.59997558593</v>
      </c>
      <c r="I1782">
        <v>75</v>
      </c>
      <c r="J1782" s="2">
        <f ca="1">IFERROR((Tabla3[[#This Row],[Close]]-OFFSET(Tabla3[[#This Row],[Close]],-1,0))/OFFSET(Tabla3[[#This Row],[Close]],-1,0),"")</f>
        <v>-6.6159833840768491E-4</v>
      </c>
      <c r="K1782" s="2">
        <f ca="1">IFERROR(AVERAGE(OFFSET(Tabla3[[#This Row],[Close]],-6,0,7)),"")</f>
        <v>1831.7571323939701</v>
      </c>
      <c r="L1782" s="2">
        <f ca="1">IFERROR(_xlfn.STDEV.S(OFFSET(Tabla3[[#This Row],[Close]],-29,0,30)),"")</f>
        <v>41.149306820562636</v>
      </c>
    </row>
    <row r="1783" spans="1:12" x14ac:dyDescent="0.3">
      <c r="A1783" s="1">
        <v>44994</v>
      </c>
      <c r="B1783" s="3">
        <f>YEAR(Tabla3[[#This Row],[Date]])</f>
        <v>2023</v>
      </c>
      <c r="C1783" s="1" t="str">
        <f>+TEXT(Tabla3[[#This Row],[Date]],"mmm")</f>
        <v>mar</v>
      </c>
      <c r="D1783" s="2">
        <v>1829.30004882812</v>
      </c>
      <c r="E1783" s="2">
        <v>1829.30004882812</v>
      </c>
      <c r="F1783" s="2">
        <v>1829.30004882812</v>
      </c>
      <c r="G1783" s="2">
        <v>1815.59997558593</v>
      </c>
      <c r="H1783" s="2">
        <v>1816.40002441406</v>
      </c>
      <c r="I1783">
        <v>332</v>
      </c>
      <c r="J1783" s="2">
        <f ca="1">IFERROR((Tabla3[[#This Row],[Close]]-OFFSET(Tabla3[[#This Row],[Close]],-1,0))/OFFSET(Tabla3[[#This Row],[Close]],-1,0),"")</f>
        <v>9.157664314779955E-3</v>
      </c>
      <c r="K1783" s="2">
        <f ca="1">IFERROR(AVERAGE(OFFSET(Tabla3[[#This Row],[Close]],-6,0,7)),"")</f>
        <v>1831.8142787388356</v>
      </c>
      <c r="L1783" s="2">
        <f ca="1">IFERROR(_xlfn.STDEV.S(OFFSET(Tabla3[[#This Row],[Close]],-29,0,30)),"")</f>
        <v>38.710070877363513</v>
      </c>
    </row>
    <row r="1784" spans="1:12" x14ac:dyDescent="0.3">
      <c r="A1784" s="1">
        <v>44995</v>
      </c>
      <c r="B1784" s="3">
        <f>YEAR(Tabla3[[#This Row],[Date]])</f>
        <v>2023</v>
      </c>
      <c r="C1784" s="1" t="str">
        <f>+TEXT(Tabla3[[#This Row],[Date]],"mmm")</f>
        <v>mar</v>
      </c>
      <c r="D1784" s="2">
        <v>1862</v>
      </c>
      <c r="E1784" s="2">
        <v>1862</v>
      </c>
      <c r="F1784" s="2">
        <v>1868.5</v>
      </c>
      <c r="G1784" s="2">
        <v>1852</v>
      </c>
      <c r="H1784" s="2">
        <v>1852.30004882812</v>
      </c>
      <c r="I1784">
        <v>248</v>
      </c>
      <c r="J1784" s="2">
        <f ca="1">IFERROR((Tabla3[[#This Row],[Close]]-OFFSET(Tabla3[[#This Row],[Close]],-1,0))/OFFSET(Tabla3[[#This Row],[Close]],-1,0),"")</f>
        <v>1.7875662985319514E-2</v>
      </c>
      <c r="K1784" s="2">
        <f ca="1">IFERROR(AVERAGE(OFFSET(Tabla3[[#This Row],[Close]],-6,0,7)),"")</f>
        <v>1835.2857142857115</v>
      </c>
      <c r="L1784" s="2">
        <f ca="1">IFERROR(_xlfn.STDEV.S(OFFSET(Tabla3[[#This Row],[Close]],-29,0,30)),"")</f>
        <v>36.334445908523122</v>
      </c>
    </row>
    <row r="1785" spans="1:12" x14ac:dyDescent="0.3">
      <c r="A1785" s="1">
        <v>44998</v>
      </c>
      <c r="B1785" s="3">
        <f>YEAR(Tabla3[[#This Row],[Date]])</f>
        <v>2023</v>
      </c>
      <c r="C1785" s="1" t="str">
        <f>+TEXT(Tabla3[[#This Row],[Date]],"mmm")</f>
        <v>mar</v>
      </c>
      <c r="D1785" s="2">
        <v>1911.69995117187</v>
      </c>
      <c r="E1785" s="2">
        <v>1911.69995117187</v>
      </c>
      <c r="F1785" s="2">
        <v>1913.09997558593</v>
      </c>
      <c r="G1785" s="2">
        <v>1875.09997558593</v>
      </c>
      <c r="H1785" s="2">
        <v>1890.80004882812</v>
      </c>
      <c r="I1785">
        <v>503</v>
      </c>
      <c r="J1785" s="2">
        <f ca="1">IFERROR((Tabla3[[#This Row],[Close]]-OFFSET(Tabla3[[#This Row],[Close]],-1,0))/OFFSET(Tabla3[[#This Row],[Close]],-1,0),"")</f>
        <v>2.6691703099822769E-2</v>
      </c>
      <c r="K1785" s="2">
        <f ca="1">IFERROR(AVERAGE(OFFSET(Tabla3[[#This Row],[Close]],-6,0,7)),"")</f>
        <v>1846.4571358816927</v>
      </c>
      <c r="L1785" s="2">
        <f ca="1">IFERROR(_xlfn.STDEV.S(OFFSET(Tabla3[[#This Row],[Close]],-29,0,30)),"")</f>
        <v>35.284371836418778</v>
      </c>
    </row>
    <row r="1786" spans="1:12" x14ac:dyDescent="0.3">
      <c r="A1786" s="1">
        <v>44999</v>
      </c>
      <c r="B1786" s="3">
        <f>YEAR(Tabla3[[#This Row],[Date]])</f>
        <v>2023</v>
      </c>
      <c r="C1786" s="1" t="str">
        <f>+TEXT(Tabla3[[#This Row],[Date]],"mmm")</f>
        <v>mar</v>
      </c>
      <c r="D1786" s="2">
        <v>1906.19995117187</v>
      </c>
      <c r="E1786" s="2">
        <v>1906.19995117187</v>
      </c>
      <c r="F1786" s="2">
        <v>1912.19995117187</v>
      </c>
      <c r="G1786" s="2">
        <v>1901.09997558593</v>
      </c>
      <c r="H1786" s="2">
        <v>1912.19995117187</v>
      </c>
      <c r="I1786">
        <v>107</v>
      </c>
      <c r="J1786" s="2">
        <f ca="1">IFERROR((Tabla3[[#This Row],[Close]]-OFFSET(Tabla3[[#This Row],[Close]],-1,0))/OFFSET(Tabla3[[#This Row],[Close]],-1,0),"")</f>
        <v>-2.8770205264840362E-3</v>
      </c>
      <c r="K1786" s="2">
        <f ca="1">IFERROR(AVERAGE(OFFSET(Tabla3[[#This Row],[Close]],-6,0,7)),"")</f>
        <v>1854.8142787388356</v>
      </c>
      <c r="L1786" s="2">
        <f ca="1">IFERROR(_xlfn.STDEV.S(OFFSET(Tabla3[[#This Row],[Close]],-29,0,30)),"")</f>
        <v>34.29980028518969</v>
      </c>
    </row>
    <row r="1787" spans="1:12" x14ac:dyDescent="0.3">
      <c r="A1787" s="1">
        <v>45000</v>
      </c>
      <c r="B1787" s="3">
        <f>YEAR(Tabla3[[#This Row],[Date]])</f>
        <v>2023</v>
      </c>
      <c r="C1787" s="1" t="str">
        <f>+TEXT(Tabla3[[#This Row],[Date]],"mmm")</f>
        <v>mar</v>
      </c>
      <c r="D1787" s="2">
        <v>1926.59997558593</v>
      </c>
      <c r="E1787" s="2">
        <v>1926.59997558593</v>
      </c>
      <c r="F1787" s="2">
        <v>1926.59997558593</v>
      </c>
      <c r="G1787" s="2">
        <v>1898.5</v>
      </c>
      <c r="H1787" s="2">
        <v>1903.90002441406</v>
      </c>
      <c r="I1787">
        <v>564</v>
      </c>
      <c r="J1787" s="2">
        <f ca="1">IFERROR((Tabla3[[#This Row],[Close]]-OFFSET(Tabla3[[#This Row],[Close]],-1,0))/OFFSET(Tabla3[[#This Row],[Close]],-1,0),"")</f>
        <v>1.0701933132208259E-2</v>
      </c>
      <c r="K1787" s="2">
        <f ca="1">IFERROR(AVERAGE(OFFSET(Tabla3[[#This Row],[Close]],-6,0,7)),"")</f>
        <v>1866.0571289062457</v>
      </c>
      <c r="L1787" s="2">
        <f ca="1">IFERROR(_xlfn.STDEV.S(OFFSET(Tabla3[[#This Row],[Close]],-29,0,30)),"")</f>
        <v>34.085390492568415</v>
      </c>
    </row>
    <row r="1788" spans="1:12" x14ac:dyDescent="0.3">
      <c r="A1788" s="1">
        <v>45001</v>
      </c>
      <c r="B1788" s="3">
        <f>YEAR(Tabla3[[#This Row],[Date]])</f>
        <v>2023</v>
      </c>
      <c r="C1788" s="1" t="str">
        <f>+TEXT(Tabla3[[#This Row],[Date]],"mmm")</f>
        <v>mar</v>
      </c>
      <c r="D1788" s="2">
        <v>1919</v>
      </c>
      <c r="E1788" s="2">
        <v>1919</v>
      </c>
      <c r="F1788" s="2">
        <v>1931.69995117187</v>
      </c>
      <c r="G1788" s="2">
        <v>1909.90002441406</v>
      </c>
      <c r="H1788" s="2">
        <v>1909.90002441406</v>
      </c>
      <c r="I1788">
        <v>394</v>
      </c>
      <c r="J1788" s="2">
        <f ca="1">IFERROR((Tabla3[[#This Row],[Close]]-OFFSET(Tabla3[[#This Row],[Close]],-1,0))/OFFSET(Tabla3[[#This Row],[Close]],-1,0),"")</f>
        <v>-3.9447605534296982E-3</v>
      </c>
      <c r="K1788" s="2">
        <f ca="1">IFERROR(AVERAGE(OFFSET(Tabla3[[#This Row],[Close]],-6,0,7)),"")</f>
        <v>1881.0714111328086</v>
      </c>
      <c r="L1788" s="2">
        <f ca="1">IFERROR(_xlfn.STDEV.S(OFFSET(Tabla3[[#This Row],[Close]],-29,0,30)),"")</f>
        <v>33.466770434226838</v>
      </c>
    </row>
    <row r="1789" spans="1:12" x14ac:dyDescent="0.3">
      <c r="A1789" s="1">
        <v>45002</v>
      </c>
      <c r="B1789" s="3">
        <f>YEAR(Tabla3[[#This Row],[Date]])</f>
        <v>2023</v>
      </c>
      <c r="C1789" s="1" t="str">
        <f>+TEXT(Tabla3[[#This Row],[Date]],"mmm")</f>
        <v>mar</v>
      </c>
      <c r="D1789" s="2">
        <v>1969.80004882812</v>
      </c>
      <c r="E1789" s="2">
        <v>1969.80004882812</v>
      </c>
      <c r="F1789" s="2">
        <v>1985.09997558593</v>
      </c>
      <c r="G1789" s="2">
        <v>1946</v>
      </c>
      <c r="H1789" s="2">
        <v>1946</v>
      </c>
      <c r="I1789">
        <v>82</v>
      </c>
      <c r="J1789" s="2">
        <f ca="1">IFERROR((Tabla3[[#This Row],[Close]]-OFFSET(Tabla3[[#This Row],[Close]],-1,0))/OFFSET(Tabla3[[#This Row],[Close]],-1,0),"")</f>
        <v>2.6472146340865033E-2</v>
      </c>
      <c r="K1789" s="2">
        <f ca="1">IFERROR(AVERAGE(OFFSET(Tabla3[[#This Row],[Close]],-6,0,7)),"")</f>
        <v>1903.5142822265586</v>
      </c>
      <c r="L1789" s="2">
        <f ca="1">IFERROR(_xlfn.STDEV.S(OFFSET(Tabla3[[#This Row],[Close]],-29,0,30)),"")</f>
        <v>37.997831554222856</v>
      </c>
    </row>
    <row r="1790" spans="1:12" x14ac:dyDescent="0.3">
      <c r="A1790" s="1">
        <v>45005</v>
      </c>
      <c r="B1790" s="3">
        <f>YEAR(Tabla3[[#This Row],[Date]])</f>
        <v>2023</v>
      </c>
      <c r="C1790" s="1" t="str">
        <f>+TEXT(Tabla3[[#This Row],[Date]],"mmm")</f>
        <v>mar</v>
      </c>
      <c r="D1790" s="2">
        <v>1979.19995117187</v>
      </c>
      <c r="E1790" s="2">
        <v>1979.19995117187</v>
      </c>
      <c r="F1790" s="2">
        <v>2003.90002441406</v>
      </c>
      <c r="G1790" s="2">
        <v>1968.90002441406</v>
      </c>
      <c r="H1790" s="2">
        <v>1988.30004882812</v>
      </c>
      <c r="I1790">
        <v>389</v>
      </c>
      <c r="J1790" s="2">
        <f ca="1">IFERROR((Tabla3[[#This Row],[Close]]-OFFSET(Tabla3[[#This Row],[Close]],-1,0))/OFFSET(Tabla3[[#This Row],[Close]],-1,0),"")</f>
        <v>4.7720083819381672E-3</v>
      </c>
      <c r="K1790" s="2">
        <f ca="1">IFERROR(AVERAGE(OFFSET(Tabla3[[#This Row],[Close]],-6,0,7)),"")</f>
        <v>1924.9285539899513</v>
      </c>
      <c r="L1790" s="2">
        <f ca="1">IFERROR(_xlfn.STDEV.S(OFFSET(Tabla3[[#This Row],[Close]],-29,0,30)),"")</f>
        <v>44.14283849902251</v>
      </c>
    </row>
    <row r="1791" spans="1:12" x14ac:dyDescent="0.3">
      <c r="A1791" s="1">
        <v>45006</v>
      </c>
      <c r="B1791" s="3">
        <f>YEAR(Tabla3[[#This Row],[Date]])</f>
        <v>2023</v>
      </c>
      <c r="C1791" s="1" t="str">
        <f>+TEXT(Tabla3[[#This Row],[Date]],"mmm")</f>
        <v>mar</v>
      </c>
      <c r="D1791" s="2">
        <v>1938</v>
      </c>
      <c r="E1791" s="2">
        <v>1938</v>
      </c>
      <c r="F1791" s="2">
        <v>1973.80004882812</v>
      </c>
      <c r="G1791" s="2">
        <v>1938</v>
      </c>
      <c r="H1791" s="2">
        <v>1973.80004882812</v>
      </c>
      <c r="I1791">
        <v>47</v>
      </c>
      <c r="J1791" s="2">
        <f ca="1">IFERROR((Tabla3[[#This Row],[Close]]-OFFSET(Tabla3[[#This Row],[Close]],-1,0))/OFFSET(Tabla3[[#This Row],[Close]],-1,0),"")</f>
        <v>-2.0816467354637821E-2</v>
      </c>
      <c r="K1791" s="2">
        <f ca="1">IFERROR(AVERAGE(OFFSET(Tabla3[[#This Row],[Close]],-6,0,7)),"")</f>
        <v>1935.7856968470944</v>
      </c>
      <c r="L1791" s="2">
        <f ca="1">IFERROR(_xlfn.STDEV.S(OFFSET(Tabla3[[#This Row],[Close]],-29,0,30)),"")</f>
        <v>46.37727522045811</v>
      </c>
    </row>
    <row r="1792" spans="1:12" x14ac:dyDescent="0.3">
      <c r="A1792" s="1">
        <v>45007</v>
      </c>
      <c r="B1792" s="3">
        <f>YEAR(Tabla3[[#This Row],[Date]])</f>
        <v>2023</v>
      </c>
      <c r="C1792" s="1" t="str">
        <f>+TEXT(Tabla3[[#This Row],[Date]],"mmm")</f>
        <v>mar</v>
      </c>
      <c r="D1792" s="2">
        <v>1946.80004882812</v>
      </c>
      <c r="E1792" s="2">
        <v>1946.80004882812</v>
      </c>
      <c r="F1792" s="2">
        <v>1974</v>
      </c>
      <c r="G1792" s="2">
        <v>1946.80004882812</v>
      </c>
      <c r="H1792" s="2">
        <v>1946.80004882812</v>
      </c>
      <c r="I1792">
        <v>50</v>
      </c>
      <c r="J1792" s="2">
        <f ca="1">IFERROR((Tabla3[[#This Row],[Close]]-OFFSET(Tabla3[[#This Row],[Close]],-1,0))/OFFSET(Tabla3[[#This Row],[Close]],-1,0),"")</f>
        <v>4.540788868998967E-3</v>
      </c>
      <c r="K1792" s="2">
        <f ca="1">IFERROR(AVERAGE(OFFSET(Tabla3[[#This Row],[Close]],-6,0,7)),"")</f>
        <v>1940.7999965122726</v>
      </c>
      <c r="L1792" s="2">
        <f ca="1">IFERROR(_xlfn.STDEV.S(OFFSET(Tabla3[[#This Row],[Close]],-29,0,30)),"")</f>
        <v>48.854487309826631</v>
      </c>
    </row>
    <row r="1793" spans="1:12" x14ac:dyDescent="0.3">
      <c r="A1793" s="1">
        <v>45008</v>
      </c>
      <c r="B1793" s="3">
        <f>YEAR(Tabla3[[#This Row],[Date]])</f>
        <v>2023</v>
      </c>
      <c r="C1793" s="1" t="str">
        <f>+TEXT(Tabla3[[#This Row],[Date]],"mmm")</f>
        <v>mar</v>
      </c>
      <c r="D1793" s="2">
        <v>1993.80004882812</v>
      </c>
      <c r="E1793" s="2">
        <v>1993.80004882812</v>
      </c>
      <c r="F1793" s="2">
        <v>1994.59997558593</v>
      </c>
      <c r="G1793" s="2">
        <v>1990.5</v>
      </c>
      <c r="H1793" s="2">
        <v>1990.5</v>
      </c>
      <c r="I1793">
        <v>33</v>
      </c>
      <c r="J1793" s="2">
        <f ca="1">IFERROR((Tabla3[[#This Row],[Close]]-OFFSET(Tabla3[[#This Row],[Close]],-1,0))/OFFSET(Tabla3[[#This Row],[Close]],-1,0),"")</f>
        <v>2.4142181436810493E-2</v>
      </c>
      <c r="K1793" s="2">
        <f ca="1">IFERROR(AVERAGE(OFFSET(Tabla3[[#This Row],[Close]],-6,0,7)),"")</f>
        <v>1953.3142961774513</v>
      </c>
      <c r="L1793" s="2">
        <f ca="1">IFERROR(_xlfn.STDEV.S(OFFSET(Tabla3[[#This Row],[Close]],-29,0,30)),"")</f>
        <v>54.206180762806163</v>
      </c>
    </row>
    <row r="1794" spans="1:12" x14ac:dyDescent="0.3">
      <c r="A1794" s="1">
        <v>45009</v>
      </c>
      <c r="B1794" s="3">
        <f>YEAR(Tabla3[[#This Row],[Date]])</f>
        <v>2023</v>
      </c>
      <c r="C1794" s="1" t="str">
        <f>+TEXT(Tabla3[[#This Row],[Date]],"mmm")</f>
        <v>mar</v>
      </c>
      <c r="D1794" s="2">
        <v>1982.09997558593</v>
      </c>
      <c r="E1794" s="2">
        <v>1982.09997558593</v>
      </c>
      <c r="F1794" s="2">
        <v>1995.40002441406</v>
      </c>
      <c r="G1794" s="2">
        <v>1982.09997558593</v>
      </c>
      <c r="H1794" s="2">
        <v>1991.69995117187</v>
      </c>
      <c r="I1794">
        <v>19</v>
      </c>
      <c r="J1794" s="2">
        <f ca="1">IFERROR((Tabla3[[#This Row],[Close]]-OFFSET(Tabla3[[#This Row],[Close]],-1,0))/OFFSET(Tabla3[[#This Row],[Close]],-1,0),"")</f>
        <v>-5.8682279845799282E-3</v>
      </c>
      <c r="K1794" s="2">
        <f ca="1">IFERROR(AVERAGE(OFFSET(Tabla3[[#This Row],[Close]],-6,0,7)),"")</f>
        <v>1961.2428676060229</v>
      </c>
      <c r="L1794" s="2">
        <f ca="1">IFERROR(_xlfn.STDEV.S(OFFSET(Tabla3[[#This Row],[Close]],-29,0,30)),"")</f>
        <v>58.008806696857484</v>
      </c>
    </row>
    <row r="1795" spans="1:12" x14ac:dyDescent="0.3">
      <c r="A1795" s="1">
        <v>45012</v>
      </c>
      <c r="B1795" s="3">
        <f>YEAR(Tabla3[[#This Row],[Date]])</f>
        <v>2023</v>
      </c>
      <c r="C1795" s="1" t="str">
        <f>+TEXT(Tabla3[[#This Row],[Date]],"mmm")</f>
        <v>mar</v>
      </c>
      <c r="D1795" s="2">
        <v>1952.40002441406</v>
      </c>
      <c r="E1795" s="2">
        <v>1952.40002441406</v>
      </c>
      <c r="F1795" s="2">
        <v>1957.19995117187</v>
      </c>
      <c r="G1795" s="2">
        <v>1952.40002441406</v>
      </c>
      <c r="H1795" s="2">
        <v>1957.19995117187</v>
      </c>
      <c r="I1795">
        <v>877</v>
      </c>
      <c r="J1795" s="2">
        <f ca="1">IFERROR((Tabla3[[#This Row],[Close]]-OFFSET(Tabla3[[#This Row],[Close]],-1,0))/OFFSET(Tabla3[[#This Row],[Close]],-1,0),"")</f>
        <v>-1.4984083314511103E-2</v>
      </c>
      <c r="K1795" s="2">
        <f ca="1">IFERROR(AVERAGE(OFFSET(Tabla3[[#This Row],[Close]],-6,0,7)),"")</f>
        <v>1966.0142996651743</v>
      </c>
      <c r="L1795" s="2">
        <f ca="1">IFERROR(_xlfn.STDEV.S(OFFSET(Tabla3[[#This Row],[Close]],-29,0,30)),"")</f>
        <v>59.761798672223513</v>
      </c>
    </row>
    <row r="1796" spans="1:12" x14ac:dyDescent="0.3">
      <c r="A1796" s="1">
        <v>45013</v>
      </c>
      <c r="B1796" s="3">
        <f>YEAR(Tabla3[[#This Row],[Date]])</f>
        <v>2023</v>
      </c>
      <c r="C1796" s="1" t="str">
        <f>+TEXT(Tabla3[[#This Row],[Date]],"mmm")</f>
        <v>mar</v>
      </c>
      <c r="D1796" s="2">
        <v>1972.40002441406</v>
      </c>
      <c r="E1796" s="2">
        <v>1972.40002441406</v>
      </c>
      <c r="F1796" s="2">
        <v>1972.40002441406</v>
      </c>
      <c r="G1796" s="2">
        <v>1972.40002441406</v>
      </c>
      <c r="H1796" s="2">
        <v>1972.40002441406</v>
      </c>
      <c r="I1796">
        <v>21</v>
      </c>
      <c r="J1796" s="2">
        <f ca="1">IFERROR((Tabla3[[#This Row],[Close]]-OFFSET(Tabla3[[#This Row],[Close]],-1,0))/OFFSET(Tabla3[[#This Row],[Close]],-1,0),"")</f>
        <v>1.0243802371392744E-2</v>
      </c>
      <c r="K1796" s="2">
        <f ca="1">IFERROR(AVERAGE(OFFSET(Tabla3[[#This Row],[Close]],-6,0,7)),"")</f>
        <v>1966.3857247488802</v>
      </c>
      <c r="L1796" s="2">
        <f ca="1">IFERROR(_xlfn.STDEV.S(OFFSET(Tabla3[[#This Row],[Close]],-29,0,30)),"")</f>
        <v>62.111459615859673</v>
      </c>
    </row>
    <row r="1797" spans="1:12" x14ac:dyDescent="0.3">
      <c r="A1797" s="1">
        <v>45014</v>
      </c>
      <c r="B1797" s="3">
        <f>YEAR(Tabla3[[#This Row],[Date]])</f>
        <v>2023</v>
      </c>
      <c r="C1797" s="1" t="str">
        <f>+TEXT(Tabla3[[#This Row],[Date]],"mmm")</f>
        <v>mar</v>
      </c>
      <c r="D1797" s="2">
        <v>1966.09997558593</v>
      </c>
      <c r="E1797" s="2">
        <v>1966.09997558593</v>
      </c>
      <c r="F1797" s="2">
        <v>1966.09997558593</v>
      </c>
      <c r="G1797" s="2">
        <v>1966.09997558593</v>
      </c>
      <c r="H1797" s="2">
        <v>1966.09997558593</v>
      </c>
      <c r="I1797">
        <v>88563</v>
      </c>
      <c r="J1797" s="2">
        <f ca="1">IFERROR((Tabla3[[#This Row],[Close]]-OFFSET(Tabla3[[#This Row],[Close]],-1,0))/OFFSET(Tabla3[[#This Row],[Close]],-1,0),"")</f>
        <v>-3.1941029964251571E-3</v>
      </c>
      <c r="K1797" s="2">
        <f ca="1">IFERROR(AVERAGE(OFFSET(Tabla3[[#This Row],[Close]],-6,0,7)),"")</f>
        <v>1964.5142996651743</v>
      </c>
      <c r="L1797" s="2">
        <f ca="1">IFERROR(_xlfn.STDEV.S(OFFSET(Tabla3[[#This Row],[Close]],-29,0,30)),"")</f>
        <v>63.859423921269425</v>
      </c>
    </row>
    <row r="1798" spans="1:12" x14ac:dyDescent="0.3">
      <c r="A1798" s="1">
        <v>45015</v>
      </c>
      <c r="B1798" s="3">
        <f>YEAR(Tabla3[[#This Row],[Date]])</f>
        <v>2023</v>
      </c>
      <c r="C1798" s="1" t="str">
        <f>+TEXT(Tabla3[[#This Row],[Date]],"mmm")</f>
        <v>mar</v>
      </c>
      <c r="D1798" s="2">
        <v>1980.30004882812</v>
      </c>
      <c r="E1798" s="2">
        <v>1980.30004882812</v>
      </c>
      <c r="F1798" s="2">
        <v>1984.40002441406</v>
      </c>
      <c r="G1798" s="2">
        <v>1954.90002441406</v>
      </c>
      <c r="H1798" s="2">
        <v>1965.90002441406</v>
      </c>
      <c r="I1798">
        <v>10119</v>
      </c>
      <c r="J1798" s="2">
        <f ca="1">IFERROR((Tabla3[[#This Row],[Close]]-OFFSET(Tabla3[[#This Row],[Close]],-1,0))/OFFSET(Tabla3[[#This Row],[Close]],-1,0),"")</f>
        <v>7.2224573615378568E-3</v>
      </c>
      <c r="K1798" s="2">
        <f ca="1">IFERROR(AVERAGE(OFFSET(Tabla3[[#This Row],[Close]],-6,0,7)),"")</f>
        <v>1970.5571637834771</v>
      </c>
      <c r="L1798" s="2">
        <f ca="1">IFERROR(_xlfn.STDEV.S(OFFSET(Tabla3[[#This Row],[Close]],-29,0,30)),"")</f>
        <v>65.524280211757258</v>
      </c>
    </row>
    <row r="1799" spans="1:12" x14ac:dyDescent="0.3">
      <c r="A1799" s="1">
        <v>45016</v>
      </c>
      <c r="B1799" s="3">
        <f>YEAR(Tabla3[[#This Row],[Date]])</f>
        <v>2023</v>
      </c>
      <c r="C1799" s="1" t="str">
        <f>+TEXT(Tabla3[[#This Row],[Date]],"mmm")</f>
        <v>mar</v>
      </c>
      <c r="D1799" s="2">
        <v>1969</v>
      </c>
      <c r="E1799" s="2">
        <v>1969</v>
      </c>
      <c r="F1799" s="2">
        <v>1986.80004882812</v>
      </c>
      <c r="G1799" s="2">
        <v>1968</v>
      </c>
      <c r="H1799" s="2">
        <v>1981.30004882812</v>
      </c>
      <c r="I1799">
        <v>957</v>
      </c>
      <c r="J1799" s="2">
        <f ca="1">IFERROR((Tabla3[[#This Row],[Close]]-OFFSET(Tabla3[[#This Row],[Close]],-1,0))/OFFSET(Tabla3[[#This Row],[Close]],-1,0),"")</f>
        <v>-5.7062306466169185E-3</v>
      </c>
      <c r="K1799" s="2">
        <f ca="1">IFERROR(AVERAGE(OFFSET(Tabla3[[#This Row],[Close]],-6,0,7)),"")</f>
        <v>1973.7285853794599</v>
      </c>
      <c r="L1799" s="2">
        <f ca="1">IFERROR(_xlfn.STDEV.S(OFFSET(Tabla3[[#This Row],[Close]],-29,0,30)),"")</f>
        <v>66.524296918368563</v>
      </c>
    </row>
    <row r="1800" spans="1:12" x14ac:dyDescent="0.3">
      <c r="A1800" s="1">
        <v>45019</v>
      </c>
      <c r="B1800" s="3">
        <f>YEAR(Tabla3[[#This Row],[Date]])</f>
        <v>2023</v>
      </c>
      <c r="C1800" s="1" t="str">
        <f>+TEXT(Tabla3[[#This Row],[Date]],"mmm")</f>
        <v>abr</v>
      </c>
      <c r="D1800" s="2">
        <v>1983.90002441406</v>
      </c>
      <c r="E1800" s="2">
        <v>1983.90002441406</v>
      </c>
      <c r="F1800" s="2">
        <v>1991.69995117187</v>
      </c>
      <c r="G1800" s="2">
        <v>1950</v>
      </c>
      <c r="H1800" s="2">
        <v>1968.09997558593</v>
      </c>
      <c r="I1800">
        <v>737</v>
      </c>
      <c r="J1800" s="2">
        <f ca="1">IFERROR((Tabla3[[#This Row],[Close]]-OFFSET(Tabla3[[#This Row],[Close]],-1,0))/OFFSET(Tabla3[[#This Row],[Close]],-1,0),"")</f>
        <v>7.5673054413712536E-3</v>
      </c>
      <c r="K1800" s="2">
        <f ca="1">IFERROR(AVERAGE(OFFSET(Tabla3[[#This Row],[Close]],-6,0,7)),"")</f>
        <v>1972.3142961774515</v>
      </c>
      <c r="L1800" s="2">
        <f ca="1">IFERROR(_xlfn.STDEV.S(OFFSET(Tabla3[[#This Row],[Close]],-29,0,30)),"")</f>
        <v>67.792952615840377</v>
      </c>
    </row>
    <row r="1801" spans="1:12" x14ac:dyDescent="0.3">
      <c r="A1801" s="1">
        <v>45020</v>
      </c>
      <c r="B1801" s="3">
        <f>YEAR(Tabla3[[#This Row],[Date]])</f>
        <v>2023</v>
      </c>
      <c r="C1801" s="1" t="str">
        <f>+TEXT(Tabla3[[#This Row],[Date]],"mmm")</f>
        <v>abr</v>
      </c>
      <c r="D1801" s="2">
        <v>2022.19995117187</v>
      </c>
      <c r="E1801" s="2">
        <v>2022.19995117187</v>
      </c>
      <c r="F1801" s="2">
        <v>2027.09997558593</v>
      </c>
      <c r="G1801" s="2">
        <v>1979</v>
      </c>
      <c r="H1801" s="2">
        <v>1984.59997558593</v>
      </c>
      <c r="I1801">
        <v>811</v>
      </c>
      <c r="J1801" s="2">
        <f ca="1">IFERROR((Tabla3[[#This Row],[Close]]-OFFSET(Tabla3[[#This Row],[Close]],-1,0))/OFFSET(Tabla3[[#This Row],[Close]],-1,0),"")</f>
        <v>1.9305371382875903E-2</v>
      </c>
      <c r="K1801" s="2">
        <f ca="1">IFERROR(AVERAGE(OFFSET(Tabla3[[#This Row],[Close]],-6,0,7)),"")</f>
        <v>1978.0428641183</v>
      </c>
      <c r="L1801" s="2">
        <f ca="1">IFERROR(_xlfn.STDEV.S(OFFSET(Tabla3[[#This Row],[Close]],-29,0,30)),"")</f>
        <v>70.354791797505499</v>
      </c>
    </row>
    <row r="1802" spans="1:12" x14ac:dyDescent="0.3">
      <c r="A1802" s="1">
        <v>45021</v>
      </c>
      <c r="B1802" s="3">
        <f>YEAR(Tabla3[[#This Row],[Date]])</f>
        <v>2023</v>
      </c>
      <c r="C1802" s="1" t="str">
        <f>+TEXT(Tabla3[[#This Row],[Date]],"mmm")</f>
        <v>abr</v>
      </c>
      <c r="D1802" s="2">
        <v>2020.90002441406</v>
      </c>
      <c r="E1802" s="2">
        <v>2020.90002441406</v>
      </c>
      <c r="F1802" s="2">
        <v>2033.80004882812</v>
      </c>
      <c r="G1802" s="2">
        <v>2013.59997558593</v>
      </c>
      <c r="H1802" s="2">
        <v>2022.09997558593</v>
      </c>
      <c r="I1802">
        <v>525</v>
      </c>
      <c r="J1802" s="2">
        <f ca="1">IFERROR((Tabla3[[#This Row],[Close]]-OFFSET(Tabla3[[#This Row],[Close]],-1,0))/OFFSET(Tabla3[[#This Row],[Close]],-1,0),"")</f>
        <v>-6.4282800375733767E-4</v>
      </c>
      <c r="K1802" s="2">
        <f ca="1">IFERROR(AVERAGE(OFFSET(Tabla3[[#This Row],[Close]],-6,0,7)),"")</f>
        <v>1987.8285784040145</v>
      </c>
      <c r="L1802" s="2">
        <f ca="1">IFERROR(_xlfn.STDEV.S(OFFSET(Tabla3[[#This Row],[Close]],-29,0,30)),"")</f>
        <v>72.153109693559315</v>
      </c>
    </row>
    <row r="1803" spans="1:12" x14ac:dyDescent="0.3">
      <c r="A1803" s="1">
        <v>45022</v>
      </c>
      <c r="B1803" s="3">
        <f>YEAR(Tabla3[[#This Row],[Date]])</f>
        <v>2023</v>
      </c>
      <c r="C1803" s="1" t="str">
        <f>+TEXT(Tabla3[[#This Row],[Date]],"mmm")</f>
        <v>abr</v>
      </c>
      <c r="D1803" s="2">
        <v>2011.90002441406</v>
      </c>
      <c r="E1803" s="2">
        <v>2011.90002441406</v>
      </c>
      <c r="F1803" s="2">
        <v>2023.30004882812</v>
      </c>
      <c r="G1803" s="2">
        <v>2005</v>
      </c>
      <c r="H1803" s="2">
        <v>2022.19995117187</v>
      </c>
      <c r="I1803">
        <v>0</v>
      </c>
      <c r="J1803" s="2">
        <f ca="1">IFERROR((Tabla3[[#This Row],[Close]]-OFFSET(Tabla3[[#This Row],[Close]],-1,0))/OFFSET(Tabla3[[#This Row],[Close]],-1,0),"")</f>
        <v>-4.4534612753094806E-3</v>
      </c>
      <c r="K1803" s="2">
        <f ca="1">IFERROR(AVERAGE(OFFSET(Tabla3[[#This Row],[Close]],-6,0,7)),"")</f>
        <v>1993.4714355468716</v>
      </c>
      <c r="L1803" s="2">
        <f ca="1">IFERROR(_xlfn.STDEV.S(OFFSET(Tabla3[[#This Row],[Close]],-29,0,30)),"")</f>
        <v>72.318948316086136</v>
      </c>
    </row>
    <row r="1804" spans="1:12" x14ac:dyDescent="0.3">
      <c r="A1804" s="1">
        <v>45026</v>
      </c>
      <c r="B1804" s="3">
        <f>YEAR(Tabla3[[#This Row],[Date]])</f>
        <v>2023</v>
      </c>
      <c r="C1804" s="1" t="str">
        <f>+TEXT(Tabla3[[#This Row],[Date]],"mmm")</f>
        <v>abr</v>
      </c>
      <c r="D1804" s="2">
        <v>1989.09997558593</v>
      </c>
      <c r="E1804" s="2">
        <v>1989.09997558593</v>
      </c>
      <c r="F1804" s="2">
        <v>2006.59997558593</v>
      </c>
      <c r="G1804" s="2">
        <v>1984</v>
      </c>
      <c r="H1804" s="2">
        <v>2000</v>
      </c>
      <c r="I1804">
        <v>652</v>
      </c>
      <c r="J1804" s="2">
        <f ca="1">IFERROR((Tabla3[[#This Row],[Close]]-OFFSET(Tabla3[[#This Row],[Close]],-1,0))/OFFSET(Tabla3[[#This Row],[Close]],-1,0),"")</f>
        <v>-1.1332595333493385E-2</v>
      </c>
      <c r="K1804" s="2">
        <f ca="1">IFERROR(AVERAGE(OFFSET(Tabla3[[#This Row],[Close]],-6,0,7)),"")</f>
        <v>1996.7571498325858</v>
      </c>
      <c r="L1804" s="2">
        <f ca="1">IFERROR(_xlfn.STDEV.S(OFFSET(Tabla3[[#This Row],[Close]],-29,0,30)),"")</f>
        <v>70.539404062023692</v>
      </c>
    </row>
    <row r="1805" spans="1:12" x14ac:dyDescent="0.3">
      <c r="A1805" s="1">
        <v>45027</v>
      </c>
      <c r="B1805" s="3">
        <f>YEAR(Tabla3[[#This Row],[Date]])</f>
        <v>2023</v>
      </c>
      <c r="C1805" s="1" t="str">
        <f>+TEXT(Tabla3[[#This Row],[Date]],"mmm")</f>
        <v>abr</v>
      </c>
      <c r="D1805" s="2">
        <v>2004.80004882812</v>
      </c>
      <c r="E1805" s="2">
        <v>2004.80004882812</v>
      </c>
      <c r="F1805" s="2">
        <v>2006.5</v>
      </c>
      <c r="G1805" s="2">
        <v>1991.40002441406</v>
      </c>
      <c r="H1805" s="2">
        <v>1991.40002441406</v>
      </c>
      <c r="I1805">
        <v>68</v>
      </c>
      <c r="J1805" s="2">
        <f ca="1">IFERROR((Tabla3[[#This Row],[Close]]-OFFSET(Tabla3[[#This Row],[Close]],-1,0))/OFFSET(Tabla3[[#This Row],[Close]],-1,0),"")</f>
        <v>7.8930538609881702E-3</v>
      </c>
      <c r="K1805" s="2">
        <f ca="1">IFERROR(AVERAGE(OFFSET(Tabla3[[#This Row],[Close]],-6,0,7)),"")</f>
        <v>2000.2571498325856</v>
      </c>
      <c r="L1805" s="2">
        <f ca="1">IFERROR(_xlfn.STDEV.S(OFFSET(Tabla3[[#This Row],[Close]],-29,0,30)),"")</f>
        <v>69.183264289030063</v>
      </c>
    </row>
    <row r="1806" spans="1:12" x14ac:dyDescent="0.3">
      <c r="A1806" s="1">
        <v>45028</v>
      </c>
      <c r="B1806" s="3">
        <f>YEAR(Tabla3[[#This Row],[Date]])</f>
        <v>2023</v>
      </c>
      <c r="C1806" s="1" t="str">
        <f>+TEXT(Tabla3[[#This Row],[Date]],"mmm")</f>
        <v>abr</v>
      </c>
      <c r="D1806" s="2">
        <v>2010.90002441406</v>
      </c>
      <c r="E1806" s="2">
        <v>2010.90002441406</v>
      </c>
      <c r="F1806" s="2">
        <v>2025.69995117187</v>
      </c>
      <c r="G1806" s="2">
        <v>2005.19995117187</v>
      </c>
      <c r="H1806" s="2">
        <v>2005.19995117187</v>
      </c>
      <c r="I1806">
        <v>172</v>
      </c>
      <c r="J1806" s="2">
        <f ca="1">IFERROR((Tabla3[[#This Row],[Close]]-OFFSET(Tabla3[[#This Row],[Close]],-1,0))/OFFSET(Tabla3[[#This Row],[Close]],-1,0),"")</f>
        <v>3.0426852740280323E-3</v>
      </c>
      <c r="K1806" s="2">
        <f ca="1">IFERROR(AVERAGE(OFFSET(Tabla3[[#This Row],[Close]],-6,0,7)),"")</f>
        <v>2006.2428676060229</v>
      </c>
      <c r="L1806" s="2">
        <f ca="1">IFERROR(_xlfn.STDEV.S(OFFSET(Tabla3[[#This Row],[Close]],-29,0,30)),"")</f>
        <v>68.105048836547127</v>
      </c>
    </row>
    <row r="1807" spans="1:12" x14ac:dyDescent="0.3">
      <c r="A1807" s="1">
        <v>45029</v>
      </c>
      <c r="B1807" s="3">
        <f>YEAR(Tabla3[[#This Row],[Date]])</f>
        <v>2023</v>
      </c>
      <c r="C1807" s="1" t="str">
        <f>+TEXT(Tabla3[[#This Row],[Date]],"mmm")</f>
        <v>abr</v>
      </c>
      <c r="D1807" s="2">
        <v>2041.30004882812</v>
      </c>
      <c r="E1807" s="2">
        <v>2041.30004882812</v>
      </c>
      <c r="F1807" s="2">
        <v>2048.60009765625</v>
      </c>
      <c r="G1807" s="2">
        <v>2015.59997558593</v>
      </c>
      <c r="H1807" s="2">
        <v>2015.59997558593</v>
      </c>
      <c r="I1807">
        <v>1043</v>
      </c>
      <c r="J1807" s="2">
        <f ca="1">IFERROR((Tabla3[[#This Row],[Close]]-OFFSET(Tabla3[[#This Row],[Close]],-1,0))/OFFSET(Tabla3[[#This Row],[Close]],-1,0),"")</f>
        <v>1.5117620988103582E-2</v>
      </c>
      <c r="K1807" s="2">
        <f ca="1">IFERROR(AVERAGE(OFFSET(Tabla3[[#This Row],[Close]],-6,0,7)),"")</f>
        <v>2014.4428710937459</v>
      </c>
      <c r="L1807" s="2">
        <f ca="1">IFERROR(_xlfn.STDEV.S(OFFSET(Tabla3[[#This Row],[Close]],-29,0,30)),"")</f>
        <v>68.247159238046507</v>
      </c>
    </row>
    <row r="1808" spans="1:12" x14ac:dyDescent="0.3">
      <c r="A1808" s="1">
        <v>45030</v>
      </c>
      <c r="B1808" s="3">
        <f>YEAR(Tabla3[[#This Row],[Date]])</f>
        <v>2023</v>
      </c>
      <c r="C1808" s="1" t="str">
        <f>+TEXT(Tabla3[[#This Row],[Date]],"mmm")</f>
        <v>abr</v>
      </c>
      <c r="D1808" s="2">
        <v>2002.19995117187</v>
      </c>
      <c r="E1808" s="2">
        <v>2002.19995117187</v>
      </c>
      <c r="F1808" s="2">
        <v>2047.80004882812</v>
      </c>
      <c r="G1808" s="2">
        <v>1995</v>
      </c>
      <c r="H1808" s="2">
        <v>2041</v>
      </c>
      <c r="I1808">
        <v>718</v>
      </c>
      <c r="J1808" s="2">
        <f ca="1">IFERROR((Tabla3[[#This Row],[Close]]-OFFSET(Tabla3[[#This Row],[Close]],-1,0))/OFFSET(Tabla3[[#This Row],[Close]],-1,0),"")</f>
        <v>-1.9154507774933324E-2</v>
      </c>
      <c r="K1808" s="2">
        <f ca="1">IFERROR(AVERAGE(OFFSET(Tabla3[[#This Row],[Close]],-6,0,7)),"")</f>
        <v>2011.5857282366028</v>
      </c>
      <c r="L1808" s="2">
        <f ca="1">IFERROR(_xlfn.STDEV.S(OFFSET(Tabla3[[#This Row],[Close]],-29,0,30)),"")</f>
        <v>65.951888303493746</v>
      </c>
    </row>
    <row r="1809" spans="1:12" x14ac:dyDescent="0.3">
      <c r="A1809" s="1">
        <v>45033</v>
      </c>
      <c r="B1809" s="3">
        <f>YEAR(Tabla3[[#This Row],[Date]])</f>
        <v>2023</v>
      </c>
      <c r="C1809" s="1" t="str">
        <f>+TEXT(Tabla3[[#This Row],[Date]],"mmm")</f>
        <v>abr</v>
      </c>
      <c r="D1809" s="2">
        <v>1994.19995117187</v>
      </c>
      <c r="E1809" s="2">
        <v>1994.19995117187</v>
      </c>
      <c r="F1809" s="2">
        <v>2007.59997558593</v>
      </c>
      <c r="G1809" s="2">
        <v>1983.19995117187</v>
      </c>
      <c r="H1809" s="2">
        <v>2002.69995117187</v>
      </c>
      <c r="I1809">
        <v>554</v>
      </c>
      <c r="J1809" s="2">
        <f ca="1">IFERROR((Tabla3[[#This Row],[Close]]-OFFSET(Tabla3[[#This Row],[Close]],-1,0))/OFFSET(Tabla3[[#This Row],[Close]],-1,0),"")</f>
        <v>-3.9956049321236229E-3</v>
      </c>
      <c r="K1809" s="2">
        <f ca="1">IFERROR(AVERAGE(OFFSET(Tabla3[[#This Row],[Close]],-6,0,7)),"")</f>
        <v>2007.7714320591472</v>
      </c>
      <c r="L1809" s="2">
        <f ca="1">IFERROR(_xlfn.STDEV.S(OFFSET(Tabla3[[#This Row],[Close]],-29,0,30)),"")</f>
        <v>63.721316366799641</v>
      </c>
    </row>
    <row r="1810" spans="1:12" x14ac:dyDescent="0.3">
      <c r="A1810" s="1">
        <v>45034</v>
      </c>
      <c r="B1810" s="3">
        <f>YEAR(Tabla3[[#This Row],[Date]])</f>
        <v>2023</v>
      </c>
      <c r="C1810" s="1" t="str">
        <f>+TEXT(Tabla3[[#This Row],[Date]],"mmm")</f>
        <v>abr</v>
      </c>
      <c r="D1810" s="2">
        <v>2007.40002441406</v>
      </c>
      <c r="E1810" s="2">
        <v>2007.40002441406</v>
      </c>
      <c r="F1810" s="2">
        <v>2007.40002441406</v>
      </c>
      <c r="G1810" s="2">
        <v>1996.90002441406</v>
      </c>
      <c r="H1810" s="2">
        <v>1996.90002441406</v>
      </c>
      <c r="I1810">
        <v>72</v>
      </c>
      <c r="J1810" s="2">
        <f ca="1">IFERROR((Tabla3[[#This Row],[Close]]-OFFSET(Tabla3[[#This Row],[Close]],-1,0))/OFFSET(Tabla3[[#This Row],[Close]],-1,0),"")</f>
        <v>6.6192325571130025E-3</v>
      </c>
      <c r="K1810" s="2">
        <f ca="1">IFERROR(AVERAGE(OFFSET(Tabla3[[#This Row],[Close]],-6,0,7)),"")</f>
        <v>2007.1285749162901</v>
      </c>
      <c r="L1810" s="2">
        <f ca="1">IFERROR(_xlfn.STDEV.S(OFFSET(Tabla3[[#This Row],[Close]],-29,0,30)),"")</f>
        <v>61.344068381535585</v>
      </c>
    </row>
    <row r="1811" spans="1:12" x14ac:dyDescent="0.3">
      <c r="A1811" s="1">
        <v>45035</v>
      </c>
      <c r="B1811" s="3">
        <f>YEAR(Tabla3[[#This Row],[Date]])</f>
        <v>2023</v>
      </c>
      <c r="C1811" s="1" t="str">
        <f>+TEXT(Tabla3[[#This Row],[Date]],"mmm")</f>
        <v>abr</v>
      </c>
      <c r="D1811" s="2">
        <v>1995.19995117187</v>
      </c>
      <c r="E1811" s="2">
        <v>1995.19995117187</v>
      </c>
      <c r="F1811" s="2">
        <v>2006.40002441406</v>
      </c>
      <c r="G1811" s="2">
        <v>1969.80004882812</v>
      </c>
      <c r="H1811" s="2">
        <v>2005.69995117187</v>
      </c>
      <c r="I1811">
        <v>61</v>
      </c>
      <c r="J1811" s="2">
        <f ca="1">IFERROR((Tabla3[[#This Row],[Close]]-OFFSET(Tabla3[[#This Row],[Close]],-1,0))/OFFSET(Tabla3[[#This Row],[Close]],-1,0),"")</f>
        <v>-6.0775496133368238E-3</v>
      </c>
      <c r="K1811" s="2">
        <f ca="1">IFERROR(AVERAGE(OFFSET(Tabla3[[#This Row],[Close]],-6,0,7)),"")</f>
        <v>2007.9999999999957</v>
      </c>
      <c r="L1811" s="2">
        <f ca="1">IFERROR(_xlfn.STDEV.S(OFFSET(Tabla3[[#This Row],[Close]],-29,0,30)),"")</f>
        <v>55.365135421428512</v>
      </c>
    </row>
    <row r="1812" spans="1:12" x14ac:dyDescent="0.3">
      <c r="A1812" s="1">
        <v>45036</v>
      </c>
      <c r="B1812" s="3">
        <f>YEAR(Tabla3[[#This Row],[Date]])</f>
        <v>2023</v>
      </c>
      <c r="C1812" s="1" t="str">
        <f>+TEXT(Tabla3[[#This Row],[Date]],"mmm")</f>
        <v>abr</v>
      </c>
      <c r="D1812" s="2">
        <v>2007.59997558593</v>
      </c>
      <c r="E1812" s="2">
        <v>2007.59997558593</v>
      </c>
      <c r="F1812" s="2">
        <v>2007.59997558593</v>
      </c>
      <c r="G1812" s="2">
        <v>1998</v>
      </c>
      <c r="H1812" s="2">
        <v>1998</v>
      </c>
      <c r="I1812">
        <v>164</v>
      </c>
      <c r="J1812" s="2">
        <f ca="1">IFERROR((Tabla3[[#This Row],[Close]]-OFFSET(Tabla3[[#This Row],[Close]],-1,0))/OFFSET(Tabla3[[#This Row],[Close]],-1,0),"")</f>
        <v>6.2149281864090416E-3</v>
      </c>
      <c r="K1812" s="2">
        <f ca="1">IFERROR(AVERAGE(OFFSET(Tabla3[[#This Row],[Close]],-6,0,7)),"")</f>
        <v>2008.3999895368256</v>
      </c>
      <c r="L1812" s="2">
        <f ca="1">IFERROR(_xlfn.STDEV.S(OFFSET(Tabla3[[#This Row],[Close]],-29,0,30)),"")</f>
        <v>48.022400141428669</v>
      </c>
    </row>
    <row r="1813" spans="1:12" x14ac:dyDescent="0.3">
      <c r="A1813" s="1">
        <v>45037</v>
      </c>
      <c r="B1813" s="3">
        <f>YEAR(Tabla3[[#This Row],[Date]])</f>
        <v>2023</v>
      </c>
      <c r="C1813" s="1" t="str">
        <f>+TEXT(Tabla3[[#This Row],[Date]],"mmm")</f>
        <v>abr</v>
      </c>
      <c r="D1813" s="2">
        <v>1979.5</v>
      </c>
      <c r="E1813" s="2">
        <v>1979.5</v>
      </c>
      <c r="F1813" s="2">
        <v>1996.19995117187</v>
      </c>
      <c r="G1813" s="2">
        <v>1974.09997558593</v>
      </c>
      <c r="H1813" s="2">
        <v>1996.19995117187</v>
      </c>
      <c r="I1813">
        <v>132</v>
      </c>
      <c r="J1813" s="2">
        <f ca="1">IFERROR((Tabla3[[#This Row],[Close]]-OFFSET(Tabla3[[#This Row],[Close]],-1,0))/OFFSET(Tabla3[[#This Row],[Close]],-1,0),"")</f>
        <v>-1.3996800123355677E-2</v>
      </c>
      <c r="K1813" s="2">
        <f ca="1">IFERROR(AVERAGE(OFFSET(Tabla3[[#This Row],[Close]],-6,0,7)),"")</f>
        <v>2003.9142717633888</v>
      </c>
      <c r="L1813" s="2">
        <f ca="1">IFERROR(_xlfn.STDEV.S(OFFSET(Tabla3[[#This Row],[Close]],-29,0,30)),"")</f>
        <v>40.024646834750577</v>
      </c>
    </row>
    <row r="1814" spans="1:12" x14ac:dyDescent="0.3">
      <c r="A1814" s="1">
        <v>45040</v>
      </c>
      <c r="B1814" s="3">
        <f>YEAR(Tabla3[[#This Row],[Date]])</f>
        <v>2023</v>
      </c>
      <c r="C1814" s="1" t="str">
        <f>+TEXT(Tabla3[[#This Row],[Date]],"mmm")</f>
        <v>abr</v>
      </c>
      <c r="D1814" s="2">
        <v>1989.09997558593</v>
      </c>
      <c r="E1814" s="2">
        <v>1989.09997558593</v>
      </c>
      <c r="F1814" s="2">
        <v>1989.80004882812</v>
      </c>
      <c r="G1814" s="2">
        <v>1977.40002441406</v>
      </c>
      <c r="H1814" s="2">
        <v>1981.30004882812</v>
      </c>
      <c r="I1814">
        <v>145</v>
      </c>
      <c r="J1814" s="2">
        <f ca="1">IFERROR((Tabla3[[#This Row],[Close]]-OFFSET(Tabla3[[#This Row],[Close]],-1,0))/OFFSET(Tabla3[[#This Row],[Close]],-1,0),"")</f>
        <v>4.8496971891538255E-3</v>
      </c>
      <c r="K1814" s="2">
        <f ca="1">IFERROR(AVERAGE(OFFSET(Tabla3[[#This Row],[Close]],-6,0,7)),"")</f>
        <v>1996.4571184430756</v>
      </c>
      <c r="L1814" s="2">
        <f ca="1">IFERROR(_xlfn.STDEV.S(OFFSET(Tabla3[[#This Row],[Close]],-29,0,30)),"")</f>
        <v>33.92597627450948</v>
      </c>
    </row>
    <row r="1815" spans="1:12" x14ac:dyDescent="0.3">
      <c r="A1815" s="1">
        <v>45041</v>
      </c>
      <c r="B1815" s="3">
        <f>YEAR(Tabla3[[#This Row],[Date]])</f>
        <v>2023</v>
      </c>
      <c r="C1815" s="1" t="str">
        <f>+TEXT(Tabla3[[#This Row],[Date]],"mmm")</f>
        <v>abr</v>
      </c>
      <c r="D1815" s="2">
        <v>1994</v>
      </c>
      <c r="E1815" s="2">
        <v>1994</v>
      </c>
      <c r="F1815" s="2">
        <v>1999.09997558593</v>
      </c>
      <c r="G1815" s="2">
        <v>1982.30004882812</v>
      </c>
      <c r="H1815" s="2">
        <v>1995.69995117187</v>
      </c>
      <c r="I1815">
        <v>306</v>
      </c>
      <c r="J1815" s="2">
        <f ca="1">IFERROR((Tabla3[[#This Row],[Close]]-OFFSET(Tabla3[[#This Row],[Close]],-1,0))/OFFSET(Tabla3[[#This Row],[Close]],-1,0),"")</f>
        <v>2.4634379740649292E-3</v>
      </c>
      <c r="K1815" s="2">
        <f ca="1">IFERROR(AVERAGE(OFFSET(Tabla3[[#This Row],[Close]],-6,0,7)),"")</f>
        <v>1995.2856968470944</v>
      </c>
      <c r="L1815" s="2">
        <f ca="1">IFERROR(_xlfn.STDEV.S(OFFSET(Tabla3[[#This Row],[Close]],-29,0,30)),"")</f>
        <v>31.529055602240994</v>
      </c>
    </row>
    <row r="1816" spans="1:12" x14ac:dyDescent="0.3">
      <c r="A1816" s="1">
        <v>45042</v>
      </c>
      <c r="B1816" s="3">
        <f>YEAR(Tabla3[[#This Row],[Date]])</f>
        <v>2023</v>
      </c>
      <c r="C1816" s="1" t="str">
        <f>+TEXT(Tabla3[[#This Row],[Date]],"mmm")</f>
        <v>abr</v>
      </c>
      <c r="D1816" s="2">
        <v>1985.69995117187</v>
      </c>
      <c r="E1816" s="2">
        <v>1985.69995117187</v>
      </c>
      <c r="F1816" s="2">
        <v>1998.80004882812</v>
      </c>
      <c r="G1816" s="2">
        <v>1985.59997558593</v>
      </c>
      <c r="H1816" s="2">
        <v>1997.80004882812</v>
      </c>
      <c r="I1816">
        <v>615</v>
      </c>
      <c r="J1816" s="2">
        <f ca="1">IFERROR((Tabla3[[#This Row],[Close]]-OFFSET(Tabla3[[#This Row],[Close]],-1,0))/OFFSET(Tabla3[[#This Row],[Close]],-1,0),"")</f>
        <v>-4.1625119499147456E-3</v>
      </c>
      <c r="K1816" s="2">
        <f ca="1">IFERROR(AVERAGE(OFFSET(Tabla3[[#This Row],[Close]],-6,0,7)),"")</f>
        <v>1994.0714111328086</v>
      </c>
      <c r="L1816" s="2">
        <f ca="1">IFERROR(_xlfn.STDEV.S(OFFSET(Tabla3[[#This Row],[Close]],-29,0,30)),"")</f>
        <v>28.105378166661399</v>
      </c>
    </row>
    <row r="1817" spans="1:12" x14ac:dyDescent="0.3">
      <c r="A1817" s="1">
        <v>45043</v>
      </c>
      <c r="B1817" s="3">
        <f>YEAR(Tabla3[[#This Row],[Date]])</f>
        <v>2023</v>
      </c>
      <c r="C1817" s="1" t="str">
        <f>+TEXT(Tabla3[[#This Row],[Date]],"mmm")</f>
        <v>abr</v>
      </c>
      <c r="D1817" s="2">
        <v>1989.90002441406</v>
      </c>
      <c r="E1817" s="2">
        <v>1989.90002441406</v>
      </c>
      <c r="F1817" s="2">
        <v>2002.30004882812</v>
      </c>
      <c r="G1817" s="2">
        <v>1979.90002441406</v>
      </c>
      <c r="H1817" s="2">
        <v>1990.59997558593</v>
      </c>
      <c r="I1817">
        <v>355</v>
      </c>
      <c r="J1817" s="2">
        <f ca="1">IFERROR((Tabla3[[#This Row],[Close]]-OFFSET(Tabla3[[#This Row],[Close]],-1,0))/OFFSET(Tabla3[[#This Row],[Close]],-1,0),"")</f>
        <v>2.1151600672152451E-3</v>
      </c>
      <c r="K1817" s="2">
        <f ca="1">IFERROR(AVERAGE(OFFSET(Tabla3[[#This Row],[Close]],-6,0,7)),"")</f>
        <v>1991.5714111328086</v>
      </c>
      <c r="L1817" s="2">
        <f ca="1">IFERROR(_xlfn.STDEV.S(OFFSET(Tabla3[[#This Row],[Close]],-29,0,30)),"")</f>
        <v>25.896979121510874</v>
      </c>
    </row>
    <row r="1818" spans="1:12" x14ac:dyDescent="0.3">
      <c r="A1818" s="1">
        <v>45044</v>
      </c>
      <c r="B1818" s="3">
        <f>YEAR(Tabla3[[#This Row],[Date]])</f>
        <v>2023</v>
      </c>
      <c r="C1818" s="1" t="str">
        <f>+TEXT(Tabla3[[#This Row],[Date]],"mmm")</f>
        <v>abr</v>
      </c>
      <c r="D1818" s="2">
        <v>1990.09997558593</v>
      </c>
      <c r="E1818" s="2">
        <v>1990.09997558593</v>
      </c>
      <c r="F1818" s="2">
        <v>1990.09997558593</v>
      </c>
      <c r="G1818" s="2">
        <v>1977.69995117187</v>
      </c>
      <c r="H1818" s="2">
        <v>1986.90002441406</v>
      </c>
      <c r="I1818">
        <v>152</v>
      </c>
      <c r="J1818" s="2">
        <f ca="1">IFERROR((Tabla3[[#This Row],[Close]]-OFFSET(Tabla3[[#This Row],[Close]],-1,0))/OFFSET(Tabla3[[#This Row],[Close]],-1,0),"")</f>
        <v>1.0048302397949606E-4</v>
      </c>
      <c r="K1818" s="2">
        <f ca="1">IFERROR(AVERAGE(OFFSET(Tabla3[[#This Row],[Close]],-6,0,7)),"")</f>
        <v>1990.8428431919601</v>
      </c>
      <c r="L1818" s="2">
        <f ca="1">IFERROR(_xlfn.STDEV.S(OFFSET(Tabla3[[#This Row],[Close]],-29,0,30)),"")</f>
        <v>22.529380740357645</v>
      </c>
    </row>
    <row r="1819" spans="1:12" x14ac:dyDescent="0.3">
      <c r="A1819" s="1">
        <v>45047</v>
      </c>
      <c r="B1819" s="3">
        <f>YEAR(Tabla3[[#This Row],[Date]])</f>
        <v>2023</v>
      </c>
      <c r="C1819" s="1" t="str">
        <f>+TEXT(Tabla3[[#This Row],[Date]],"mmm")</f>
        <v>may</v>
      </c>
      <c r="D1819" s="2">
        <v>1983.40002441406</v>
      </c>
      <c r="E1819" s="2">
        <v>1983.40002441406</v>
      </c>
      <c r="F1819" s="2">
        <v>2005</v>
      </c>
      <c r="G1819" s="2">
        <v>1976.90002441406</v>
      </c>
      <c r="H1819" s="2">
        <v>1980.09997558593</v>
      </c>
      <c r="I1819">
        <v>210</v>
      </c>
      <c r="J1819" s="2">
        <f ca="1">IFERROR((Tabla3[[#This Row],[Close]]-OFFSET(Tabla3[[#This Row],[Close]],-1,0))/OFFSET(Tabla3[[#This Row],[Close]],-1,0),"")</f>
        <v>-3.3666404974942942E-3</v>
      </c>
      <c r="K1819" s="2">
        <f ca="1">IFERROR(AVERAGE(OFFSET(Tabla3[[#This Row],[Close]],-6,0,7)),"")</f>
        <v>1987.3857073102645</v>
      </c>
      <c r="L1819" s="2">
        <f ca="1">IFERROR(_xlfn.STDEV.S(OFFSET(Tabla3[[#This Row],[Close]],-29,0,30)),"")</f>
        <v>22.265137801966151</v>
      </c>
    </row>
    <row r="1820" spans="1:12" x14ac:dyDescent="0.3">
      <c r="A1820" s="1">
        <v>45048</v>
      </c>
      <c r="B1820" s="3">
        <f>YEAR(Tabla3[[#This Row],[Date]])</f>
        <v>2023</v>
      </c>
      <c r="C1820" s="1" t="str">
        <f>+TEXT(Tabla3[[#This Row],[Date]],"mmm")</f>
        <v>may</v>
      </c>
      <c r="D1820" s="2">
        <v>2014.30004882812</v>
      </c>
      <c r="E1820" s="2">
        <v>2014.30004882812</v>
      </c>
      <c r="F1820" s="2">
        <v>2018</v>
      </c>
      <c r="G1820" s="2">
        <v>1994.69995117187</v>
      </c>
      <c r="H1820" s="2">
        <v>1994.69995117187</v>
      </c>
      <c r="I1820">
        <v>1896</v>
      </c>
      <c r="J1820" s="2">
        <f ca="1">IFERROR((Tabla3[[#This Row],[Close]]-OFFSET(Tabla3[[#This Row],[Close]],-1,0))/OFFSET(Tabla3[[#This Row],[Close]],-1,0),"")</f>
        <v>1.5579320375973347E-2</v>
      </c>
      <c r="K1820" s="2">
        <f ca="1">IFERROR(AVERAGE(OFFSET(Tabla3[[#This Row],[Close]],-6,0,7)),"")</f>
        <v>1992.3571428571383</v>
      </c>
      <c r="L1820" s="2">
        <f ca="1">IFERROR(_xlfn.STDEV.S(OFFSET(Tabla3[[#This Row],[Close]],-29,0,30)),"")</f>
        <v>22.62740375469604</v>
      </c>
    </row>
    <row r="1821" spans="1:12" x14ac:dyDescent="0.3">
      <c r="A1821" s="1">
        <v>45049</v>
      </c>
      <c r="B1821" s="3">
        <f>YEAR(Tabla3[[#This Row],[Date]])</f>
        <v>2023</v>
      </c>
      <c r="C1821" s="1" t="str">
        <f>+TEXT(Tabla3[[#This Row],[Date]],"mmm")</f>
        <v>may</v>
      </c>
      <c r="D1821" s="2">
        <v>2028.59997558593</v>
      </c>
      <c r="E1821" s="2">
        <v>2028.59997558593</v>
      </c>
      <c r="F1821" s="2">
        <v>2035.09997558593</v>
      </c>
      <c r="G1821" s="2">
        <v>2015.19995117187</v>
      </c>
      <c r="H1821" s="2">
        <v>2017.09997558593</v>
      </c>
      <c r="I1821">
        <v>1349</v>
      </c>
      <c r="J1821" s="2">
        <f ca="1">IFERROR((Tabla3[[#This Row],[Close]]-OFFSET(Tabla3[[#This Row],[Close]],-1,0))/OFFSET(Tabla3[[#This Row],[Close]],-1,0),"")</f>
        <v>7.0992038977159408E-3</v>
      </c>
      <c r="K1821" s="2">
        <f ca="1">IFERROR(AVERAGE(OFFSET(Tabla3[[#This Row],[Close]],-6,0,7)),"")</f>
        <v>1997.9999999999959</v>
      </c>
      <c r="L1821" s="2">
        <f ca="1">IFERROR(_xlfn.STDEV.S(OFFSET(Tabla3[[#This Row],[Close]],-29,0,30)),"")</f>
        <v>21.373999815409981</v>
      </c>
    </row>
    <row r="1822" spans="1:12" x14ac:dyDescent="0.3">
      <c r="A1822" s="1">
        <v>45050</v>
      </c>
      <c r="B1822" s="3">
        <f>YEAR(Tabla3[[#This Row],[Date]])</f>
        <v>2023</v>
      </c>
      <c r="C1822" s="1" t="str">
        <f>+TEXT(Tabla3[[#This Row],[Date]],"mmm")</f>
        <v>may</v>
      </c>
      <c r="D1822" s="2">
        <v>2048</v>
      </c>
      <c r="E1822" s="2">
        <v>2048</v>
      </c>
      <c r="F1822" s="2">
        <v>2072</v>
      </c>
      <c r="G1822" s="2">
        <v>2040</v>
      </c>
      <c r="H1822" s="2">
        <v>2045</v>
      </c>
      <c r="I1822">
        <v>930</v>
      </c>
      <c r="J1822" s="2">
        <f ca="1">IFERROR((Tabla3[[#This Row],[Close]]-OFFSET(Tabla3[[#This Row],[Close]],-1,0))/OFFSET(Tabla3[[#This Row],[Close]],-1,0),"")</f>
        <v>9.5632577381189222E-3</v>
      </c>
      <c r="K1822" s="2">
        <f ca="1">IFERROR(AVERAGE(OFFSET(Tabla3[[#This Row],[Close]],-6,0,7)),"")</f>
        <v>2005.7142857142815</v>
      </c>
      <c r="L1822" s="2">
        <f ca="1">IFERROR(_xlfn.STDEV.S(OFFSET(Tabla3[[#This Row],[Close]],-29,0,30)),"")</f>
        <v>21.710405699097652</v>
      </c>
    </row>
    <row r="1823" spans="1:12" x14ac:dyDescent="0.3">
      <c r="A1823" s="1">
        <v>45051</v>
      </c>
      <c r="B1823" s="3">
        <f>YEAR(Tabla3[[#This Row],[Date]])</f>
        <v>2023</v>
      </c>
      <c r="C1823" s="1" t="str">
        <f>+TEXT(Tabla3[[#This Row],[Date]],"mmm")</f>
        <v>may</v>
      </c>
      <c r="D1823" s="2">
        <v>2017.40002441406</v>
      </c>
      <c r="E1823" s="2">
        <v>2017.40002441406</v>
      </c>
      <c r="F1823" s="2">
        <v>2046.40002441406</v>
      </c>
      <c r="G1823" s="2">
        <v>2004.30004882812</v>
      </c>
      <c r="H1823" s="2">
        <v>2046.40002441406</v>
      </c>
      <c r="I1823">
        <v>59</v>
      </c>
      <c r="J1823" s="2">
        <f ca="1">IFERROR((Tabla3[[#This Row],[Close]]-OFFSET(Tabla3[[#This Row],[Close]],-1,0))/OFFSET(Tabla3[[#This Row],[Close]],-1,0),"")</f>
        <v>-1.4941394329072266E-2</v>
      </c>
      <c r="K1823" s="2">
        <f ca="1">IFERROR(AVERAGE(OFFSET(Tabla3[[#This Row],[Close]],-6,0,7)),"")</f>
        <v>2010.2428676060229</v>
      </c>
      <c r="L1823" s="2">
        <f ca="1">IFERROR(_xlfn.STDEV.S(OFFSET(Tabla3[[#This Row],[Close]],-29,0,30)),"")</f>
        <v>22.015506831430805</v>
      </c>
    </row>
    <row r="1824" spans="1:12" x14ac:dyDescent="0.3">
      <c r="A1824" s="1">
        <v>45054</v>
      </c>
      <c r="B1824" s="3">
        <f>YEAR(Tabla3[[#This Row],[Date]])</f>
        <v>2023</v>
      </c>
      <c r="C1824" s="1" t="str">
        <f>+TEXT(Tabla3[[#This Row],[Date]],"mmm")</f>
        <v>may</v>
      </c>
      <c r="D1824" s="2">
        <v>2026.30004882812</v>
      </c>
      <c r="E1824" s="2">
        <v>2026.30004882812</v>
      </c>
      <c r="F1824" s="2">
        <v>2026.30004882812</v>
      </c>
      <c r="G1824" s="2">
        <v>2022.5</v>
      </c>
      <c r="H1824" s="2">
        <v>2022.5</v>
      </c>
      <c r="I1824">
        <v>3</v>
      </c>
      <c r="J1824" s="2">
        <f ca="1">IFERROR((Tabla3[[#This Row],[Close]]-OFFSET(Tabla3[[#This Row],[Close]],-1,0))/OFFSET(Tabla3[[#This Row],[Close]],-1,0),"")</f>
        <v>4.4116309637920971E-3</v>
      </c>
      <c r="K1824" s="2">
        <f ca="1">IFERROR(AVERAGE(OFFSET(Tabla3[[#This Row],[Close]],-6,0,7)),"")</f>
        <v>2015.4428710937459</v>
      </c>
      <c r="L1824" s="2">
        <f ca="1">IFERROR(_xlfn.STDEV.S(OFFSET(Tabla3[[#This Row],[Close]],-29,0,30)),"")</f>
        <v>22.404378230499098</v>
      </c>
    </row>
    <row r="1825" spans="1:12" x14ac:dyDescent="0.3">
      <c r="A1825" s="1">
        <v>45055</v>
      </c>
      <c r="B1825" s="3">
        <f>YEAR(Tabla3[[#This Row],[Date]])</f>
        <v>2023</v>
      </c>
      <c r="C1825" s="1" t="str">
        <f>+TEXT(Tabla3[[#This Row],[Date]],"mmm")</f>
        <v>may</v>
      </c>
      <c r="D1825" s="2">
        <v>2036.19995117187</v>
      </c>
      <c r="E1825" s="2">
        <v>2036.19995117187</v>
      </c>
      <c r="F1825" s="2">
        <v>2037.30004882812</v>
      </c>
      <c r="G1825" s="2">
        <v>2025.90002441406</v>
      </c>
      <c r="H1825" s="2">
        <v>2026.59997558593</v>
      </c>
      <c r="I1825">
        <v>241</v>
      </c>
      <c r="J1825" s="2">
        <f ca="1">IFERROR((Tabla3[[#This Row],[Close]]-OFFSET(Tabla3[[#This Row],[Close]],-1,0))/OFFSET(Tabla3[[#This Row],[Close]],-1,0),"")</f>
        <v>4.8857040444111217E-3</v>
      </c>
      <c r="K1825" s="2">
        <f ca="1">IFERROR(AVERAGE(OFFSET(Tabla3[[#This Row],[Close]],-6,0,7)),"")</f>
        <v>2022.0285818917371</v>
      </c>
      <c r="L1825" s="2">
        <f ca="1">IFERROR(_xlfn.STDEV.S(OFFSET(Tabla3[[#This Row],[Close]],-29,0,30)),"")</f>
        <v>21.567595397251765</v>
      </c>
    </row>
    <row r="1826" spans="1:12" x14ac:dyDescent="0.3">
      <c r="A1826" s="1">
        <v>45056</v>
      </c>
      <c r="B1826" s="3">
        <f>YEAR(Tabla3[[#This Row],[Date]])</f>
        <v>2023</v>
      </c>
      <c r="C1826" s="1" t="str">
        <f>+TEXT(Tabla3[[#This Row],[Date]],"mmm")</f>
        <v>may</v>
      </c>
      <c r="D1826" s="2">
        <v>2030.5</v>
      </c>
      <c r="E1826" s="2">
        <v>2030.5</v>
      </c>
      <c r="F1826" s="2">
        <v>2044.30004882812</v>
      </c>
      <c r="G1826" s="2">
        <v>2029.5</v>
      </c>
      <c r="H1826" s="2">
        <v>2032.30004882812</v>
      </c>
      <c r="I1826">
        <v>248</v>
      </c>
      <c r="J1826" s="2">
        <f ca="1">IFERROR((Tabla3[[#This Row],[Close]]-OFFSET(Tabla3[[#This Row],[Close]],-1,0))/OFFSET(Tabla3[[#This Row],[Close]],-1,0),"")</f>
        <v>-2.7993081762867013E-3</v>
      </c>
      <c r="K1826" s="2">
        <f ca="1">IFERROR(AVERAGE(OFFSET(Tabla3[[#This Row],[Close]],-6,0,7)),"")</f>
        <v>2028.7571498325856</v>
      </c>
      <c r="L1826" s="2">
        <f ca="1">IFERROR(_xlfn.STDEV.S(OFFSET(Tabla3[[#This Row],[Close]],-29,0,30)),"")</f>
        <v>21.420169150870425</v>
      </c>
    </row>
    <row r="1827" spans="1:12" x14ac:dyDescent="0.3">
      <c r="A1827" s="1">
        <v>45057</v>
      </c>
      <c r="B1827" s="3">
        <f>YEAR(Tabla3[[#This Row],[Date]])</f>
        <v>2023</v>
      </c>
      <c r="C1827" s="1" t="str">
        <f>+TEXT(Tabla3[[#This Row],[Date]],"mmm")</f>
        <v>may</v>
      </c>
      <c r="D1827" s="2">
        <v>2014.69995117187</v>
      </c>
      <c r="E1827" s="2">
        <v>2014.69995117187</v>
      </c>
      <c r="F1827" s="2">
        <v>2038.30004882812</v>
      </c>
      <c r="G1827" s="2">
        <v>2014</v>
      </c>
      <c r="H1827" s="2">
        <v>2034.09997558593</v>
      </c>
      <c r="I1827">
        <v>90</v>
      </c>
      <c r="J1827" s="2">
        <f ca="1">IFERROR((Tabla3[[#This Row],[Close]]-OFFSET(Tabla3[[#This Row],[Close]],-1,0))/OFFSET(Tabla3[[#This Row],[Close]],-1,0),"")</f>
        <v>-7.7813586939817787E-3</v>
      </c>
      <c r="K1827" s="2">
        <f ca="1">IFERROR(AVERAGE(OFFSET(Tabla3[[#This Row],[Close]],-6,0,7)),"")</f>
        <v>2028.8142787388356</v>
      </c>
      <c r="L1827" s="2">
        <f ca="1">IFERROR(_xlfn.STDEV.S(OFFSET(Tabla3[[#This Row],[Close]],-29,0,30)),"")</f>
        <v>20.261421581589698</v>
      </c>
    </row>
    <row r="1828" spans="1:12" x14ac:dyDescent="0.3">
      <c r="A1828" s="1">
        <v>45058</v>
      </c>
      <c r="B1828" s="3">
        <f>YEAR(Tabla3[[#This Row],[Date]])</f>
        <v>2023</v>
      </c>
      <c r="C1828" s="1" t="str">
        <f>+TEXT(Tabla3[[#This Row],[Date]],"mmm")</f>
        <v>may</v>
      </c>
      <c r="D1828" s="2">
        <v>2014.5</v>
      </c>
      <c r="E1828" s="2">
        <v>2014.5</v>
      </c>
      <c r="F1828" s="2">
        <v>2014.5</v>
      </c>
      <c r="G1828" s="2">
        <v>2014.5</v>
      </c>
      <c r="H1828" s="2">
        <v>2014.5</v>
      </c>
      <c r="I1828">
        <v>115</v>
      </c>
      <c r="J1828" s="2">
        <f ca="1">IFERROR((Tabla3[[#This Row],[Close]]-OFFSET(Tabla3[[#This Row],[Close]],-1,0))/OFFSET(Tabla3[[#This Row],[Close]],-1,0),"")</f>
        <v>-9.9246129307589557E-5</v>
      </c>
      <c r="K1828" s="2">
        <f ca="1">IFERROR(AVERAGE(OFFSET(Tabla3[[#This Row],[Close]],-6,0,7)),"")</f>
        <v>2026.7999965122742</v>
      </c>
      <c r="L1828" s="2">
        <f ca="1">IFERROR(_xlfn.STDEV.S(OFFSET(Tabla3[[#This Row],[Close]],-29,0,30)),"")</f>
        <v>19.743176534365286</v>
      </c>
    </row>
    <row r="1829" spans="1:12" x14ac:dyDescent="0.3">
      <c r="A1829" s="1">
        <v>45061</v>
      </c>
      <c r="B1829" s="3">
        <f>YEAR(Tabla3[[#This Row],[Date]])</f>
        <v>2023</v>
      </c>
      <c r="C1829" s="1" t="str">
        <f>+TEXT(Tabla3[[#This Row],[Date]],"mmm")</f>
        <v>may</v>
      </c>
      <c r="D1829" s="2">
        <v>2018</v>
      </c>
      <c r="E1829" s="2">
        <v>2018</v>
      </c>
      <c r="F1829" s="2">
        <v>2018</v>
      </c>
      <c r="G1829" s="2">
        <v>2013.80004882812</v>
      </c>
      <c r="H1829" s="2">
        <v>2013.80004882812</v>
      </c>
      <c r="I1829">
        <v>3</v>
      </c>
      <c r="J1829" s="2">
        <f ca="1">IFERROR((Tabla3[[#This Row],[Close]]-OFFSET(Tabla3[[#This Row],[Close]],-1,0))/OFFSET(Tabla3[[#This Row],[Close]],-1,0),"")</f>
        <v>1.737403822288409E-3</v>
      </c>
      <c r="K1829" s="2">
        <f ca="1">IFERROR(AVERAGE(OFFSET(Tabla3[[#This Row],[Close]],-6,0,7)),"")</f>
        <v>2022.51428222656</v>
      </c>
      <c r="L1829" s="2">
        <f ca="1">IFERROR(_xlfn.STDEV.S(OFFSET(Tabla3[[#This Row],[Close]],-29,0,30)),"")</f>
        <v>18.499286543811298</v>
      </c>
    </row>
    <row r="1830" spans="1:12" x14ac:dyDescent="0.3">
      <c r="A1830" s="1">
        <v>45062</v>
      </c>
      <c r="B1830" s="3">
        <f>YEAR(Tabla3[[#This Row],[Date]])</f>
        <v>2023</v>
      </c>
      <c r="C1830" s="1" t="str">
        <f>+TEXT(Tabla3[[#This Row],[Date]],"mmm")</f>
        <v>may</v>
      </c>
      <c r="D1830" s="2">
        <v>1988.40002441406</v>
      </c>
      <c r="E1830" s="2">
        <v>1988.40002441406</v>
      </c>
      <c r="F1830" s="2">
        <v>1988.40002441406</v>
      </c>
      <c r="G1830" s="2">
        <v>1988.40002441406</v>
      </c>
      <c r="H1830" s="2">
        <v>1988.40002441406</v>
      </c>
      <c r="I1830">
        <v>49</v>
      </c>
      <c r="J1830" s="2">
        <f ca="1">IFERROR((Tabla3[[#This Row],[Close]]-OFFSET(Tabla3[[#This Row],[Close]],-1,0))/OFFSET(Tabla3[[#This Row],[Close]],-1,0),"")</f>
        <v>-1.466797600888999E-2</v>
      </c>
      <c r="K1830" s="2">
        <f ca="1">IFERROR(AVERAGE(OFFSET(Tabla3[[#This Row],[Close]],-6,0,7)),"")</f>
        <v>2018.3714250837031</v>
      </c>
      <c r="L1830" s="2">
        <f ca="1">IFERROR(_xlfn.STDEV.S(OFFSET(Tabla3[[#This Row],[Close]],-29,0,30)),"")</f>
        <v>18.311123167467066</v>
      </c>
    </row>
    <row r="1831" spans="1:12" x14ac:dyDescent="0.3">
      <c r="A1831" s="1">
        <v>45063</v>
      </c>
      <c r="B1831" s="3">
        <f>YEAR(Tabla3[[#This Row],[Date]])</f>
        <v>2023</v>
      </c>
      <c r="C1831" s="1" t="str">
        <f>+TEXT(Tabla3[[#This Row],[Date]],"mmm")</f>
        <v>may</v>
      </c>
      <c r="D1831" s="2">
        <v>1980.69995117187</v>
      </c>
      <c r="E1831" s="2">
        <v>1980.69995117187</v>
      </c>
      <c r="F1831" s="2">
        <v>1983.59997558593</v>
      </c>
      <c r="G1831" s="2">
        <v>1980.69995117187</v>
      </c>
      <c r="H1831" s="2">
        <v>1983.59997558593</v>
      </c>
      <c r="I1831">
        <v>13</v>
      </c>
      <c r="J1831" s="2">
        <f ca="1">IFERROR((Tabla3[[#This Row],[Close]]-OFFSET(Tabla3[[#This Row],[Close]],-1,0))/OFFSET(Tabla3[[#This Row],[Close]],-1,0),"")</f>
        <v>-3.8724970567524772E-3</v>
      </c>
      <c r="K1831" s="2">
        <f ca="1">IFERROR(AVERAGE(OFFSET(Tabla3[[#This Row],[Close]],-6,0,7)),"")</f>
        <v>2011.8571254185242</v>
      </c>
      <c r="L1831" s="2">
        <f ca="1">IFERROR(_xlfn.STDEV.S(OFFSET(Tabla3[[#This Row],[Close]],-29,0,30)),"")</f>
        <v>18.804770030776602</v>
      </c>
    </row>
    <row r="1832" spans="1:12" x14ac:dyDescent="0.3">
      <c r="A1832" s="1">
        <v>45064</v>
      </c>
      <c r="B1832" s="3">
        <f>YEAR(Tabla3[[#This Row],[Date]])</f>
        <v>2023</v>
      </c>
      <c r="C1832" s="1" t="str">
        <f>+TEXT(Tabla3[[#This Row],[Date]],"mmm")</f>
        <v>may</v>
      </c>
      <c r="D1832" s="2">
        <v>1956.5</v>
      </c>
      <c r="E1832" s="2">
        <v>1956.5</v>
      </c>
      <c r="F1832" s="2">
        <v>1956.80004882812</v>
      </c>
      <c r="G1832" s="2">
        <v>1956.5</v>
      </c>
      <c r="H1832" s="2">
        <v>1956.5</v>
      </c>
      <c r="I1832">
        <v>23</v>
      </c>
      <c r="J1832" s="2">
        <f ca="1">IFERROR((Tabla3[[#This Row],[Close]]-OFFSET(Tabla3[[#This Row],[Close]],-1,0))/OFFSET(Tabla3[[#This Row],[Close]],-1,0),"")</f>
        <v>-1.2217878410888148E-2</v>
      </c>
      <c r="K1832" s="2">
        <f ca="1">IFERROR(AVERAGE(OFFSET(Tabla3[[#This Row],[Close]],-6,0,7)),"")</f>
        <v>2000.471418108257</v>
      </c>
      <c r="L1832" s="2">
        <f ca="1">IFERROR(_xlfn.STDEV.S(OFFSET(Tabla3[[#This Row],[Close]],-29,0,30)),"")</f>
        <v>20.756688558811739</v>
      </c>
    </row>
    <row r="1833" spans="1:12" x14ac:dyDescent="0.3">
      <c r="A1833" s="1">
        <v>45065</v>
      </c>
      <c r="B1833" s="3">
        <f>YEAR(Tabla3[[#This Row],[Date]])</f>
        <v>2023</v>
      </c>
      <c r="C1833" s="1" t="str">
        <f>+TEXT(Tabla3[[#This Row],[Date]],"mmm")</f>
        <v>may</v>
      </c>
      <c r="D1833" s="2">
        <v>1978.69995117187</v>
      </c>
      <c r="E1833" s="2">
        <v>1978.69995117187</v>
      </c>
      <c r="F1833" s="2">
        <v>1978.69995117187</v>
      </c>
      <c r="G1833" s="2">
        <v>1960</v>
      </c>
      <c r="H1833" s="2">
        <v>1960</v>
      </c>
      <c r="I1833">
        <v>106</v>
      </c>
      <c r="J1833" s="2">
        <f ca="1">IFERROR((Tabla3[[#This Row],[Close]]-OFFSET(Tabla3[[#This Row],[Close]],-1,0))/OFFSET(Tabla3[[#This Row],[Close]],-1,0),"")</f>
        <v>1.1346767785264502E-2</v>
      </c>
      <c r="K1833" s="2">
        <f ca="1">IFERROR(AVERAGE(OFFSET(Tabla3[[#This Row],[Close]],-6,0,7)),"")</f>
        <v>1993.07141113281</v>
      </c>
      <c r="L1833" s="2">
        <f ca="1">IFERROR(_xlfn.STDEV.S(OFFSET(Tabla3[[#This Row],[Close]],-29,0,30)),"")</f>
        <v>21.255903304195602</v>
      </c>
    </row>
    <row r="1834" spans="1:12" x14ac:dyDescent="0.3">
      <c r="A1834" s="1">
        <v>45068</v>
      </c>
      <c r="B1834" s="3">
        <f>YEAR(Tabla3[[#This Row],[Date]])</f>
        <v>2023</v>
      </c>
      <c r="C1834" s="1" t="str">
        <f>+TEXT(Tabla3[[#This Row],[Date]],"mmm")</f>
        <v>may</v>
      </c>
      <c r="D1834" s="2">
        <v>1974.80004882812</v>
      </c>
      <c r="E1834" s="2">
        <v>1974.80004882812</v>
      </c>
      <c r="F1834" s="2">
        <v>1980.5</v>
      </c>
      <c r="G1834" s="2">
        <v>1974.80004882812</v>
      </c>
      <c r="H1834" s="2">
        <v>1980.5</v>
      </c>
      <c r="I1834">
        <v>8</v>
      </c>
      <c r="J1834" s="2">
        <f ca="1">IFERROR((Tabla3[[#This Row],[Close]]-OFFSET(Tabla3[[#This Row],[Close]],-1,0))/OFFSET(Tabla3[[#This Row],[Close]],-1,0),"")</f>
        <v>-1.97094174962723E-3</v>
      </c>
      <c r="K1834" s="2">
        <f ca="1">IFERROR(AVERAGE(OFFSET(Tabla3[[#This Row],[Close]],-6,0,7)),"")</f>
        <v>1987.3714250837027</v>
      </c>
      <c r="L1834" s="2">
        <f ca="1">IFERROR(_xlfn.STDEV.S(OFFSET(Tabla3[[#This Row],[Close]],-29,0,30)),"")</f>
        <v>21.753897794100684</v>
      </c>
    </row>
    <row r="1835" spans="1:12" x14ac:dyDescent="0.3">
      <c r="A1835" s="1">
        <v>45069</v>
      </c>
      <c r="B1835" s="3">
        <f>YEAR(Tabla3[[#This Row],[Date]])</f>
        <v>2023</v>
      </c>
      <c r="C1835" s="1" t="str">
        <f>+TEXT(Tabla3[[#This Row],[Date]],"mmm")</f>
        <v>may</v>
      </c>
      <c r="D1835" s="2">
        <v>1972.40002441406</v>
      </c>
      <c r="E1835" s="2">
        <v>1972.40002441406</v>
      </c>
      <c r="F1835" s="2">
        <v>1972.40002441406</v>
      </c>
      <c r="G1835" s="2">
        <v>1972.40002441406</v>
      </c>
      <c r="H1835" s="2">
        <v>1972.40002441406</v>
      </c>
      <c r="I1835">
        <v>1</v>
      </c>
      <c r="J1835" s="2">
        <f ca="1">IFERROR((Tabla3[[#This Row],[Close]]-OFFSET(Tabla3[[#This Row],[Close]],-1,0))/OFFSET(Tabla3[[#This Row],[Close]],-1,0),"")</f>
        <v>-1.2153252758344898E-3</v>
      </c>
      <c r="K1835" s="2">
        <f ca="1">IFERROR(AVERAGE(OFFSET(Tabla3[[#This Row],[Close]],-6,0,7)),"")</f>
        <v>1981.3571428571399</v>
      </c>
      <c r="L1835" s="2">
        <f ca="1">IFERROR(_xlfn.STDEV.S(OFFSET(Tabla3[[#This Row],[Close]],-29,0,30)),"")</f>
        <v>22.475826167354896</v>
      </c>
    </row>
    <row r="1836" spans="1:12" x14ac:dyDescent="0.3">
      <c r="A1836" s="1">
        <v>45070</v>
      </c>
      <c r="B1836" s="3">
        <f>YEAR(Tabla3[[#This Row],[Date]])</f>
        <v>2023</v>
      </c>
      <c r="C1836" s="1" t="str">
        <f>+TEXT(Tabla3[[#This Row],[Date]],"mmm")</f>
        <v>may</v>
      </c>
      <c r="D1836" s="2">
        <v>1962.80004882812</v>
      </c>
      <c r="E1836" s="2">
        <v>1962.80004882812</v>
      </c>
      <c r="F1836" s="2">
        <v>1975.40002441406</v>
      </c>
      <c r="G1836" s="2">
        <v>1962.80004882812</v>
      </c>
      <c r="H1836" s="2">
        <v>1975.40002441406</v>
      </c>
      <c r="I1836">
        <v>189</v>
      </c>
      <c r="J1836" s="2">
        <f ca="1">IFERROR((Tabla3[[#This Row],[Close]]-OFFSET(Tabla3[[#This Row],[Close]],-1,0))/OFFSET(Tabla3[[#This Row],[Close]],-1,0),"")</f>
        <v>-4.8671544651759276E-3</v>
      </c>
      <c r="K1836" s="2">
        <f ca="1">IFERROR(AVERAGE(OFFSET(Tabla3[[#This Row],[Close]],-6,0,7)),"")</f>
        <v>1973.4714355468714</v>
      </c>
      <c r="L1836" s="2">
        <f ca="1">IFERROR(_xlfn.STDEV.S(OFFSET(Tabla3[[#This Row],[Close]],-29,0,30)),"")</f>
        <v>23.535516205691039</v>
      </c>
    </row>
    <row r="1837" spans="1:12" x14ac:dyDescent="0.3">
      <c r="A1837" s="1">
        <v>45071</v>
      </c>
      <c r="B1837" s="3">
        <f>YEAR(Tabla3[[#This Row],[Date]])</f>
        <v>2023</v>
      </c>
      <c r="C1837" s="1" t="str">
        <f>+TEXT(Tabla3[[#This Row],[Date]],"mmm")</f>
        <v>may</v>
      </c>
      <c r="D1837" s="2">
        <v>1943.09997558593</v>
      </c>
      <c r="E1837" s="2">
        <v>1943.09997558593</v>
      </c>
      <c r="F1837" s="2">
        <v>1943.09997558593</v>
      </c>
      <c r="G1837" s="2">
        <v>1943.09997558593</v>
      </c>
      <c r="H1837" s="2">
        <v>1943.09997558593</v>
      </c>
      <c r="I1837">
        <v>1</v>
      </c>
      <c r="J1837" s="2">
        <f ca="1">IFERROR((Tabla3[[#This Row],[Close]]-OFFSET(Tabla3[[#This Row],[Close]],-1,0))/OFFSET(Tabla3[[#This Row],[Close]],-1,0),"")</f>
        <v>-1.0036719356081039E-2</v>
      </c>
      <c r="K1837" s="2">
        <f ca="1">IFERROR(AVERAGE(OFFSET(Tabla3[[#This Row],[Close]],-6,0,7)),"")</f>
        <v>1966.9999999999959</v>
      </c>
      <c r="L1837" s="2">
        <f ca="1">IFERROR(_xlfn.STDEV.S(OFFSET(Tabla3[[#This Row],[Close]],-29,0,30)),"")</f>
        <v>24.509545575112647</v>
      </c>
    </row>
    <row r="1838" spans="1:12" x14ac:dyDescent="0.3">
      <c r="A1838" s="1">
        <v>45072</v>
      </c>
      <c r="B1838" s="3">
        <f>YEAR(Tabla3[[#This Row],[Date]])</f>
        <v>2023</v>
      </c>
      <c r="C1838" s="1" t="str">
        <f>+TEXT(Tabla3[[#This Row],[Date]],"mmm")</f>
        <v>may</v>
      </c>
      <c r="D1838" s="2">
        <v>1944.09997558593</v>
      </c>
      <c r="E1838" s="2">
        <v>1944.09997558593</v>
      </c>
      <c r="F1838" s="2">
        <v>1948.40002441406</v>
      </c>
      <c r="G1838" s="2">
        <v>1944.09997558593</v>
      </c>
      <c r="H1838" s="2">
        <v>1948.19995117187</v>
      </c>
      <c r="I1838">
        <v>166036</v>
      </c>
      <c r="J1838" s="2">
        <f ca="1">IFERROR((Tabla3[[#This Row],[Close]]-OFFSET(Tabla3[[#This Row],[Close]],-1,0))/OFFSET(Tabla3[[#This Row],[Close]],-1,0),"")</f>
        <v>5.1464155862513252E-4</v>
      </c>
      <c r="K1838" s="2">
        <f ca="1">IFERROR(AVERAGE(OFFSET(Tabla3[[#This Row],[Close]],-6,0,7)),"")</f>
        <v>1961.7714320591472</v>
      </c>
      <c r="L1838" s="2">
        <f ca="1">IFERROR(_xlfn.STDEV.S(OFFSET(Tabla3[[#This Row],[Close]],-29,0,30)),"")</f>
        <v>26.349553686583072</v>
      </c>
    </row>
    <row r="1839" spans="1:12" x14ac:dyDescent="0.3">
      <c r="A1839" s="1">
        <v>45076</v>
      </c>
      <c r="B1839" s="3">
        <f>YEAR(Tabla3[[#This Row],[Date]])</f>
        <v>2023</v>
      </c>
      <c r="C1839" s="1" t="str">
        <f>+TEXT(Tabla3[[#This Row],[Date]],"mmm")</f>
        <v>may</v>
      </c>
      <c r="D1839" s="2">
        <v>1958</v>
      </c>
      <c r="E1839" s="2">
        <v>1958</v>
      </c>
      <c r="F1839" s="2">
        <v>1962.59997558593</v>
      </c>
      <c r="G1839" s="2">
        <v>1931</v>
      </c>
      <c r="H1839" s="2">
        <v>1942.69995117187</v>
      </c>
      <c r="I1839">
        <v>37838</v>
      </c>
      <c r="J1839" s="2">
        <f ca="1">IFERROR((Tabla3[[#This Row],[Close]]-OFFSET(Tabla3[[#This Row],[Close]],-1,0))/OFFSET(Tabla3[[#This Row],[Close]],-1,0),"")</f>
        <v>7.1498506191178214E-3</v>
      </c>
      <c r="K1839" s="2">
        <f ca="1">IFERROR(AVERAGE(OFFSET(Tabla3[[#This Row],[Close]],-6,0,7)),"")</f>
        <v>1961.9857177734327</v>
      </c>
      <c r="L1839" s="2">
        <f ca="1">IFERROR(_xlfn.STDEV.S(OFFSET(Tabla3[[#This Row],[Close]],-29,0,30)),"")</f>
        <v>27.227143766077997</v>
      </c>
    </row>
    <row r="1840" spans="1:12" x14ac:dyDescent="0.3">
      <c r="A1840" s="1">
        <v>45077</v>
      </c>
      <c r="B1840" s="3">
        <f>YEAR(Tabla3[[#This Row],[Date]])</f>
        <v>2023</v>
      </c>
      <c r="C1840" s="1" t="str">
        <f>+TEXT(Tabla3[[#This Row],[Date]],"mmm")</f>
        <v>may</v>
      </c>
      <c r="D1840" s="2">
        <v>1963.90002441406</v>
      </c>
      <c r="E1840" s="2">
        <v>1963.90002441406</v>
      </c>
      <c r="F1840" s="2">
        <v>1973</v>
      </c>
      <c r="G1840" s="2">
        <v>1953</v>
      </c>
      <c r="H1840" s="2">
        <v>1958.19995117187</v>
      </c>
      <c r="I1840">
        <v>5959</v>
      </c>
      <c r="J1840" s="2">
        <f ca="1">IFERROR((Tabla3[[#This Row],[Close]]-OFFSET(Tabla3[[#This Row],[Close]],-1,0))/OFFSET(Tabla3[[#This Row],[Close]],-1,0),"")</f>
        <v>3.0132913248518893E-3</v>
      </c>
      <c r="K1840" s="2">
        <f ca="1">IFERROR(AVERAGE(OFFSET(Tabla3[[#This Row],[Close]],-6,0,7)),"")</f>
        <v>1959.8714425223172</v>
      </c>
      <c r="L1840" s="2">
        <f ca="1">IFERROR(_xlfn.STDEV.S(OFFSET(Tabla3[[#This Row],[Close]],-29,0,30)),"")</f>
        <v>27.661928252579642</v>
      </c>
    </row>
    <row r="1841" spans="1:12" x14ac:dyDescent="0.3">
      <c r="A1841" s="1">
        <v>45078</v>
      </c>
      <c r="B1841" s="3">
        <f>YEAR(Tabla3[[#This Row],[Date]])</f>
        <v>2023</v>
      </c>
      <c r="C1841" s="1" t="str">
        <f>+TEXT(Tabla3[[#This Row],[Date]],"mmm")</f>
        <v>jun</v>
      </c>
      <c r="D1841" s="2">
        <v>1978</v>
      </c>
      <c r="E1841" s="2">
        <v>1978</v>
      </c>
      <c r="F1841" s="2">
        <v>1983</v>
      </c>
      <c r="G1841" s="2">
        <v>1954.30004882812</v>
      </c>
      <c r="H1841" s="2">
        <v>1963.19995117187</v>
      </c>
      <c r="I1841">
        <v>750</v>
      </c>
      <c r="J1841" s="2">
        <f ca="1">IFERROR((Tabla3[[#This Row],[Close]]-OFFSET(Tabla3[[#This Row],[Close]],-1,0))/OFFSET(Tabla3[[#This Row],[Close]],-1,0),"")</f>
        <v>7.1795791082322549E-3</v>
      </c>
      <c r="K1841" s="2">
        <f ca="1">IFERROR(AVERAGE(OFFSET(Tabla3[[#This Row],[Close]],-6,0,7)),"")</f>
        <v>1960.3285784040145</v>
      </c>
      <c r="L1841" s="2">
        <f ca="1">IFERROR(_xlfn.STDEV.S(OFFSET(Tabla3[[#This Row],[Close]],-29,0,30)),"")</f>
        <v>27.790135189774531</v>
      </c>
    </row>
    <row r="1842" spans="1:12" x14ac:dyDescent="0.3">
      <c r="A1842" s="1">
        <v>45079</v>
      </c>
      <c r="B1842" s="3">
        <f>YEAR(Tabla3[[#This Row],[Date]])</f>
        <v>2023</v>
      </c>
      <c r="C1842" s="1" t="str">
        <f>+TEXT(Tabla3[[#This Row],[Date]],"mmm")</f>
        <v>jun</v>
      </c>
      <c r="D1842" s="2">
        <v>1952.40002441406</v>
      </c>
      <c r="E1842" s="2">
        <v>1952.40002441406</v>
      </c>
      <c r="F1842" s="2">
        <v>1982.5</v>
      </c>
      <c r="G1842" s="2">
        <v>1947.40002441406</v>
      </c>
      <c r="H1842" s="2">
        <v>1977.09997558593</v>
      </c>
      <c r="I1842">
        <v>356</v>
      </c>
      <c r="J1842" s="2">
        <f ca="1">IFERROR((Tabla3[[#This Row],[Close]]-OFFSET(Tabla3[[#This Row],[Close]],-1,0))/OFFSET(Tabla3[[#This Row],[Close]],-1,0),"")</f>
        <v>-1.2942353683488372E-2</v>
      </c>
      <c r="K1842" s="2">
        <f ca="1">IFERROR(AVERAGE(OFFSET(Tabla3[[#This Row],[Close]],-6,0,7)),"")</f>
        <v>1957.4714355468716</v>
      </c>
      <c r="L1842" s="2">
        <f ca="1">IFERROR(_xlfn.STDEV.S(OFFSET(Tabla3[[#This Row],[Close]],-29,0,30)),"")</f>
        <v>28.559401858105247</v>
      </c>
    </row>
    <row r="1843" spans="1:12" x14ac:dyDescent="0.3">
      <c r="A1843" s="1">
        <v>45082</v>
      </c>
      <c r="B1843" s="3">
        <f>YEAR(Tabla3[[#This Row],[Date]])</f>
        <v>2023</v>
      </c>
      <c r="C1843" s="1" t="str">
        <f>+TEXT(Tabla3[[#This Row],[Date]],"mmm")</f>
        <v>jun</v>
      </c>
      <c r="D1843" s="2">
        <v>1958</v>
      </c>
      <c r="E1843" s="2">
        <v>1958</v>
      </c>
      <c r="F1843" s="2">
        <v>1961.90002441406</v>
      </c>
      <c r="G1843" s="2">
        <v>1937.80004882812</v>
      </c>
      <c r="H1843" s="2">
        <v>1947.5</v>
      </c>
      <c r="I1843">
        <v>713</v>
      </c>
      <c r="J1843" s="2">
        <f ca="1">IFERROR((Tabla3[[#This Row],[Close]]-OFFSET(Tabla3[[#This Row],[Close]],-1,0))/OFFSET(Tabla3[[#This Row],[Close]],-1,0),"")</f>
        <v>2.8682521593496827E-3</v>
      </c>
      <c r="K1843" s="2">
        <f ca="1">IFERROR(AVERAGE(OFFSET(Tabla3[[#This Row],[Close]],-6,0,7)),"")</f>
        <v>1956.7857142857115</v>
      </c>
      <c r="L1843" s="2">
        <f ca="1">IFERROR(_xlfn.STDEV.S(OFFSET(Tabla3[[#This Row],[Close]],-29,0,30)),"")</f>
        <v>29.108567250318309</v>
      </c>
    </row>
    <row r="1844" spans="1:12" x14ac:dyDescent="0.3">
      <c r="A1844" s="1">
        <v>45083</v>
      </c>
      <c r="B1844" s="3">
        <f>YEAR(Tabla3[[#This Row],[Date]])</f>
        <v>2023</v>
      </c>
      <c r="C1844" s="1" t="str">
        <f>+TEXT(Tabla3[[#This Row],[Date]],"mmm")</f>
        <v>jun</v>
      </c>
      <c r="D1844" s="2">
        <v>1965.5</v>
      </c>
      <c r="E1844" s="2">
        <v>1965.5</v>
      </c>
      <c r="F1844" s="2">
        <v>1965.5</v>
      </c>
      <c r="G1844" s="2">
        <v>1958.80004882812</v>
      </c>
      <c r="H1844" s="2">
        <v>1960.80004882812</v>
      </c>
      <c r="I1844">
        <v>164</v>
      </c>
      <c r="J1844" s="2">
        <f ca="1">IFERROR((Tabla3[[#This Row],[Close]]-OFFSET(Tabla3[[#This Row],[Close]],-1,0))/OFFSET(Tabla3[[#This Row],[Close]],-1,0),"")</f>
        <v>3.8304392236976508E-3</v>
      </c>
      <c r="K1844" s="2">
        <f ca="1">IFERROR(AVERAGE(OFFSET(Tabla3[[#This Row],[Close]],-6,0,7)),"")</f>
        <v>1959.9857177734357</v>
      </c>
      <c r="L1844" s="2">
        <f ca="1">IFERROR(_xlfn.STDEV.S(OFFSET(Tabla3[[#This Row],[Close]],-29,0,30)),"")</f>
        <v>29.44370818976785</v>
      </c>
    </row>
    <row r="1845" spans="1:12" x14ac:dyDescent="0.3">
      <c r="A1845" s="1">
        <v>45084</v>
      </c>
      <c r="B1845" s="3">
        <f>YEAR(Tabla3[[#This Row],[Date]])</f>
        <v>2023</v>
      </c>
      <c r="C1845" s="1" t="str">
        <f>+TEXT(Tabla3[[#This Row],[Date]],"mmm")</f>
        <v>jun</v>
      </c>
      <c r="D1845" s="2">
        <v>1942.69995117187</v>
      </c>
      <c r="E1845" s="2">
        <v>1942.69995117187</v>
      </c>
      <c r="F1845" s="2">
        <v>1968.40002441406</v>
      </c>
      <c r="G1845" s="2">
        <v>1940.69995117187</v>
      </c>
      <c r="H1845" s="2">
        <v>1959</v>
      </c>
      <c r="I1845">
        <v>139</v>
      </c>
      <c r="J1845" s="2">
        <f ca="1">IFERROR((Tabla3[[#This Row],[Close]]-OFFSET(Tabla3[[#This Row],[Close]],-1,0))/OFFSET(Tabla3[[#This Row],[Close]],-1,0),"")</f>
        <v>-1.1600126597878404E-2</v>
      </c>
      <c r="K1845" s="2">
        <f ca="1">IFERROR(AVERAGE(OFFSET(Tabla3[[#This Row],[Close]],-6,0,7)),"")</f>
        <v>1959.7857142857126</v>
      </c>
      <c r="L1845" s="2">
        <f ca="1">IFERROR(_xlfn.STDEV.S(OFFSET(Tabla3[[#This Row],[Close]],-29,0,30)),"")</f>
        <v>30.607772306467353</v>
      </c>
    </row>
    <row r="1846" spans="1:12" x14ac:dyDescent="0.3">
      <c r="A1846" s="1">
        <v>45085</v>
      </c>
      <c r="B1846" s="3">
        <f>YEAR(Tabla3[[#This Row],[Date]])</f>
        <v>2023</v>
      </c>
      <c r="C1846" s="1" t="str">
        <f>+TEXT(Tabla3[[#This Row],[Date]],"mmm")</f>
        <v>jun</v>
      </c>
      <c r="D1846" s="2">
        <v>1963.59997558593</v>
      </c>
      <c r="E1846" s="2">
        <v>1963.59997558593</v>
      </c>
      <c r="F1846" s="2">
        <v>1969</v>
      </c>
      <c r="G1846" s="2">
        <v>1943.09997558593</v>
      </c>
      <c r="H1846" s="2">
        <v>1943.19995117187</v>
      </c>
      <c r="I1846">
        <v>433</v>
      </c>
      <c r="J1846" s="2">
        <f ca="1">IFERROR((Tabla3[[#This Row],[Close]]-OFFSET(Tabla3[[#This Row],[Close]],-1,0))/OFFSET(Tabla3[[#This Row],[Close]],-1,0),"")</f>
        <v>1.075823592904954E-2</v>
      </c>
      <c r="K1846" s="2">
        <f ca="1">IFERROR(AVERAGE(OFFSET(Tabla3[[#This Row],[Close]],-6,0,7)),"")</f>
        <v>1960.5857107979884</v>
      </c>
      <c r="L1846" s="2">
        <f ca="1">IFERROR(_xlfn.STDEV.S(OFFSET(Tabla3[[#This Row],[Close]],-29,0,30)),"")</f>
        <v>30.910897556455868</v>
      </c>
    </row>
    <row r="1847" spans="1:12" x14ac:dyDescent="0.3">
      <c r="A1847" s="1">
        <v>45086</v>
      </c>
      <c r="B1847" s="3">
        <f>YEAR(Tabla3[[#This Row],[Date]])</f>
        <v>2023</v>
      </c>
      <c r="C1847" s="1" t="str">
        <f>+TEXT(Tabla3[[#This Row],[Date]],"mmm")</f>
        <v>jun</v>
      </c>
      <c r="D1847" s="2">
        <v>1962.19995117187</v>
      </c>
      <c r="E1847" s="2">
        <v>1962.19995117187</v>
      </c>
      <c r="F1847" s="2">
        <v>1969.80004882812</v>
      </c>
      <c r="G1847" s="2">
        <v>1960.30004882812</v>
      </c>
      <c r="H1847" s="2">
        <v>1965.09997558593</v>
      </c>
      <c r="I1847">
        <v>49</v>
      </c>
      <c r="J1847" s="2">
        <f ca="1">IFERROR((Tabla3[[#This Row],[Close]]-OFFSET(Tabla3[[#This Row],[Close]],-1,0))/OFFSET(Tabla3[[#This Row],[Close]],-1,0),"")</f>
        <v>-7.1298860840647419E-4</v>
      </c>
      <c r="K1847" s="2">
        <f ca="1">IFERROR(AVERAGE(OFFSET(Tabla3[[#This Row],[Close]],-6,0,7)),"")</f>
        <v>1960.3428431919615</v>
      </c>
      <c r="L1847" s="2">
        <f ca="1">IFERROR(_xlfn.STDEV.S(OFFSET(Tabla3[[#This Row],[Close]],-29,0,30)),"")</f>
        <v>31.218530703262637</v>
      </c>
    </row>
    <row r="1848" spans="1:12" x14ac:dyDescent="0.3">
      <c r="A1848" s="1">
        <v>45089</v>
      </c>
      <c r="B1848" s="3">
        <f>YEAR(Tabla3[[#This Row],[Date]])</f>
        <v>2023</v>
      </c>
      <c r="C1848" s="1" t="str">
        <f>+TEXT(Tabla3[[#This Row],[Date]],"mmm")</f>
        <v>jun</v>
      </c>
      <c r="D1848" s="2">
        <v>1955.30004882812</v>
      </c>
      <c r="E1848" s="2">
        <v>1955.30004882812</v>
      </c>
      <c r="F1848" s="2">
        <v>1963.5</v>
      </c>
      <c r="G1848" s="2">
        <v>1951.40002441406</v>
      </c>
      <c r="H1848" s="2">
        <v>1959.69995117187</v>
      </c>
      <c r="I1848">
        <v>212</v>
      </c>
      <c r="J1848" s="2">
        <f ca="1">IFERROR((Tabla3[[#This Row],[Close]]-OFFSET(Tabla3[[#This Row],[Close]],-1,0))/OFFSET(Tabla3[[#This Row],[Close]],-1,0),"")</f>
        <v>-3.5164114338241742E-3</v>
      </c>
      <c r="K1848" s="2">
        <f ca="1">IFERROR(AVERAGE(OFFSET(Tabla3[[#This Row],[Close]],-6,0,7)),"")</f>
        <v>1957.09999302455</v>
      </c>
      <c r="L1848" s="2">
        <f ca="1">IFERROR(_xlfn.STDEV.S(OFFSET(Tabla3[[#This Row],[Close]],-29,0,30)),"")</f>
        <v>31.688303281291869</v>
      </c>
    </row>
    <row r="1849" spans="1:12" x14ac:dyDescent="0.3">
      <c r="A1849" s="1">
        <v>45090</v>
      </c>
      <c r="B1849" s="3">
        <f>YEAR(Tabla3[[#This Row],[Date]])</f>
        <v>2023</v>
      </c>
      <c r="C1849" s="1" t="str">
        <f>+TEXT(Tabla3[[#This Row],[Date]],"mmm")</f>
        <v>jun</v>
      </c>
      <c r="D1849" s="2">
        <v>1944.59997558593</v>
      </c>
      <c r="E1849" s="2">
        <v>1944.59997558593</v>
      </c>
      <c r="F1849" s="2">
        <v>1967.5</v>
      </c>
      <c r="G1849" s="2">
        <v>1940.30004882812</v>
      </c>
      <c r="H1849" s="2">
        <v>1960.59997558593</v>
      </c>
      <c r="I1849">
        <v>343</v>
      </c>
      <c r="J1849" s="2">
        <f ca="1">IFERROR((Tabla3[[#This Row],[Close]]-OFFSET(Tabla3[[#This Row],[Close]],-1,0))/OFFSET(Tabla3[[#This Row],[Close]],-1,0),"")</f>
        <v>-5.4723433616252048E-3</v>
      </c>
      <c r="K1849" s="2">
        <f ca="1">IFERROR(AVERAGE(OFFSET(Tabla3[[#This Row],[Close]],-6,0,7)),"")</f>
        <v>1955.985700334817</v>
      </c>
      <c r="L1849" s="2">
        <f ca="1">IFERROR(_xlfn.STDEV.S(OFFSET(Tabla3[[#This Row],[Close]],-29,0,30)),"")</f>
        <v>32.512997710221434</v>
      </c>
    </row>
    <row r="1850" spans="1:12" x14ac:dyDescent="0.3">
      <c r="A1850" s="1">
        <v>45091</v>
      </c>
      <c r="B1850" s="3">
        <f>YEAR(Tabla3[[#This Row],[Date]])</f>
        <v>2023</v>
      </c>
      <c r="C1850" s="1" t="str">
        <f>+TEXT(Tabla3[[#This Row],[Date]],"mmm")</f>
        <v>jun</v>
      </c>
      <c r="D1850" s="2">
        <v>1955.30004882812</v>
      </c>
      <c r="E1850" s="2">
        <v>1955.30004882812</v>
      </c>
      <c r="F1850" s="2">
        <v>1958.19995117187</v>
      </c>
      <c r="G1850" s="2">
        <v>1940.30004882812</v>
      </c>
      <c r="H1850" s="2">
        <v>1946.19995117187</v>
      </c>
      <c r="I1850">
        <v>202</v>
      </c>
      <c r="J1850" s="2">
        <f ca="1">IFERROR((Tabla3[[#This Row],[Close]]-OFFSET(Tabla3[[#This Row],[Close]],-1,0))/OFFSET(Tabla3[[#This Row],[Close]],-1,0),"")</f>
        <v>5.5024546829822666E-3</v>
      </c>
      <c r="K1850" s="2">
        <f ca="1">IFERROR(AVERAGE(OFFSET(Tabla3[[#This Row],[Close]],-6,0,7)),"")</f>
        <v>1955.5999930245484</v>
      </c>
      <c r="L1850" s="2">
        <f ca="1">IFERROR(_xlfn.STDEV.S(OFFSET(Tabla3[[#This Row],[Close]],-29,0,30)),"")</f>
        <v>32.347166531527002</v>
      </c>
    </row>
    <row r="1851" spans="1:12" x14ac:dyDescent="0.3">
      <c r="A1851" s="1">
        <v>45092</v>
      </c>
      <c r="B1851" s="3">
        <f>YEAR(Tabla3[[#This Row],[Date]])</f>
        <v>2023</v>
      </c>
      <c r="C1851" s="1" t="str">
        <f>+TEXT(Tabla3[[#This Row],[Date]],"mmm")</f>
        <v>jun</v>
      </c>
      <c r="D1851" s="2">
        <v>1957.80004882812</v>
      </c>
      <c r="E1851" s="2">
        <v>1957.80004882812</v>
      </c>
      <c r="F1851" s="2">
        <v>1958.80004882812</v>
      </c>
      <c r="G1851" s="2">
        <v>1926</v>
      </c>
      <c r="H1851" s="2">
        <v>1941.69995117187</v>
      </c>
      <c r="I1851">
        <v>329</v>
      </c>
      <c r="J1851" s="2">
        <f ca="1">IFERROR((Tabla3[[#This Row],[Close]]-OFFSET(Tabla3[[#This Row],[Close]],-1,0))/OFFSET(Tabla3[[#This Row],[Close]],-1,0),"")</f>
        <v>1.2785761456398151E-3</v>
      </c>
      <c r="K1851" s="2">
        <f ca="1">IFERROR(AVERAGE(OFFSET(Tabla3[[#This Row],[Close]],-6,0,7)),"")</f>
        <v>1954.4999999999941</v>
      </c>
      <c r="L1851" s="2">
        <f ca="1">IFERROR(_xlfn.STDEV.S(OFFSET(Tabla3[[#This Row],[Close]],-29,0,30)),"")</f>
        <v>31.334553167704698</v>
      </c>
    </row>
    <row r="1852" spans="1:12" x14ac:dyDescent="0.3">
      <c r="A1852" s="1">
        <v>45093</v>
      </c>
      <c r="B1852" s="3">
        <f>YEAR(Tabla3[[#This Row],[Date]])</f>
        <v>2023</v>
      </c>
      <c r="C1852" s="1" t="str">
        <f>+TEXT(Tabla3[[#This Row],[Date]],"mmm")</f>
        <v>jun</v>
      </c>
      <c r="D1852" s="2">
        <v>1958.40002441406</v>
      </c>
      <c r="E1852" s="2">
        <v>1958.40002441406</v>
      </c>
      <c r="F1852" s="2">
        <v>1962.90002441406</v>
      </c>
      <c r="G1852" s="2">
        <v>1953.5</v>
      </c>
      <c r="H1852" s="2">
        <v>1961.40002441406</v>
      </c>
      <c r="I1852">
        <v>119</v>
      </c>
      <c r="J1852" s="2">
        <f ca="1">IFERROR((Tabla3[[#This Row],[Close]]-OFFSET(Tabla3[[#This Row],[Close]],-1,0))/OFFSET(Tabla3[[#This Row],[Close]],-1,0),"")</f>
        <v>3.0645396413138734E-4</v>
      </c>
      <c r="K1852" s="2">
        <f ca="1">IFERROR(AVERAGE(OFFSET(Tabla3[[#This Row],[Close]],-6,0,7)),"")</f>
        <v>1956.7428676060213</v>
      </c>
      <c r="L1852" s="2">
        <f ca="1">IFERROR(_xlfn.STDEV.S(OFFSET(Tabla3[[#This Row],[Close]],-29,0,30)),"")</f>
        <v>28.669385172733243</v>
      </c>
    </row>
    <row r="1853" spans="1:12" x14ac:dyDescent="0.3">
      <c r="A1853" s="1">
        <v>45097</v>
      </c>
      <c r="B1853" s="3">
        <f>YEAR(Tabla3[[#This Row],[Date]])</f>
        <v>2023</v>
      </c>
      <c r="C1853" s="1" t="str">
        <f>+TEXT(Tabla3[[#This Row],[Date]],"mmm")</f>
        <v>jun</v>
      </c>
      <c r="D1853" s="2">
        <v>1935.5</v>
      </c>
      <c r="E1853" s="2">
        <v>1935.5</v>
      </c>
      <c r="F1853" s="2">
        <v>1958.59997558593</v>
      </c>
      <c r="G1853" s="2">
        <v>1931.30004882812</v>
      </c>
      <c r="H1853" s="2">
        <v>1958.59997558593</v>
      </c>
      <c r="I1853">
        <v>193</v>
      </c>
      <c r="J1853" s="2">
        <f ca="1">IFERROR((Tabla3[[#This Row],[Close]]-OFFSET(Tabla3[[#This Row],[Close]],-1,0))/OFFSET(Tabla3[[#This Row],[Close]],-1,0),"")</f>
        <v>-1.1693231274806346E-2</v>
      </c>
      <c r="K1853" s="2">
        <f ca="1">IFERROR(AVERAGE(OFFSET(Tabla3[[#This Row],[Close]],-6,0,7)),"")</f>
        <v>1952.7285853794601</v>
      </c>
      <c r="L1853" s="2">
        <f ca="1">IFERROR(_xlfn.STDEV.S(OFFSET(Tabla3[[#This Row],[Close]],-29,0,30)),"")</f>
        <v>28.472845407659328</v>
      </c>
    </row>
    <row r="1854" spans="1:12" x14ac:dyDescent="0.3">
      <c r="A1854" s="1">
        <v>45098</v>
      </c>
      <c r="B1854" s="3">
        <f>YEAR(Tabla3[[#This Row],[Date]])</f>
        <v>2023</v>
      </c>
      <c r="C1854" s="1" t="str">
        <f>+TEXT(Tabla3[[#This Row],[Date]],"mmm")</f>
        <v>jun</v>
      </c>
      <c r="D1854" s="2">
        <v>1933.30004882812</v>
      </c>
      <c r="E1854" s="2">
        <v>1933.30004882812</v>
      </c>
      <c r="F1854" s="2">
        <v>1936.80004882812</v>
      </c>
      <c r="G1854" s="2">
        <v>1920</v>
      </c>
      <c r="H1854" s="2">
        <v>1935.59997558593</v>
      </c>
      <c r="I1854">
        <v>557</v>
      </c>
      <c r="J1854" s="2">
        <f ca="1">IFERROR((Tabla3[[#This Row],[Close]]-OFFSET(Tabla3[[#This Row],[Close]],-1,0))/OFFSET(Tabla3[[#This Row],[Close]],-1,0),"")</f>
        <v>-1.1366319668716105E-3</v>
      </c>
      <c r="K1854" s="2">
        <f ca="1">IFERROR(AVERAGE(OFFSET(Tabla3[[#This Row],[Close]],-6,0,7)),"")</f>
        <v>1948.6000279017812</v>
      </c>
      <c r="L1854" s="2">
        <f ca="1">IFERROR(_xlfn.STDEV.S(OFFSET(Tabla3[[#This Row],[Close]],-29,0,30)),"")</f>
        <v>27.527576087275659</v>
      </c>
    </row>
    <row r="1855" spans="1:12" x14ac:dyDescent="0.3">
      <c r="A1855" s="1">
        <v>45099</v>
      </c>
      <c r="B1855" s="3">
        <f>YEAR(Tabla3[[#This Row],[Date]])</f>
        <v>2023</v>
      </c>
      <c r="C1855" s="1" t="str">
        <f>+TEXT(Tabla3[[#This Row],[Date]],"mmm")</f>
        <v>jun</v>
      </c>
      <c r="D1855" s="2">
        <v>1912.69995117187</v>
      </c>
      <c r="E1855" s="2">
        <v>1912.69995117187</v>
      </c>
      <c r="F1855" s="2">
        <v>1921</v>
      </c>
      <c r="G1855" s="2">
        <v>1912.09997558593</v>
      </c>
      <c r="H1855" s="2">
        <v>1920</v>
      </c>
      <c r="I1855">
        <v>237</v>
      </c>
      <c r="J1855" s="2">
        <f ca="1">IFERROR((Tabla3[[#This Row],[Close]]-OFFSET(Tabla3[[#This Row],[Close]],-1,0))/OFFSET(Tabla3[[#This Row],[Close]],-1,0),"")</f>
        <v>-1.0655406370437355E-2</v>
      </c>
      <c r="K1855" s="2">
        <f ca="1">IFERROR(AVERAGE(OFFSET(Tabla3[[#This Row],[Close]],-6,0,7)),"")</f>
        <v>1942.5142996651739</v>
      </c>
      <c r="L1855" s="2">
        <f ca="1">IFERROR(_xlfn.STDEV.S(OFFSET(Tabla3[[#This Row],[Close]],-29,0,30)),"")</f>
        <v>26.50106471958118</v>
      </c>
    </row>
    <row r="1856" spans="1:12" x14ac:dyDescent="0.3">
      <c r="A1856" s="1">
        <v>45100</v>
      </c>
      <c r="B1856" s="3">
        <f>YEAR(Tabla3[[#This Row],[Date]])</f>
        <v>2023</v>
      </c>
      <c r="C1856" s="1" t="str">
        <f>+TEXT(Tabla3[[#This Row],[Date]],"mmm")</f>
        <v>jun</v>
      </c>
      <c r="D1856" s="2">
        <v>1919.09997558593</v>
      </c>
      <c r="E1856" s="2">
        <v>1919.09997558593</v>
      </c>
      <c r="F1856" s="2">
        <v>1932.5</v>
      </c>
      <c r="G1856" s="2">
        <v>1918.69995117187</v>
      </c>
      <c r="H1856" s="2">
        <v>1918.69995117187</v>
      </c>
      <c r="I1856">
        <v>105</v>
      </c>
      <c r="J1856" s="2">
        <f ca="1">IFERROR((Tabla3[[#This Row],[Close]]-OFFSET(Tabla3[[#This Row],[Close]],-1,0))/OFFSET(Tabla3[[#This Row],[Close]],-1,0),"")</f>
        <v>3.3460681640833639E-3</v>
      </c>
      <c r="K1856" s="2">
        <f ca="1">IFERROR(AVERAGE(OFFSET(Tabla3[[#This Row],[Close]],-6,0,7)),"")</f>
        <v>1938.871442522317</v>
      </c>
      <c r="L1856" s="2">
        <f ca="1">IFERROR(_xlfn.STDEV.S(OFFSET(Tabla3[[#This Row],[Close]],-29,0,30)),"")</f>
        <v>24.889997615520819</v>
      </c>
    </row>
    <row r="1857" spans="1:12" x14ac:dyDescent="0.3">
      <c r="A1857" s="1">
        <v>45103</v>
      </c>
      <c r="B1857" s="3">
        <f>YEAR(Tabla3[[#This Row],[Date]])</f>
        <v>2023</v>
      </c>
      <c r="C1857" s="1" t="str">
        <f>+TEXT(Tabla3[[#This Row],[Date]],"mmm")</f>
        <v>jun</v>
      </c>
      <c r="D1857" s="2">
        <v>1923.69995117187</v>
      </c>
      <c r="E1857" s="2">
        <v>1923.69995117187</v>
      </c>
      <c r="F1857" s="2">
        <v>1928.5</v>
      </c>
      <c r="G1857" s="2">
        <v>1922.5</v>
      </c>
      <c r="H1857" s="2">
        <v>1922.90002441406</v>
      </c>
      <c r="I1857">
        <v>71</v>
      </c>
      <c r="J1857" s="2">
        <f ca="1">IFERROR((Tabla3[[#This Row],[Close]]-OFFSET(Tabla3[[#This Row],[Close]],-1,0))/OFFSET(Tabla3[[#This Row],[Close]],-1,0),"")</f>
        <v>2.3969442157569512E-3</v>
      </c>
      <c r="K1857" s="2">
        <f ca="1">IFERROR(AVERAGE(OFFSET(Tabla3[[#This Row],[Close]],-6,0,7)),"")</f>
        <v>1934.3571428571383</v>
      </c>
      <c r="L1857" s="2">
        <f ca="1">IFERROR(_xlfn.STDEV.S(OFFSET(Tabla3[[#This Row],[Close]],-29,0,30)),"")</f>
        <v>23.787678891593501</v>
      </c>
    </row>
    <row r="1858" spans="1:12" x14ac:dyDescent="0.3">
      <c r="A1858" s="1">
        <v>45104</v>
      </c>
      <c r="B1858" s="3">
        <f>YEAR(Tabla3[[#This Row],[Date]])</f>
        <v>2023</v>
      </c>
      <c r="C1858" s="1" t="str">
        <f>+TEXT(Tabla3[[#This Row],[Date]],"mmm")</f>
        <v>jun</v>
      </c>
      <c r="D1858" s="2">
        <v>1914</v>
      </c>
      <c r="E1858" s="2">
        <v>1914</v>
      </c>
      <c r="F1858" s="2">
        <v>1929.40002441406</v>
      </c>
      <c r="G1858" s="2">
        <v>1914</v>
      </c>
      <c r="H1858" s="2">
        <v>1927</v>
      </c>
      <c r="I1858">
        <v>49</v>
      </c>
      <c r="J1858" s="2">
        <f ca="1">IFERROR((Tabla3[[#This Row],[Close]]-OFFSET(Tabla3[[#This Row],[Close]],-1,0))/OFFSET(Tabla3[[#This Row],[Close]],-1,0),"")</f>
        <v>-5.0423410189104753E-3</v>
      </c>
      <c r="K1858" s="2">
        <f ca="1">IFERROR(AVERAGE(OFFSET(Tabla3[[#This Row],[Close]],-6,0,7)),"")</f>
        <v>1928.09999302455</v>
      </c>
      <c r="L1858" s="2">
        <f ca="1">IFERROR(_xlfn.STDEV.S(OFFSET(Tabla3[[#This Row],[Close]],-29,0,30)),"")</f>
        <v>22.776751111329919</v>
      </c>
    </row>
    <row r="1859" spans="1:12" x14ac:dyDescent="0.3">
      <c r="A1859" s="1">
        <v>45105</v>
      </c>
      <c r="B1859" s="3">
        <f>YEAR(Tabla3[[#This Row],[Date]])</f>
        <v>2023</v>
      </c>
      <c r="C1859" s="1" t="str">
        <f>+TEXT(Tabla3[[#This Row],[Date]],"mmm")</f>
        <v>jun</v>
      </c>
      <c r="D1859" s="2">
        <v>1912.30004882812</v>
      </c>
      <c r="E1859" s="2">
        <v>1912.30004882812</v>
      </c>
      <c r="F1859" s="2">
        <v>1912.30004882812</v>
      </c>
      <c r="G1859" s="2">
        <v>1912.30004882812</v>
      </c>
      <c r="H1859" s="2">
        <v>1912.30004882812</v>
      </c>
      <c r="I1859">
        <v>628</v>
      </c>
      <c r="J1859" s="2">
        <f ca="1">IFERROR((Tabla3[[#This Row],[Close]]-OFFSET(Tabla3[[#This Row],[Close]],-1,0))/OFFSET(Tabla3[[#This Row],[Close]],-1,0),"")</f>
        <v>-8.8816675646813078E-4</v>
      </c>
      <c r="K1859" s="2">
        <f ca="1">IFERROR(AVERAGE(OFFSET(Tabla3[[#This Row],[Close]],-6,0,7)),"")</f>
        <v>1921.5142822265586</v>
      </c>
      <c r="L1859" s="2">
        <f ca="1">IFERROR(_xlfn.STDEV.S(OFFSET(Tabla3[[#This Row],[Close]],-29,0,30)),"")</f>
        <v>20.92029024608118</v>
      </c>
    </row>
    <row r="1860" spans="1:12" x14ac:dyDescent="0.3">
      <c r="A1860" s="1">
        <v>45106</v>
      </c>
      <c r="B1860" s="3">
        <f>YEAR(Tabla3[[#This Row],[Date]])</f>
        <v>2023</v>
      </c>
      <c r="C1860" s="1" t="str">
        <f>+TEXT(Tabla3[[#This Row],[Date]],"mmm")</f>
        <v>jun</v>
      </c>
      <c r="D1860" s="2">
        <v>1909.19995117187</v>
      </c>
      <c r="E1860" s="2">
        <v>1909.19995117187</v>
      </c>
      <c r="F1860" s="2">
        <v>1909.90002441406</v>
      </c>
      <c r="G1860" s="2">
        <v>1892.5</v>
      </c>
      <c r="H1860" s="2">
        <v>1909.90002441406</v>
      </c>
      <c r="I1860">
        <v>289</v>
      </c>
      <c r="J1860" s="2">
        <f ca="1">IFERROR((Tabla3[[#This Row],[Close]]-OFFSET(Tabla3[[#This Row],[Close]],-1,0))/OFFSET(Tabla3[[#This Row],[Close]],-1,0),"")</f>
        <v>-1.6211355839005372E-3</v>
      </c>
      <c r="K1860" s="2">
        <f ca="1">IFERROR(AVERAGE(OFFSET(Tabla3[[#This Row],[Close]],-6,0,7)),"")</f>
        <v>1917.7571323939685</v>
      </c>
      <c r="L1860" s="2">
        <f ca="1">IFERROR(_xlfn.STDEV.S(OFFSET(Tabla3[[#This Row],[Close]],-29,0,30)),"")</f>
        <v>21.19781713465456</v>
      </c>
    </row>
    <row r="1861" spans="1:12" x14ac:dyDescent="0.3">
      <c r="A1861" s="1">
        <v>45107</v>
      </c>
      <c r="B1861" s="3">
        <f>YEAR(Tabla3[[#This Row],[Date]])</f>
        <v>2023</v>
      </c>
      <c r="C1861" s="1" t="str">
        <f>+TEXT(Tabla3[[#This Row],[Date]],"mmm")</f>
        <v>jun</v>
      </c>
      <c r="D1861" s="2">
        <v>1921.09997558593</v>
      </c>
      <c r="E1861" s="2">
        <v>1921.09997558593</v>
      </c>
      <c r="F1861" s="2">
        <v>1921.09997558593</v>
      </c>
      <c r="G1861" s="2">
        <v>1900.59997558593</v>
      </c>
      <c r="H1861" s="2">
        <v>1908.59997558593</v>
      </c>
      <c r="I1861">
        <v>445</v>
      </c>
      <c r="J1861" s="2">
        <f ca="1">IFERROR((Tabla3[[#This Row],[Close]]-OFFSET(Tabla3[[#This Row],[Close]],-1,0))/OFFSET(Tabla3[[#This Row],[Close]],-1,0),"")</f>
        <v>6.2329901102059762E-3</v>
      </c>
      <c r="K1861" s="2">
        <f ca="1">IFERROR(AVERAGE(OFFSET(Tabla3[[#This Row],[Close]],-6,0,7)),"")</f>
        <v>1916.0142647879413</v>
      </c>
      <c r="L1861" s="2">
        <f ca="1">IFERROR(_xlfn.STDEV.S(OFFSET(Tabla3[[#This Row],[Close]],-29,0,30)),"")</f>
        <v>20.976258485408025</v>
      </c>
    </row>
    <row r="1862" spans="1:12" x14ac:dyDescent="0.3">
      <c r="A1862" s="1">
        <v>45110</v>
      </c>
      <c r="B1862" s="3">
        <f>YEAR(Tabla3[[#This Row],[Date]])</f>
        <v>2023</v>
      </c>
      <c r="C1862" s="1" t="str">
        <f>+TEXT(Tabla3[[#This Row],[Date]],"mmm")</f>
        <v>jul</v>
      </c>
      <c r="D1862" s="2">
        <v>1921.69995117187</v>
      </c>
      <c r="E1862" s="2">
        <v>1921.69995117187</v>
      </c>
      <c r="F1862" s="2">
        <v>1929.5</v>
      </c>
      <c r="G1862" s="2">
        <v>1917.90002441406</v>
      </c>
      <c r="H1862" s="2">
        <v>1917.90002441406</v>
      </c>
      <c r="I1862">
        <v>41</v>
      </c>
      <c r="J1862" s="2">
        <f ca="1">IFERROR((Tabla3[[#This Row],[Close]]-OFFSET(Tabla3[[#This Row],[Close]],-1,0))/OFFSET(Tabla3[[#This Row],[Close]],-1,0),"")</f>
        <v>3.1230836164942966E-4</v>
      </c>
      <c r="K1862" s="2">
        <f ca="1">IFERROR(AVERAGE(OFFSET(Tabla3[[#This Row],[Close]],-6,0,7)),"")</f>
        <v>1917.2999790736555</v>
      </c>
      <c r="L1862" s="2">
        <f ca="1">IFERROR(_xlfn.STDEV.S(OFFSET(Tabla3[[#This Row],[Close]],-29,0,30)),"")</f>
        <v>21.426420687316462</v>
      </c>
    </row>
    <row r="1863" spans="1:12" x14ac:dyDescent="0.3">
      <c r="A1863" s="1">
        <v>45112</v>
      </c>
      <c r="B1863" s="3">
        <f>YEAR(Tabla3[[#This Row],[Date]])</f>
        <v>2023</v>
      </c>
      <c r="C1863" s="1" t="str">
        <f>+TEXT(Tabla3[[#This Row],[Date]],"mmm")</f>
        <v>jul</v>
      </c>
      <c r="D1863" s="2">
        <v>1919.59997558593</v>
      </c>
      <c r="E1863" s="2">
        <v>1919.59997558593</v>
      </c>
      <c r="F1863" s="2">
        <v>1933.90002441406</v>
      </c>
      <c r="G1863" s="2">
        <v>1914.69995117187</v>
      </c>
      <c r="H1863" s="2">
        <v>1923.5</v>
      </c>
      <c r="I1863">
        <v>193</v>
      </c>
      <c r="J1863" s="2">
        <f ca="1">IFERROR((Tabla3[[#This Row],[Close]]-OFFSET(Tabla3[[#This Row],[Close]],-1,0))/OFFSET(Tabla3[[#This Row],[Close]],-1,0),"")</f>
        <v>-1.0927697555799057E-3</v>
      </c>
      <c r="K1863" s="2">
        <f ca="1">IFERROR(AVERAGE(OFFSET(Tabla3[[#This Row],[Close]],-6,0,7)),"")</f>
        <v>1917.3714076450844</v>
      </c>
      <c r="L1863" s="2">
        <f ca="1">IFERROR(_xlfn.STDEV.S(OFFSET(Tabla3[[#This Row],[Close]],-29,0,30)),"")</f>
        <v>21.075274746638783</v>
      </c>
    </row>
    <row r="1864" spans="1:12" x14ac:dyDescent="0.3">
      <c r="A1864" s="1">
        <v>45113</v>
      </c>
      <c r="B1864" s="3">
        <f>YEAR(Tabla3[[#This Row],[Date]])</f>
        <v>2023</v>
      </c>
      <c r="C1864" s="1" t="str">
        <f>+TEXT(Tabla3[[#This Row],[Date]],"mmm")</f>
        <v>jul</v>
      </c>
      <c r="D1864" s="2">
        <v>1908.69995117187</v>
      </c>
      <c r="E1864" s="2">
        <v>1908.69995117187</v>
      </c>
      <c r="F1864" s="2">
        <v>1910.19995117187</v>
      </c>
      <c r="G1864" s="2">
        <v>1903.19995117187</v>
      </c>
      <c r="H1864" s="2">
        <v>1909.30004882812</v>
      </c>
      <c r="I1864">
        <v>81</v>
      </c>
      <c r="J1864" s="2">
        <f ca="1">IFERROR((Tabla3[[#This Row],[Close]]-OFFSET(Tabla3[[#This Row],[Close]],-1,0))/OFFSET(Tabla3[[#This Row],[Close]],-1,0),"")</f>
        <v>-5.6782790960043248E-3</v>
      </c>
      <c r="K1864" s="2">
        <f ca="1">IFERROR(AVERAGE(OFFSET(Tabla3[[#This Row],[Close]],-6,0,7)),"")</f>
        <v>1915.2285505022271</v>
      </c>
      <c r="L1864" s="2">
        <f ca="1">IFERROR(_xlfn.STDEV.S(OFFSET(Tabla3[[#This Row],[Close]],-29,0,30)),"")</f>
        <v>21.253153353791188</v>
      </c>
    </row>
    <row r="1865" spans="1:12" x14ac:dyDescent="0.3">
      <c r="A1865" s="1">
        <v>45114</v>
      </c>
      <c r="B1865" s="3">
        <f>YEAR(Tabla3[[#This Row],[Date]])</f>
        <v>2023</v>
      </c>
      <c r="C1865" s="1" t="str">
        <f>+TEXT(Tabla3[[#This Row],[Date]],"mmm")</f>
        <v>jul</v>
      </c>
      <c r="D1865" s="2">
        <v>1926.19995117187</v>
      </c>
      <c r="E1865" s="2">
        <v>1926.19995117187</v>
      </c>
      <c r="F1865" s="2">
        <v>1934.09997558593</v>
      </c>
      <c r="G1865" s="2">
        <v>1913.40002441406</v>
      </c>
      <c r="H1865" s="2">
        <v>1913.40002441406</v>
      </c>
      <c r="I1865">
        <v>61</v>
      </c>
      <c r="J1865" s="2">
        <f ca="1">IFERROR((Tabla3[[#This Row],[Close]]-OFFSET(Tabla3[[#This Row],[Close]],-1,0))/OFFSET(Tabla3[[#This Row],[Close]],-1,0),"")</f>
        <v>9.1685442697557878E-3</v>
      </c>
      <c r="K1865" s="2">
        <f ca="1">IFERROR(AVERAGE(OFFSET(Tabla3[[#This Row],[Close]],-6,0,7)),"")</f>
        <v>1916.9714006696372</v>
      </c>
      <c r="L1865" s="2">
        <f ca="1">IFERROR(_xlfn.STDEV.S(OFFSET(Tabla3[[#This Row],[Close]],-29,0,30)),"")</f>
        <v>20.662518788518639</v>
      </c>
    </row>
    <row r="1866" spans="1:12" x14ac:dyDescent="0.3">
      <c r="A1866" s="1">
        <v>45117</v>
      </c>
      <c r="B1866" s="3">
        <f>YEAR(Tabla3[[#This Row],[Date]])</f>
        <v>2023</v>
      </c>
      <c r="C1866" s="1" t="str">
        <f>+TEXT(Tabla3[[#This Row],[Date]],"mmm")</f>
        <v>jul</v>
      </c>
      <c r="D1866" s="2">
        <v>1925</v>
      </c>
      <c r="E1866" s="2">
        <v>1925</v>
      </c>
      <c r="F1866" s="2">
        <v>1926.09997558593</v>
      </c>
      <c r="G1866" s="2">
        <v>1912.30004882812</v>
      </c>
      <c r="H1866" s="2">
        <v>1923.59997558593</v>
      </c>
      <c r="I1866">
        <v>269</v>
      </c>
      <c r="J1866" s="2">
        <f ca="1">IFERROR((Tabla3[[#This Row],[Close]]-OFFSET(Tabla3[[#This Row],[Close]],-1,0))/OFFSET(Tabla3[[#This Row],[Close]],-1,0),"")</f>
        <v>-6.229629333859998E-4</v>
      </c>
      <c r="K1866" s="2">
        <f ca="1">IFERROR(AVERAGE(OFFSET(Tabla3[[#This Row],[Close]],-6,0,7)),"")</f>
        <v>1918.7856794084769</v>
      </c>
      <c r="L1866" s="2">
        <f ca="1">IFERROR(_xlfn.STDEV.S(OFFSET(Tabla3[[#This Row],[Close]],-29,0,30)),"")</f>
        <v>20.423309899525275</v>
      </c>
    </row>
    <row r="1867" spans="1:12" x14ac:dyDescent="0.3">
      <c r="A1867" s="1">
        <v>45118</v>
      </c>
      <c r="B1867" s="3">
        <f>YEAR(Tabla3[[#This Row],[Date]])</f>
        <v>2023</v>
      </c>
      <c r="C1867" s="1" t="str">
        <f>+TEXT(Tabla3[[#This Row],[Date]],"mmm")</f>
        <v>jul</v>
      </c>
      <c r="D1867" s="2">
        <v>1931.30004882812</v>
      </c>
      <c r="E1867" s="2">
        <v>1931.30004882812</v>
      </c>
      <c r="F1867" s="2">
        <v>1937</v>
      </c>
      <c r="G1867" s="2">
        <v>1924.19995117187</v>
      </c>
      <c r="H1867" s="2">
        <v>1925</v>
      </c>
      <c r="I1867">
        <v>142</v>
      </c>
      <c r="J1867" s="2">
        <f ca="1">IFERROR((Tabla3[[#This Row],[Close]]-OFFSET(Tabla3[[#This Row],[Close]],-1,0))/OFFSET(Tabla3[[#This Row],[Close]],-1,0),"")</f>
        <v>3.2727526379844143E-3</v>
      </c>
      <c r="K1867" s="2">
        <f ca="1">IFERROR(AVERAGE(OFFSET(Tabla3[[#This Row],[Close]],-6,0,7)),"")</f>
        <v>1921.9428362165127</v>
      </c>
      <c r="L1867" s="2">
        <f ca="1">IFERROR(_xlfn.STDEV.S(OFFSET(Tabla3[[#This Row],[Close]],-29,0,30)),"")</f>
        <v>20.465171370537675</v>
      </c>
    </row>
    <row r="1868" spans="1:12" x14ac:dyDescent="0.3">
      <c r="A1868" s="1">
        <v>45119</v>
      </c>
      <c r="B1868" s="3">
        <f>YEAR(Tabla3[[#This Row],[Date]])</f>
        <v>2023</v>
      </c>
      <c r="C1868" s="1" t="str">
        <f>+TEXT(Tabla3[[#This Row],[Date]],"mmm")</f>
        <v>jul</v>
      </c>
      <c r="D1868" s="2">
        <v>1956.19995117187</v>
      </c>
      <c r="E1868" s="2">
        <v>1956.19995117187</v>
      </c>
      <c r="F1868" s="2">
        <v>1958</v>
      </c>
      <c r="G1868" s="2">
        <v>1932.19995117187</v>
      </c>
      <c r="H1868" s="2">
        <v>1932.30004882812</v>
      </c>
      <c r="I1868">
        <v>132</v>
      </c>
      <c r="J1868" s="2">
        <f ca="1">IFERROR((Tabla3[[#This Row],[Close]]-OFFSET(Tabla3[[#This Row],[Close]],-1,0))/OFFSET(Tabla3[[#This Row],[Close]],-1,0),"")</f>
        <v>1.2892819196509024E-2</v>
      </c>
      <c r="K1868" s="2">
        <f ca="1">IFERROR(AVERAGE(OFFSET(Tabla3[[#This Row],[Close]],-6,0,7)),"")</f>
        <v>1926.9571184430754</v>
      </c>
      <c r="L1868" s="2">
        <f ca="1">IFERROR(_xlfn.STDEV.S(OFFSET(Tabla3[[#This Row],[Close]],-29,0,30)),"")</f>
        <v>20.685027904568003</v>
      </c>
    </row>
    <row r="1869" spans="1:12" x14ac:dyDescent="0.3">
      <c r="A1869" s="1">
        <v>45120</v>
      </c>
      <c r="B1869" s="3">
        <f>YEAR(Tabla3[[#This Row],[Date]])</f>
        <v>2023</v>
      </c>
      <c r="C1869" s="1" t="str">
        <f>+TEXT(Tabla3[[#This Row],[Date]],"mmm")</f>
        <v>jul</v>
      </c>
      <c r="D1869" s="2">
        <v>1959.19995117187</v>
      </c>
      <c r="E1869" s="2">
        <v>1959.19995117187</v>
      </c>
      <c r="F1869" s="2">
        <v>1961.09997558593</v>
      </c>
      <c r="G1869" s="2">
        <v>1953</v>
      </c>
      <c r="H1869" s="2">
        <v>1961.09997558593</v>
      </c>
      <c r="I1869">
        <v>121</v>
      </c>
      <c r="J1869" s="2">
        <f ca="1">IFERROR((Tabla3[[#This Row],[Close]]-OFFSET(Tabla3[[#This Row],[Close]],-1,0))/OFFSET(Tabla3[[#This Row],[Close]],-1,0),"")</f>
        <v>1.5335855612320392E-3</v>
      </c>
      <c r="K1869" s="2">
        <f ca="1">IFERROR(AVERAGE(OFFSET(Tabla3[[#This Row],[Close]],-6,0,7)),"")</f>
        <v>1932.3142613002183</v>
      </c>
      <c r="L1869" s="2">
        <f ca="1">IFERROR(_xlfn.STDEV.S(OFFSET(Tabla3[[#This Row],[Close]],-29,0,30)),"")</f>
        <v>20.723139739856624</v>
      </c>
    </row>
    <row r="1870" spans="1:12" x14ac:dyDescent="0.3">
      <c r="A1870" s="1">
        <v>45121</v>
      </c>
      <c r="B1870" s="3">
        <f>YEAR(Tabla3[[#This Row],[Date]])</f>
        <v>2023</v>
      </c>
      <c r="C1870" s="1" t="str">
        <f>+TEXT(Tabla3[[#This Row],[Date]],"mmm")</f>
        <v>jul</v>
      </c>
      <c r="D1870" s="2">
        <v>1960.09997558593</v>
      </c>
      <c r="E1870" s="2">
        <v>1960.09997558593</v>
      </c>
      <c r="F1870" s="2">
        <v>1960.59997558593</v>
      </c>
      <c r="G1870" s="2">
        <v>1952.69995117187</v>
      </c>
      <c r="H1870" s="2">
        <v>1958.40002441406</v>
      </c>
      <c r="I1870">
        <v>94</v>
      </c>
      <c r="J1870" s="2">
        <f ca="1">IFERROR((Tabla3[[#This Row],[Close]]-OFFSET(Tabla3[[#This Row],[Close]],-1,0))/OFFSET(Tabla3[[#This Row],[Close]],-1,0),"")</f>
        <v>4.5938364459516295E-4</v>
      </c>
      <c r="K1870" s="2">
        <f ca="1">IFERROR(AVERAGE(OFFSET(Tabla3[[#This Row],[Close]],-6,0,7)),"")</f>
        <v>1938.0999755859327</v>
      </c>
      <c r="L1870" s="2">
        <f ca="1">IFERROR(_xlfn.STDEV.S(OFFSET(Tabla3[[#This Row],[Close]],-29,0,30)),"")</f>
        <v>20.580291459109638</v>
      </c>
    </row>
    <row r="1871" spans="1:12" x14ac:dyDescent="0.3">
      <c r="A1871" s="1">
        <v>45124</v>
      </c>
      <c r="B1871" s="3">
        <f>YEAR(Tabla3[[#This Row],[Date]])</f>
        <v>2023</v>
      </c>
      <c r="C1871" s="1" t="str">
        <f>+TEXT(Tabla3[[#This Row],[Date]],"mmm")</f>
        <v>jul</v>
      </c>
      <c r="D1871" s="2">
        <v>1952.40002441406</v>
      </c>
      <c r="E1871" s="2">
        <v>1952.40002441406</v>
      </c>
      <c r="F1871" s="2">
        <v>1956.5</v>
      </c>
      <c r="G1871" s="2">
        <v>1946.59997558593</v>
      </c>
      <c r="H1871" s="2">
        <v>1954</v>
      </c>
      <c r="I1871">
        <v>29</v>
      </c>
      <c r="J1871" s="2">
        <f ca="1">IFERROR((Tabla3[[#This Row],[Close]]-OFFSET(Tabla3[[#This Row],[Close]],-1,0))/OFFSET(Tabla3[[#This Row],[Close]],-1,0),"")</f>
        <v>-3.9283461393688664E-3</v>
      </c>
      <c r="K1871" s="2">
        <f ca="1">IFERROR(AVERAGE(OFFSET(Tabla3[[#This Row],[Close]],-6,0,7)),"")</f>
        <v>1944.3428431919601</v>
      </c>
      <c r="L1871" s="2">
        <f ca="1">IFERROR(_xlfn.STDEV.S(OFFSET(Tabla3[[#This Row],[Close]],-29,0,30)),"")</f>
        <v>19.423850437153369</v>
      </c>
    </row>
    <row r="1872" spans="1:12" x14ac:dyDescent="0.3">
      <c r="A1872" s="1">
        <v>45125</v>
      </c>
      <c r="B1872" s="3">
        <f>YEAR(Tabla3[[#This Row],[Date]])</f>
        <v>2023</v>
      </c>
      <c r="C1872" s="1" t="str">
        <f>+TEXT(Tabla3[[#This Row],[Date]],"mmm")</f>
        <v>jul</v>
      </c>
      <c r="D1872" s="2">
        <v>1977.19995117187</v>
      </c>
      <c r="E1872" s="2">
        <v>1977.19995117187</v>
      </c>
      <c r="F1872" s="2">
        <v>1978.40002441406</v>
      </c>
      <c r="G1872" s="2">
        <v>1963.40002441406</v>
      </c>
      <c r="H1872" s="2">
        <v>1968.80004882812</v>
      </c>
      <c r="I1872">
        <v>83</v>
      </c>
      <c r="J1872" s="2">
        <f ca="1">IFERROR((Tabla3[[#This Row],[Close]]-OFFSET(Tabla3[[#This Row],[Close]],-1,0))/OFFSET(Tabla3[[#This Row],[Close]],-1,0),"")</f>
        <v>1.2702277426601022E-2</v>
      </c>
      <c r="K1872" s="2">
        <f ca="1">IFERROR(AVERAGE(OFFSET(Tabla3[[#This Row],[Close]],-6,0,7)),"")</f>
        <v>1951.6285574776743</v>
      </c>
      <c r="L1872" s="2">
        <f ca="1">IFERROR(_xlfn.STDEV.S(OFFSET(Tabla3[[#This Row],[Close]],-29,0,30)),"")</f>
        <v>20.529033932927458</v>
      </c>
    </row>
    <row r="1873" spans="1:12" x14ac:dyDescent="0.3">
      <c r="A1873" s="1">
        <v>45126</v>
      </c>
      <c r="B1873" s="3">
        <f>YEAR(Tabla3[[#This Row],[Date]])</f>
        <v>2023</v>
      </c>
      <c r="C1873" s="1" t="str">
        <f>+TEXT(Tabla3[[#This Row],[Date]],"mmm")</f>
        <v>jul</v>
      </c>
      <c r="D1873" s="2">
        <v>1977.5</v>
      </c>
      <c r="E1873" s="2">
        <v>1977.5</v>
      </c>
      <c r="F1873" s="2">
        <v>1977.5</v>
      </c>
      <c r="G1873" s="2">
        <v>1973</v>
      </c>
      <c r="H1873" s="2">
        <v>1977</v>
      </c>
      <c r="I1873">
        <v>35</v>
      </c>
      <c r="J1873" s="2">
        <f ca="1">IFERROR((Tabla3[[#This Row],[Close]]-OFFSET(Tabla3[[#This Row],[Close]],-1,0))/OFFSET(Tabla3[[#This Row],[Close]],-1,0),"")</f>
        <v>1.5175441813670173E-4</v>
      </c>
      <c r="K1873" s="2">
        <f ca="1">IFERROR(AVERAGE(OFFSET(Tabla3[[#This Row],[Close]],-6,0,7)),"")</f>
        <v>1959.1285574776743</v>
      </c>
      <c r="L1873" s="2">
        <f ca="1">IFERROR(_xlfn.STDEV.S(OFFSET(Tabla3[[#This Row],[Close]],-29,0,30)),"")</f>
        <v>21.427424609674656</v>
      </c>
    </row>
    <row r="1874" spans="1:12" x14ac:dyDescent="0.3">
      <c r="A1874" s="1">
        <v>45127</v>
      </c>
      <c r="B1874" s="3">
        <f>YEAR(Tabla3[[#This Row],[Date]])</f>
        <v>2023</v>
      </c>
      <c r="C1874" s="1" t="str">
        <f>+TEXT(Tabla3[[#This Row],[Date]],"mmm")</f>
        <v>jul</v>
      </c>
      <c r="D1874" s="2">
        <v>1968.30004882812</v>
      </c>
      <c r="E1874" s="2">
        <v>1968.30004882812</v>
      </c>
      <c r="F1874" s="2">
        <v>1973.69995117187</v>
      </c>
      <c r="G1874" s="2">
        <v>1965.59997558593</v>
      </c>
      <c r="H1874" s="2">
        <v>1973.69995117187</v>
      </c>
      <c r="I1874">
        <v>638</v>
      </c>
      <c r="J1874" s="2">
        <f ca="1">IFERROR((Tabla3[[#This Row],[Close]]-OFFSET(Tabla3[[#This Row],[Close]],-1,0))/OFFSET(Tabla3[[#This Row],[Close]],-1,0),"")</f>
        <v>-4.6523141197876115E-3</v>
      </c>
      <c r="K1874" s="2">
        <f ca="1">IFERROR(AVERAGE(OFFSET(Tabla3[[#This Row],[Close]],-6,0,7)),"")</f>
        <v>1964.4142717633883</v>
      </c>
      <c r="L1874" s="2">
        <f ca="1">IFERROR(_xlfn.STDEV.S(OFFSET(Tabla3[[#This Row],[Close]],-29,0,30)),"")</f>
        <v>21.547878832988946</v>
      </c>
    </row>
    <row r="1875" spans="1:12" x14ac:dyDescent="0.3">
      <c r="A1875" s="1">
        <v>45128</v>
      </c>
      <c r="B1875" s="3">
        <f>YEAR(Tabla3[[#This Row],[Date]])</f>
        <v>2023</v>
      </c>
      <c r="C1875" s="1" t="str">
        <f>+TEXT(Tabla3[[#This Row],[Date]],"mmm")</f>
        <v>jul</v>
      </c>
      <c r="D1875" s="2">
        <v>1964.30004882812</v>
      </c>
      <c r="E1875" s="2">
        <v>1964.30004882812</v>
      </c>
      <c r="F1875" s="2">
        <v>1964.30004882812</v>
      </c>
      <c r="G1875" s="2">
        <v>1961.80004882812</v>
      </c>
      <c r="H1875" s="2">
        <v>1961.80004882812</v>
      </c>
      <c r="I1875">
        <v>50</v>
      </c>
      <c r="J1875" s="2">
        <f ca="1">IFERROR((Tabla3[[#This Row],[Close]]-OFFSET(Tabla3[[#This Row],[Close]],-1,0))/OFFSET(Tabla3[[#This Row],[Close]],-1,0),"")</f>
        <v>-2.0322104865980709E-3</v>
      </c>
      <c r="K1875" s="2">
        <f ca="1">IFERROR(AVERAGE(OFFSET(Tabla3[[#This Row],[Close]],-6,0,7)),"")</f>
        <v>1965.5714285714241</v>
      </c>
      <c r="L1875" s="2">
        <f ca="1">IFERROR(_xlfn.STDEV.S(OFFSET(Tabla3[[#This Row],[Close]],-29,0,30)),"")</f>
        <v>21.992651025270483</v>
      </c>
    </row>
    <row r="1876" spans="1:12" x14ac:dyDescent="0.3">
      <c r="A1876" s="1">
        <v>45131</v>
      </c>
      <c r="B1876" s="3">
        <f>YEAR(Tabla3[[#This Row],[Date]])</f>
        <v>2023</v>
      </c>
      <c r="C1876" s="1" t="str">
        <f>+TEXT(Tabla3[[#This Row],[Date]],"mmm")</f>
        <v>jul</v>
      </c>
      <c r="D1876" s="2">
        <v>1960.30004882812</v>
      </c>
      <c r="E1876" s="2">
        <v>1960.30004882812</v>
      </c>
      <c r="F1876" s="2">
        <v>1965.5</v>
      </c>
      <c r="G1876" s="2">
        <v>1960.30004882812</v>
      </c>
      <c r="H1876" s="2">
        <v>1965.30004882812</v>
      </c>
      <c r="I1876">
        <v>2</v>
      </c>
      <c r="J1876" s="2">
        <f ca="1">IFERROR((Tabla3[[#This Row],[Close]]-OFFSET(Tabla3[[#This Row],[Close]],-1,0))/OFFSET(Tabla3[[#This Row],[Close]],-1,0),"")</f>
        <v>-2.0363487759348965E-3</v>
      </c>
      <c r="K1876" s="2">
        <f ca="1">IFERROR(AVERAGE(OFFSET(Tabla3[[#This Row],[Close]],-6,0,7)),"")</f>
        <v>1965.7285853794599</v>
      </c>
      <c r="L1876" s="2">
        <f ca="1">IFERROR(_xlfn.STDEV.S(OFFSET(Tabla3[[#This Row],[Close]],-29,0,30)),"")</f>
        <v>21.882972640843196</v>
      </c>
    </row>
    <row r="1877" spans="1:12" x14ac:dyDescent="0.3">
      <c r="A1877" s="1">
        <v>45132</v>
      </c>
      <c r="B1877" s="3">
        <f>YEAR(Tabla3[[#This Row],[Date]])</f>
        <v>2023</v>
      </c>
      <c r="C1877" s="1" t="str">
        <f>+TEXT(Tabla3[[#This Row],[Date]],"mmm")</f>
        <v>jul</v>
      </c>
      <c r="D1877" s="2">
        <v>1962.09997558593</v>
      </c>
      <c r="E1877" s="2">
        <v>1962.09997558593</v>
      </c>
      <c r="F1877" s="2">
        <v>1962.5</v>
      </c>
      <c r="G1877" s="2">
        <v>1953</v>
      </c>
      <c r="H1877" s="2">
        <v>1953</v>
      </c>
      <c r="I1877">
        <v>19</v>
      </c>
      <c r="J1877" s="2">
        <f ca="1">IFERROR((Tabla3[[#This Row],[Close]]-OFFSET(Tabla3[[#This Row],[Close]],-1,0))/OFFSET(Tabla3[[#This Row],[Close]],-1,0),"")</f>
        <v>9.1818941640388503E-4</v>
      </c>
      <c r="K1877" s="2">
        <f ca="1">IFERROR(AVERAGE(OFFSET(Tabla3[[#This Row],[Close]],-6,0,7)),"")</f>
        <v>1966.0142996651741</v>
      </c>
      <c r="L1877" s="2">
        <f ca="1">IFERROR(_xlfn.STDEV.S(OFFSET(Tabla3[[#This Row],[Close]],-29,0,30)),"")</f>
        <v>21.879600776992746</v>
      </c>
    </row>
    <row r="1878" spans="1:12" x14ac:dyDescent="0.3">
      <c r="A1878" s="1">
        <v>45133</v>
      </c>
      <c r="B1878" s="3">
        <f>YEAR(Tabla3[[#This Row],[Date]])</f>
        <v>2023</v>
      </c>
      <c r="C1878" s="1" t="str">
        <f>+TEXT(Tabla3[[#This Row],[Date]],"mmm")</f>
        <v>jul</v>
      </c>
      <c r="D1878" s="2">
        <v>1968.90002441406</v>
      </c>
      <c r="E1878" s="2">
        <v>1968.90002441406</v>
      </c>
      <c r="F1878" s="2">
        <v>1972</v>
      </c>
      <c r="G1878" s="2">
        <v>1966.19995117187</v>
      </c>
      <c r="H1878" s="2">
        <v>1966.19995117187</v>
      </c>
      <c r="I1878">
        <v>51</v>
      </c>
      <c r="J1878" s="2">
        <f ca="1">IFERROR((Tabla3[[#This Row],[Close]]-OFFSET(Tabla3[[#This Row],[Close]],-1,0))/OFFSET(Tabla3[[#This Row],[Close]],-1,0),"")</f>
        <v>3.4656994611598959E-3</v>
      </c>
      <c r="K1878" s="2">
        <f ca="1">IFERROR(AVERAGE(OFFSET(Tabla3[[#This Row],[Close]],-6,0,7)),"")</f>
        <v>1968.3714425223172</v>
      </c>
      <c r="L1878" s="2">
        <f ca="1">IFERROR(_xlfn.STDEV.S(OFFSET(Tabla3[[#This Row],[Close]],-29,0,30)),"")</f>
        <v>22.327836632635371</v>
      </c>
    </row>
    <row r="1879" spans="1:12" x14ac:dyDescent="0.3">
      <c r="A1879" s="1">
        <v>45134</v>
      </c>
      <c r="B1879" s="3">
        <f>YEAR(Tabla3[[#This Row],[Date]])</f>
        <v>2023</v>
      </c>
      <c r="C1879" s="1" t="str">
        <f>+TEXT(Tabla3[[#This Row],[Date]],"mmm")</f>
        <v>jul</v>
      </c>
      <c r="D1879" s="2">
        <v>1945.40002441406</v>
      </c>
      <c r="E1879" s="2">
        <v>1945.40002441406</v>
      </c>
      <c r="F1879" s="2">
        <v>1945.40002441406</v>
      </c>
      <c r="G1879" s="2">
        <v>1945.40002441406</v>
      </c>
      <c r="H1879" s="2">
        <v>1945.40002441406</v>
      </c>
      <c r="I1879">
        <v>194253</v>
      </c>
      <c r="J1879" s="2">
        <f ca="1">IFERROR((Tabla3[[#This Row],[Close]]-OFFSET(Tabla3[[#This Row],[Close]],-1,0))/OFFSET(Tabla3[[#This Row],[Close]],-1,0),"")</f>
        <v>-1.1935598409570616E-2</v>
      </c>
      <c r="K1879" s="2">
        <f ca="1">IFERROR(AVERAGE(OFFSET(Tabla3[[#This Row],[Close]],-6,0,7)),"")</f>
        <v>1963.8285958426302</v>
      </c>
      <c r="L1879" s="2">
        <f ca="1">IFERROR(_xlfn.STDEV.S(OFFSET(Tabla3[[#This Row],[Close]],-29,0,30)),"")</f>
        <v>22.332514886705674</v>
      </c>
    </row>
    <row r="1880" spans="1:12" x14ac:dyDescent="0.3">
      <c r="A1880" s="1">
        <v>45135</v>
      </c>
      <c r="B1880" s="3">
        <f>YEAR(Tabla3[[#This Row],[Date]])</f>
        <v>2023</v>
      </c>
      <c r="C1880" s="1" t="str">
        <f>+TEXT(Tabla3[[#This Row],[Date]],"mmm")</f>
        <v>jul</v>
      </c>
      <c r="D1880" s="2">
        <v>1960.40002441406</v>
      </c>
      <c r="E1880" s="2">
        <v>1960.40002441406</v>
      </c>
      <c r="F1880" s="2">
        <v>1962.19995117187</v>
      </c>
      <c r="G1880" s="2">
        <v>1944.19995117187</v>
      </c>
      <c r="H1880" s="2">
        <v>1945.5</v>
      </c>
      <c r="I1880">
        <v>23155</v>
      </c>
      <c r="J1880" s="2">
        <f ca="1">IFERROR((Tabla3[[#This Row],[Close]]-OFFSET(Tabla3[[#This Row],[Close]],-1,0))/OFFSET(Tabla3[[#This Row],[Close]],-1,0),"")</f>
        <v>7.7104964592142888E-3</v>
      </c>
      <c r="K1880" s="2">
        <f ca="1">IFERROR(AVERAGE(OFFSET(Tabla3[[#This Row],[Close]],-6,0,7)),"")</f>
        <v>1961.3857421874961</v>
      </c>
      <c r="L1880" s="2">
        <f ca="1">IFERROR(_xlfn.STDEV.S(OFFSET(Tabla3[[#This Row],[Close]],-29,0,30)),"")</f>
        <v>22.462371607549116</v>
      </c>
    </row>
    <row r="1881" spans="1:12" x14ac:dyDescent="0.3">
      <c r="A1881" s="1">
        <v>45138</v>
      </c>
      <c r="B1881" s="3">
        <f>YEAR(Tabla3[[#This Row],[Date]])</f>
        <v>2023</v>
      </c>
      <c r="C1881" s="1" t="str">
        <f>+TEXT(Tabla3[[#This Row],[Date]],"mmm")</f>
        <v>jul</v>
      </c>
      <c r="D1881" s="2">
        <v>1970.5</v>
      </c>
      <c r="E1881" s="2">
        <v>1970.5</v>
      </c>
      <c r="F1881" s="2">
        <v>1971.59997558593</v>
      </c>
      <c r="G1881" s="2">
        <v>1950</v>
      </c>
      <c r="H1881" s="2">
        <v>1959.19995117187</v>
      </c>
      <c r="I1881">
        <v>1025</v>
      </c>
      <c r="J1881" s="2">
        <f ca="1">IFERROR((Tabla3[[#This Row],[Close]]-OFFSET(Tabla3[[#This Row],[Close]],-1,0))/OFFSET(Tabla3[[#This Row],[Close]],-1,0),"")</f>
        <v>5.1519972761471288E-3</v>
      </c>
      <c r="K1881" s="2">
        <f ca="1">IFERROR(AVERAGE(OFFSET(Tabla3[[#This Row],[Close]],-6,0,7)),"")</f>
        <v>1961.7000209263358</v>
      </c>
      <c r="L1881" s="2">
        <f ca="1">IFERROR(_xlfn.STDEV.S(OFFSET(Tabla3[[#This Row],[Close]],-29,0,30)),"")</f>
        <v>22.897630403150718</v>
      </c>
    </row>
    <row r="1882" spans="1:12" x14ac:dyDescent="0.3">
      <c r="A1882" s="1">
        <v>45139</v>
      </c>
      <c r="B1882" s="3">
        <f>YEAR(Tabla3[[#This Row],[Date]])</f>
        <v>2023</v>
      </c>
      <c r="C1882" s="1" t="str">
        <f>+TEXT(Tabla3[[#This Row],[Date]],"mmm")</f>
        <v>ago</v>
      </c>
      <c r="D1882" s="2">
        <v>1940.69995117187</v>
      </c>
      <c r="E1882" s="2">
        <v>1940.69995117187</v>
      </c>
      <c r="F1882" s="2">
        <v>1965.40002441406</v>
      </c>
      <c r="G1882" s="2">
        <v>1940.69995117187</v>
      </c>
      <c r="H1882" s="2">
        <v>1964.90002441406</v>
      </c>
      <c r="I1882">
        <v>688</v>
      </c>
      <c r="J1882" s="2">
        <f ca="1">IFERROR((Tabla3[[#This Row],[Close]]-OFFSET(Tabla3[[#This Row],[Close]],-1,0))/OFFSET(Tabla3[[#This Row],[Close]],-1,0),"")</f>
        <v>-1.5123089991438722E-2</v>
      </c>
      <c r="K1882" s="2">
        <f ca="1">IFERROR(AVERAGE(OFFSET(Tabla3[[#This Row],[Close]],-6,0,7)),"")</f>
        <v>1958.3285784040143</v>
      </c>
      <c r="L1882" s="2">
        <f ca="1">IFERROR(_xlfn.STDEV.S(OFFSET(Tabla3[[#This Row],[Close]],-29,0,30)),"")</f>
        <v>22.682711709830869</v>
      </c>
    </row>
    <row r="1883" spans="1:12" x14ac:dyDescent="0.3">
      <c r="A1883" s="1">
        <v>45140</v>
      </c>
      <c r="B1883" s="3">
        <f>YEAR(Tabla3[[#This Row],[Date]])</f>
        <v>2023</v>
      </c>
      <c r="C1883" s="1" t="str">
        <f>+TEXT(Tabla3[[#This Row],[Date]],"mmm")</f>
        <v>ago</v>
      </c>
      <c r="D1883" s="2">
        <v>1937.40002441406</v>
      </c>
      <c r="E1883" s="2">
        <v>1937.40002441406</v>
      </c>
      <c r="F1883" s="2">
        <v>1953.59997558593</v>
      </c>
      <c r="G1883" s="2">
        <v>1933.19995117187</v>
      </c>
      <c r="H1883" s="2">
        <v>1948.40002441406</v>
      </c>
      <c r="I1883">
        <v>652</v>
      </c>
      <c r="J1883" s="2">
        <f ca="1">IFERROR((Tabla3[[#This Row],[Close]]-OFFSET(Tabla3[[#This Row],[Close]],-1,0))/OFFSET(Tabla3[[#This Row],[Close]],-1,0),"")</f>
        <v>-1.7003796778669339E-3</v>
      </c>
      <c r="K1883" s="2">
        <f ca="1">IFERROR(AVERAGE(OFFSET(Tabla3[[#This Row],[Close]],-6,0,7)),"")</f>
        <v>1955.057146344863</v>
      </c>
      <c r="L1883" s="2">
        <f ca="1">IFERROR(_xlfn.STDEV.S(OFFSET(Tabla3[[#This Row],[Close]],-29,0,30)),"")</f>
        <v>22.668809202577616</v>
      </c>
    </row>
    <row r="1884" spans="1:12" x14ac:dyDescent="0.3">
      <c r="A1884" s="1">
        <v>45141</v>
      </c>
      <c r="B1884" s="3">
        <f>YEAR(Tabla3[[#This Row],[Date]])</f>
        <v>2023</v>
      </c>
      <c r="C1884" s="1" t="str">
        <f>+TEXT(Tabla3[[#This Row],[Date]],"mmm")</f>
        <v>ago</v>
      </c>
      <c r="D1884" s="2">
        <v>1932</v>
      </c>
      <c r="E1884" s="2">
        <v>1932</v>
      </c>
      <c r="F1884" s="2">
        <v>1936.5</v>
      </c>
      <c r="G1884" s="2">
        <v>1928</v>
      </c>
      <c r="H1884" s="2">
        <v>1934.19995117187</v>
      </c>
      <c r="I1884">
        <v>773</v>
      </c>
      <c r="J1884" s="2">
        <f ca="1">IFERROR((Tabla3[[#This Row],[Close]]-OFFSET(Tabla3[[#This Row],[Close]],-1,0))/OFFSET(Tabla3[[#This Row],[Close]],-1,0),"")</f>
        <v>-2.7872531981066543E-3</v>
      </c>
      <c r="K1884" s="2">
        <f ca="1">IFERROR(AVERAGE(OFFSET(Tabla3[[#This Row],[Close]],-6,0,7)),"")</f>
        <v>1950.7571498325872</v>
      </c>
      <c r="L1884" s="2">
        <f ca="1">IFERROR(_xlfn.STDEV.S(OFFSET(Tabla3[[#This Row],[Close]],-29,0,30)),"")</f>
        <v>22.685852725031989</v>
      </c>
    </row>
    <row r="1885" spans="1:12" x14ac:dyDescent="0.3">
      <c r="A1885" s="1">
        <v>45142</v>
      </c>
      <c r="B1885" s="3">
        <f>YEAR(Tabla3[[#This Row],[Date]])</f>
        <v>2023</v>
      </c>
      <c r="C1885" s="1" t="str">
        <f>+TEXT(Tabla3[[#This Row],[Date]],"mmm")</f>
        <v>ago</v>
      </c>
      <c r="D1885" s="2">
        <v>1939.59997558593</v>
      </c>
      <c r="E1885" s="2">
        <v>1939.59997558593</v>
      </c>
      <c r="F1885" s="2">
        <v>1945</v>
      </c>
      <c r="G1885" s="2">
        <v>1920</v>
      </c>
      <c r="H1885" s="2">
        <v>1934.90002441406</v>
      </c>
      <c r="I1885">
        <v>290</v>
      </c>
      <c r="J1885" s="2">
        <f ca="1">IFERROR((Tabla3[[#This Row],[Close]]-OFFSET(Tabla3[[#This Row],[Close]],-1,0))/OFFSET(Tabla3[[#This Row],[Close]],-1,0),"")</f>
        <v>3.9337347753260849E-3</v>
      </c>
      <c r="K1885" s="2">
        <f ca="1">IFERROR(AVERAGE(OFFSET(Tabla3[[#This Row],[Close]],-6,0,7)),"")</f>
        <v>1946.5714285714257</v>
      </c>
      <c r="L1885" s="2">
        <f ca="1">IFERROR(_xlfn.STDEV.S(OFFSET(Tabla3[[#This Row],[Close]],-29,0,30)),"")</f>
        <v>22.040939068158554</v>
      </c>
    </row>
    <row r="1886" spans="1:12" x14ac:dyDescent="0.3">
      <c r="A1886" s="1">
        <v>45145</v>
      </c>
      <c r="B1886" s="3">
        <f>YEAR(Tabla3[[#This Row],[Date]])</f>
        <v>2023</v>
      </c>
      <c r="C1886" s="1" t="str">
        <f>+TEXT(Tabla3[[#This Row],[Date]],"mmm")</f>
        <v>ago</v>
      </c>
      <c r="D1886" s="2">
        <v>1933.5</v>
      </c>
      <c r="E1886" s="2">
        <v>1933.5</v>
      </c>
      <c r="F1886" s="2">
        <v>1941</v>
      </c>
      <c r="G1886" s="2">
        <v>1929.80004882812</v>
      </c>
      <c r="H1886" s="2">
        <v>1941</v>
      </c>
      <c r="I1886">
        <v>376</v>
      </c>
      <c r="J1886" s="2">
        <f ca="1">IFERROR((Tabla3[[#This Row],[Close]]-OFFSET(Tabla3[[#This Row],[Close]],-1,0))/OFFSET(Tabla3[[#This Row],[Close]],-1,0),"")</f>
        <v>-3.1449657984694845E-3</v>
      </c>
      <c r="K1886" s="2">
        <f ca="1">IFERROR(AVERAGE(OFFSET(Tabla3[[#This Row],[Close]],-6,0,7)),"")</f>
        <v>1944.8714250837027</v>
      </c>
      <c r="L1886" s="2">
        <f ca="1">IFERROR(_xlfn.STDEV.S(OFFSET(Tabla3[[#This Row],[Close]],-29,0,30)),"")</f>
        <v>21.67549857626161</v>
      </c>
    </row>
    <row r="1887" spans="1:12" x14ac:dyDescent="0.3">
      <c r="A1887" s="1">
        <v>45146</v>
      </c>
      <c r="B1887" s="3">
        <f>YEAR(Tabla3[[#This Row],[Date]])</f>
        <v>2023</v>
      </c>
      <c r="C1887" s="1" t="str">
        <f>+TEXT(Tabla3[[#This Row],[Date]],"mmm")</f>
        <v>ago</v>
      </c>
      <c r="D1887" s="2">
        <v>1924.09997558593</v>
      </c>
      <c r="E1887" s="2">
        <v>1924.09997558593</v>
      </c>
      <c r="F1887" s="2">
        <v>1933.19995117187</v>
      </c>
      <c r="G1887" s="2">
        <v>1923</v>
      </c>
      <c r="H1887" s="2">
        <v>1931.69995117187</v>
      </c>
      <c r="I1887">
        <v>555</v>
      </c>
      <c r="J1887" s="2">
        <f ca="1">IFERROR((Tabla3[[#This Row],[Close]]-OFFSET(Tabla3[[#This Row],[Close]],-1,0))/OFFSET(Tabla3[[#This Row],[Close]],-1,0),"")</f>
        <v>-4.8616624846496009E-3</v>
      </c>
      <c r="K1887" s="2">
        <f ca="1">IFERROR(AVERAGE(OFFSET(Tabla3[[#This Row],[Close]],-6,0,7)),"")</f>
        <v>1939.6857038225414</v>
      </c>
      <c r="L1887" s="2">
        <f ca="1">IFERROR(_xlfn.STDEV.S(OFFSET(Tabla3[[#This Row],[Close]],-29,0,30)),"")</f>
        <v>21.663573678794663</v>
      </c>
    </row>
    <row r="1888" spans="1:12" x14ac:dyDescent="0.3">
      <c r="A1888" s="1">
        <v>45147</v>
      </c>
      <c r="B1888" s="3">
        <f>YEAR(Tabla3[[#This Row],[Date]])</f>
        <v>2023</v>
      </c>
      <c r="C1888" s="1" t="str">
        <f>+TEXT(Tabla3[[#This Row],[Date]],"mmm")</f>
        <v>ago</v>
      </c>
      <c r="D1888" s="2">
        <v>1915.40002441406</v>
      </c>
      <c r="E1888" s="2">
        <v>1915.40002441406</v>
      </c>
      <c r="F1888" s="2">
        <v>1928.80004882812</v>
      </c>
      <c r="G1888" s="2">
        <v>1913.69995117187</v>
      </c>
      <c r="H1888" s="2">
        <v>1925.40002441406</v>
      </c>
      <c r="I1888">
        <v>451</v>
      </c>
      <c r="J1888" s="2">
        <f ca="1">IFERROR((Tabla3[[#This Row],[Close]]-OFFSET(Tabla3[[#This Row],[Close]],-1,0))/OFFSET(Tabla3[[#This Row],[Close]],-1,0),"")</f>
        <v>-4.5215691919650251E-3</v>
      </c>
      <c r="K1888" s="2">
        <f ca="1">IFERROR(AVERAGE(OFFSET(Tabla3[[#This Row],[Close]],-6,0,7)),"")</f>
        <v>1931.8142787388358</v>
      </c>
      <c r="L1888" s="2">
        <f ca="1">IFERROR(_xlfn.STDEV.S(OFFSET(Tabla3[[#This Row],[Close]],-29,0,30)),"")</f>
        <v>21.60116828084313</v>
      </c>
    </row>
    <row r="1889" spans="1:12" x14ac:dyDescent="0.3">
      <c r="A1889" s="1">
        <v>45148</v>
      </c>
      <c r="B1889" s="3">
        <f>YEAR(Tabla3[[#This Row],[Date]])</f>
        <v>2023</v>
      </c>
      <c r="C1889" s="1" t="str">
        <f>+TEXT(Tabla3[[#This Row],[Date]],"mmm")</f>
        <v>ago</v>
      </c>
      <c r="D1889" s="2">
        <v>1914.40002441406</v>
      </c>
      <c r="E1889" s="2">
        <v>1914.40002441406</v>
      </c>
      <c r="F1889" s="2">
        <v>1927.80004882812</v>
      </c>
      <c r="G1889" s="2">
        <v>1911.40002441406</v>
      </c>
      <c r="H1889" s="2">
        <v>1921.09997558593</v>
      </c>
      <c r="I1889">
        <v>178</v>
      </c>
      <c r="J1889" s="2">
        <f ca="1">IFERROR((Tabla3[[#This Row],[Close]]-OFFSET(Tabla3[[#This Row],[Close]],-1,0))/OFFSET(Tabla3[[#This Row],[Close]],-1,0),"")</f>
        <v>-5.2208415331200071E-4</v>
      </c>
      <c r="K1889" s="2">
        <f ca="1">IFERROR(AVERAGE(OFFSET(Tabla3[[#This Row],[Close]],-6,0,7)),"")</f>
        <v>1928.057146344863</v>
      </c>
      <c r="L1889" s="2">
        <f ca="1">IFERROR(_xlfn.STDEV.S(OFFSET(Tabla3[[#This Row],[Close]],-29,0,30)),"")</f>
        <v>21.502481229727255</v>
      </c>
    </row>
    <row r="1890" spans="1:12" x14ac:dyDescent="0.3">
      <c r="A1890" s="1">
        <v>45149</v>
      </c>
      <c r="B1890" s="3">
        <f>YEAR(Tabla3[[#This Row],[Date]])</f>
        <v>2023</v>
      </c>
      <c r="C1890" s="1" t="str">
        <f>+TEXT(Tabla3[[#This Row],[Date]],"mmm")</f>
        <v>ago</v>
      </c>
      <c r="D1890" s="2">
        <v>1912.90002441406</v>
      </c>
      <c r="E1890" s="2">
        <v>1912.90002441406</v>
      </c>
      <c r="F1890" s="2">
        <v>1916.59997558593</v>
      </c>
      <c r="G1890" s="2">
        <v>1911.80004882812</v>
      </c>
      <c r="H1890" s="2">
        <v>1913</v>
      </c>
      <c r="I1890">
        <v>57</v>
      </c>
      <c r="J1890" s="2">
        <f ca="1">IFERROR((Tabla3[[#This Row],[Close]]-OFFSET(Tabla3[[#This Row],[Close]],-1,0))/OFFSET(Tabla3[[#This Row],[Close]],-1,0),"")</f>
        <v>-7.8353530133238724E-4</v>
      </c>
      <c r="K1890" s="2">
        <f ca="1">IFERROR(AVERAGE(OFFSET(Tabla3[[#This Row],[Close]],-6,0,7)),"")</f>
        <v>1924.5571463448632</v>
      </c>
      <c r="L1890" s="2">
        <f ca="1">IFERROR(_xlfn.STDEV.S(OFFSET(Tabla3[[#This Row],[Close]],-29,0,30)),"")</f>
        <v>21.313144636476562</v>
      </c>
    </row>
    <row r="1891" spans="1:12" x14ac:dyDescent="0.3">
      <c r="A1891" s="1">
        <v>45152</v>
      </c>
      <c r="B1891" s="3">
        <f>YEAR(Tabla3[[#This Row],[Date]])</f>
        <v>2023</v>
      </c>
      <c r="C1891" s="1" t="str">
        <f>+TEXT(Tabla3[[#This Row],[Date]],"mmm")</f>
        <v>ago</v>
      </c>
      <c r="D1891" s="2">
        <v>1910.59997558593</v>
      </c>
      <c r="E1891" s="2">
        <v>1910.59997558593</v>
      </c>
      <c r="F1891" s="2">
        <v>1912.59997558593</v>
      </c>
      <c r="G1891" s="2">
        <v>1903.30004882812</v>
      </c>
      <c r="H1891" s="2">
        <v>1909.30004882812</v>
      </c>
      <c r="I1891">
        <v>46</v>
      </c>
      <c r="J1891" s="2">
        <f ca="1">IFERROR((Tabla3[[#This Row],[Close]]-OFFSET(Tabla3[[#This Row],[Close]],-1,0))/OFFSET(Tabla3[[#This Row],[Close]],-1,0),"")</f>
        <v>-1.2023884148543152E-3</v>
      </c>
      <c r="K1891" s="2">
        <f ca="1">IFERROR(AVERAGE(OFFSET(Tabla3[[#This Row],[Close]],-6,0,7)),"")</f>
        <v>1921.4999999999959</v>
      </c>
      <c r="L1891" s="2">
        <f ca="1">IFERROR(_xlfn.STDEV.S(OFFSET(Tabla3[[#This Row],[Close]],-29,0,30)),"")</f>
        <v>21.764578418963964</v>
      </c>
    </row>
    <row r="1892" spans="1:12" x14ac:dyDescent="0.3">
      <c r="A1892" s="1">
        <v>45153</v>
      </c>
      <c r="B1892" s="3">
        <f>YEAR(Tabla3[[#This Row],[Date]])</f>
        <v>2023</v>
      </c>
      <c r="C1892" s="1" t="str">
        <f>+TEXT(Tabla3[[#This Row],[Date]],"mmm")</f>
        <v>ago</v>
      </c>
      <c r="D1892" s="2">
        <v>1902.5</v>
      </c>
      <c r="E1892" s="2">
        <v>1902.5</v>
      </c>
      <c r="F1892" s="2">
        <v>1907.69995117187</v>
      </c>
      <c r="G1892" s="2">
        <v>1895</v>
      </c>
      <c r="H1892" s="2">
        <v>1906</v>
      </c>
      <c r="I1892">
        <v>73</v>
      </c>
      <c r="J1892" s="2">
        <f ca="1">IFERROR((Tabla3[[#This Row],[Close]]-OFFSET(Tabla3[[#This Row],[Close]],-1,0))/OFFSET(Tabla3[[#This Row],[Close]],-1,0),"")</f>
        <v>-4.2394931903241284E-3</v>
      </c>
      <c r="K1892" s="2">
        <f ca="1">IFERROR(AVERAGE(OFFSET(Tabla3[[#This Row],[Close]],-6,0,7)),"")</f>
        <v>1916.2000034877201</v>
      </c>
      <c r="L1892" s="2">
        <f ca="1">IFERROR(_xlfn.STDEV.S(OFFSET(Tabla3[[#This Row],[Close]],-29,0,30)),"")</f>
        <v>22.662007734516692</v>
      </c>
    </row>
    <row r="1893" spans="1:12" x14ac:dyDescent="0.3">
      <c r="A1893" s="1">
        <v>45154</v>
      </c>
      <c r="B1893" s="3">
        <f>YEAR(Tabla3[[#This Row],[Date]])</f>
        <v>2023</v>
      </c>
      <c r="C1893" s="1" t="str">
        <f>+TEXT(Tabla3[[#This Row],[Date]],"mmm")</f>
        <v>ago</v>
      </c>
      <c r="D1893" s="2">
        <v>1896.09997558593</v>
      </c>
      <c r="E1893" s="2">
        <v>1896.09997558593</v>
      </c>
      <c r="F1893" s="2">
        <v>1904.5</v>
      </c>
      <c r="G1893" s="2">
        <v>1890.30004882812</v>
      </c>
      <c r="H1893" s="2">
        <v>1904.5</v>
      </c>
      <c r="I1893">
        <v>22</v>
      </c>
      <c r="J1893" s="2">
        <f ca="1">IFERROR((Tabla3[[#This Row],[Close]]-OFFSET(Tabla3[[#This Row],[Close]],-1,0))/OFFSET(Tabla3[[#This Row],[Close]],-1,0),"")</f>
        <v>-3.3640075763837073E-3</v>
      </c>
      <c r="K1893" s="2">
        <f ca="1">IFERROR(AVERAGE(OFFSET(Tabla3[[#This Row],[Close]],-6,0,7)),"")</f>
        <v>1910.8571428571383</v>
      </c>
      <c r="L1893" s="2">
        <f ca="1">IFERROR(_xlfn.STDEV.S(OFFSET(Tabla3[[#This Row],[Close]],-29,0,30)),"")</f>
        <v>23.834851315588359</v>
      </c>
    </row>
    <row r="1894" spans="1:12" x14ac:dyDescent="0.3">
      <c r="A1894" s="1">
        <v>45155</v>
      </c>
      <c r="B1894" s="3">
        <f>YEAR(Tabla3[[#This Row],[Date]])</f>
        <v>2023</v>
      </c>
      <c r="C1894" s="1" t="str">
        <f>+TEXT(Tabla3[[#This Row],[Date]],"mmm")</f>
        <v>ago</v>
      </c>
      <c r="D1894" s="2">
        <v>1884.09997558593</v>
      </c>
      <c r="E1894" s="2">
        <v>1884.09997558593</v>
      </c>
      <c r="F1894" s="2">
        <v>1902.40002441406</v>
      </c>
      <c r="G1894" s="2">
        <v>1884</v>
      </c>
      <c r="H1894" s="2">
        <v>1893.69995117187</v>
      </c>
      <c r="I1894">
        <v>245</v>
      </c>
      <c r="J1894" s="2">
        <f ca="1">IFERROR((Tabla3[[#This Row],[Close]]-OFFSET(Tabla3[[#This Row],[Close]],-1,0))/OFFSET(Tabla3[[#This Row],[Close]],-1,0),"")</f>
        <v>-6.3287802091193937E-3</v>
      </c>
      <c r="K1894" s="2">
        <f ca="1">IFERROR(AVERAGE(OFFSET(Tabla3[[#This Row],[Close]],-6,0,7)),"")</f>
        <v>1905.142857142853</v>
      </c>
      <c r="L1894" s="2">
        <f ca="1">IFERROR(_xlfn.STDEV.S(OFFSET(Tabla3[[#This Row],[Close]],-29,0,30)),"")</f>
        <v>25.362407395949003</v>
      </c>
    </row>
    <row r="1895" spans="1:12" x14ac:dyDescent="0.3">
      <c r="A1895" s="1">
        <v>45156</v>
      </c>
      <c r="B1895" s="3">
        <f>YEAR(Tabla3[[#This Row],[Date]])</f>
        <v>2023</v>
      </c>
      <c r="C1895" s="1" t="str">
        <f>+TEXT(Tabla3[[#This Row],[Date]],"mmm")</f>
        <v>ago</v>
      </c>
      <c r="D1895" s="2">
        <v>1886.09997558593</v>
      </c>
      <c r="E1895" s="2">
        <v>1886.09997558593</v>
      </c>
      <c r="F1895" s="2">
        <v>1891.80004882812</v>
      </c>
      <c r="G1895" s="2">
        <v>1886.09997558593</v>
      </c>
      <c r="H1895" s="2">
        <v>1891.80004882812</v>
      </c>
      <c r="I1895">
        <v>19</v>
      </c>
      <c r="J1895" s="2">
        <f ca="1">IFERROR((Tabla3[[#This Row],[Close]]-OFFSET(Tabla3[[#This Row],[Close]],-1,0))/OFFSET(Tabla3[[#This Row],[Close]],-1,0),"")</f>
        <v>1.0615147953483874E-3</v>
      </c>
      <c r="K1895" s="2">
        <f ca="1">IFERROR(AVERAGE(OFFSET(Tabla3[[#This Row],[Close]],-6,0,7)),"")</f>
        <v>1900.9571358816916</v>
      </c>
      <c r="L1895" s="2">
        <f ca="1">IFERROR(_xlfn.STDEV.S(OFFSET(Tabla3[[#This Row],[Close]],-29,0,30)),"")</f>
        <v>27.125799630443936</v>
      </c>
    </row>
    <row r="1896" spans="1:12" x14ac:dyDescent="0.3">
      <c r="A1896" s="1">
        <v>45159</v>
      </c>
      <c r="B1896" s="3">
        <f>YEAR(Tabla3[[#This Row],[Date]])</f>
        <v>2023</v>
      </c>
      <c r="C1896" s="1" t="str">
        <f>+TEXT(Tabla3[[#This Row],[Date]],"mmm")</f>
        <v>ago</v>
      </c>
      <c r="D1896" s="2">
        <v>1893.30004882812</v>
      </c>
      <c r="E1896" s="2">
        <v>1893.30004882812</v>
      </c>
      <c r="F1896" s="2">
        <v>1893.59997558593</v>
      </c>
      <c r="G1896" s="2">
        <v>1893.30004882812</v>
      </c>
      <c r="H1896" s="2">
        <v>1893.59997558593</v>
      </c>
      <c r="I1896">
        <v>876</v>
      </c>
      <c r="J1896" s="2">
        <f ca="1">IFERROR((Tabla3[[#This Row],[Close]]-OFFSET(Tabla3[[#This Row],[Close]],-1,0))/OFFSET(Tabla3[[#This Row],[Close]],-1,0),"")</f>
        <v>3.8174398681879249E-3</v>
      </c>
      <c r="K1896" s="2">
        <f ca="1">IFERROR(AVERAGE(OFFSET(Tabla3[[#This Row],[Close]],-6,0,7)),"")</f>
        <v>1897.9428536551284</v>
      </c>
      <c r="L1896" s="2">
        <f ca="1">IFERROR(_xlfn.STDEV.S(OFFSET(Tabla3[[#This Row],[Close]],-29,0,30)),"")</f>
        <v>28.280784553565354</v>
      </c>
    </row>
    <row r="1897" spans="1:12" x14ac:dyDescent="0.3">
      <c r="A1897" s="1">
        <v>45160</v>
      </c>
      <c r="B1897" s="3">
        <f>YEAR(Tabla3[[#This Row],[Date]])</f>
        <v>2023</v>
      </c>
      <c r="C1897" s="1" t="str">
        <f>+TEXT(Tabla3[[#This Row],[Date]],"mmm")</f>
        <v>ago</v>
      </c>
      <c r="D1897" s="2">
        <v>1896.40002441406</v>
      </c>
      <c r="E1897" s="2">
        <v>1896.40002441406</v>
      </c>
      <c r="F1897" s="2">
        <v>1896.80004882812</v>
      </c>
      <c r="G1897" s="2">
        <v>1892.80004882812</v>
      </c>
      <c r="H1897" s="2">
        <v>1894.59997558593</v>
      </c>
      <c r="I1897">
        <v>46</v>
      </c>
      <c r="J1897" s="2">
        <f ca="1">IFERROR((Tabla3[[#This Row],[Close]]-OFFSET(Tabla3[[#This Row],[Close]],-1,0))/OFFSET(Tabla3[[#This Row],[Close]],-1,0),"")</f>
        <v>1.6373398330913091E-3</v>
      </c>
      <c r="K1897" s="2">
        <f ca="1">IFERROR(AVERAGE(OFFSET(Tabla3[[#This Row],[Close]],-6,0,7)),"")</f>
        <v>1895.5857107979859</v>
      </c>
      <c r="L1897" s="2">
        <f ca="1">IFERROR(_xlfn.STDEV.S(OFFSET(Tabla3[[#This Row],[Close]],-29,0,30)),"")</f>
        <v>29.262134813796731</v>
      </c>
    </row>
    <row r="1898" spans="1:12" x14ac:dyDescent="0.3">
      <c r="A1898" s="1">
        <v>45161</v>
      </c>
      <c r="B1898" s="3">
        <f>YEAR(Tabla3[[#This Row],[Date]])</f>
        <v>2023</v>
      </c>
      <c r="C1898" s="1" t="str">
        <f>+TEXT(Tabla3[[#This Row],[Date]],"mmm")</f>
        <v>ago</v>
      </c>
      <c r="D1898" s="2">
        <v>1918.5</v>
      </c>
      <c r="E1898" s="2">
        <v>1918.5</v>
      </c>
      <c r="F1898" s="2">
        <v>1918.5</v>
      </c>
      <c r="G1898" s="2">
        <v>1909.59997558593</v>
      </c>
      <c r="H1898" s="2">
        <v>1909.59997558593</v>
      </c>
      <c r="I1898">
        <v>547</v>
      </c>
      <c r="J1898" s="2">
        <f ca="1">IFERROR((Tabla3[[#This Row],[Close]]-OFFSET(Tabla3[[#This Row],[Close]],-1,0))/OFFSET(Tabla3[[#This Row],[Close]],-1,0),"")</f>
        <v>1.1653646541566745E-2</v>
      </c>
      <c r="K1898" s="2">
        <f ca="1">IFERROR(AVERAGE(OFFSET(Tabla3[[#This Row],[Close]],-6,0,7)),"")</f>
        <v>1896.7142857142815</v>
      </c>
      <c r="L1898" s="2">
        <f ca="1">IFERROR(_xlfn.STDEV.S(OFFSET(Tabla3[[#This Row],[Close]],-29,0,30)),"")</f>
        <v>29.206624918091762</v>
      </c>
    </row>
    <row r="1899" spans="1:12" x14ac:dyDescent="0.3">
      <c r="A1899" s="1">
        <v>45162</v>
      </c>
      <c r="B1899" s="3">
        <f>YEAR(Tabla3[[#This Row],[Date]])</f>
        <v>2023</v>
      </c>
      <c r="C1899" s="1" t="str">
        <f>+TEXT(Tabla3[[#This Row],[Date]],"mmm")</f>
        <v>ago</v>
      </c>
      <c r="D1899" s="2">
        <v>1918.19995117187</v>
      </c>
      <c r="E1899" s="2">
        <v>1918.19995117187</v>
      </c>
      <c r="F1899" s="2">
        <v>1920.80004882812</v>
      </c>
      <c r="G1899" s="2">
        <v>1918.19995117187</v>
      </c>
      <c r="H1899" s="2">
        <v>1920</v>
      </c>
      <c r="I1899">
        <v>337</v>
      </c>
      <c r="J1899" s="2">
        <f ca="1">IFERROR((Tabla3[[#This Row],[Close]]-OFFSET(Tabla3[[#This Row],[Close]],-1,0))/OFFSET(Tabla3[[#This Row],[Close]],-1,0),"")</f>
        <v>-1.5639761695595633E-4</v>
      </c>
      <c r="K1899" s="2">
        <f ca="1">IFERROR(AVERAGE(OFFSET(Tabla3[[#This Row],[Close]],-6,0,7)),"")</f>
        <v>1898.9571358816916</v>
      </c>
      <c r="L1899" s="2">
        <f ca="1">IFERROR(_xlfn.STDEV.S(OFFSET(Tabla3[[#This Row],[Close]],-29,0,30)),"")</f>
        <v>29.01674037527571</v>
      </c>
    </row>
    <row r="1900" spans="1:12" x14ac:dyDescent="0.3">
      <c r="A1900" s="1">
        <v>45163</v>
      </c>
      <c r="B1900" s="3">
        <f>YEAR(Tabla3[[#This Row],[Date]])</f>
        <v>2023</v>
      </c>
      <c r="C1900" s="1" t="str">
        <f>+TEXT(Tabla3[[#This Row],[Date]],"mmm")</f>
        <v>ago</v>
      </c>
      <c r="D1900" s="2">
        <v>1911.09997558593</v>
      </c>
      <c r="E1900" s="2">
        <v>1911.09997558593</v>
      </c>
      <c r="F1900" s="2">
        <v>1919.80004882812</v>
      </c>
      <c r="G1900" s="2">
        <v>1911.09997558593</v>
      </c>
      <c r="H1900" s="2">
        <v>1919.80004882812</v>
      </c>
      <c r="I1900">
        <v>195</v>
      </c>
      <c r="J1900" s="2">
        <f ca="1">IFERROR((Tabla3[[#This Row],[Close]]-OFFSET(Tabla3[[#This Row],[Close]],-1,0))/OFFSET(Tabla3[[#This Row],[Close]],-1,0),"")</f>
        <v>-3.701374083344373E-3</v>
      </c>
      <c r="K1900" s="2">
        <f ca="1">IFERROR(AVERAGE(OFFSET(Tabla3[[#This Row],[Close]],-6,0,7)),"")</f>
        <v>1901.0999930245487</v>
      </c>
      <c r="L1900" s="2">
        <f ca="1">IFERROR(_xlfn.STDEV.S(OFFSET(Tabla3[[#This Row],[Close]],-29,0,30)),"")</f>
        <v>28.881916589149331</v>
      </c>
    </row>
    <row r="1901" spans="1:12" x14ac:dyDescent="0.3">
      <c r="A1901" s="1">
        <v>45166</v>
      </c>
      <c r="B1901" s="3">
        <f>YEAR(Tabla3[[#This Row],[Date]])</f>
        <v>2023</v>
      </c>
      <c r="C1901" s="1" t="str">
        <f>+TEXT(Tabla3[[#This Row],[Date]],"mmm")</f>
        <v>ago</v>
      </c>
      <c r="D1901" s="2">
        <v>1917.90002441406</v>
      </c>
      <c r="E1901" s="2">
        <v>1917.90002441406</v>
      </c>
      <c r="F1901" s="2">
        <v>1921.5</v>
      </c>
      <c r="G1901" s="2">
        <v>1915.5</v>
      </c>
      <c r="H1901" s="2">
        <v>1915.5</v>
      </c>
      <c r="I1901">
        <v>99</v>
      </c>
      <c r="J1901" s="2">
        <f ca="1">IFERROR((Tabla3[[#This Row],[Close]]-OFFSET(Tabla3[[#This Row],[Close]],-1,0))/OFFSET(Tabla3[[#This Row],[Close]],-1,0),"")</f>
        <v>3.5581858170685991E-3</v>
      </c>
      <c r="K1901" s="2">
        <f ca="1">IFERROR(AVERAGE(OFFSET(Tabla3[[#This Row],[Close]],-6,0,7)),"")</f>
        <v>1905.9285714285672</v>
      </c>
      <c r="L1901" s="2">
        <f ca="1">IFERROR(_xlfn.STDEV.S(OFFSET(Tabla3[[#This Row],[Close]],-29,0,30)),"")</f>
        <v>28.74766650434217</v>
      </c>
    </row>
    <row r="1902" spans="1:12" x14ac:dyDescent="0.3">
      <c r="A1902" s="1">
        <v>45167</v>
      </c>
      <c r="B1902" s="3">
        <f>YEAR(Tabla3[[#This Row],[Date]])</f>
        <v>2023</v>
      </c>
      <c r="C1902" s="1" t="str">
        <f>+TEXT(Tabla3[[#This Row],[Date]],"mmm")</f>
        <v>ago</v>
      </c>
      <c r="D1902" s="2">
        <v>1936.5</v>
      </c>
      <c r="E1902" s="2">
        <v>1936.5</v>
      </c>
      <c r="F1902" s="2">
        <v>1936.5</v>
      </c>
      <c r="G1902" s="2">
        <v>1916.90002441406</v>
      </c>
      <c r="H1902" s="2">
        <v>1917.90002441406</v>
      </c>
      <c r="I1902">
        <v>1674</v>
      </c>
      <c r="J1902" s="2">
        <f ca="1">IFERROR((Tabla3[[#This Row],[Close]]-OFFSET(Tabla3[[#This Row],[Close]],-1,0))/OFFSET(Tabla3[[#This Row],[Close]],-1,0),"")</f>
        <v>9.6980944518328081E-3</v>
      </c>
      <c r="K1902" s="2">
        <f ca="1">IFERROR(AVERAGE(OFFSET(Tabla3[[#This Row],[Close]],-6,0,7)),"")</f>
        <v>1913.1285749162914</v>
      </c>
      <c r="L1902" s="2">
        <f ca="1">IFERROR(_xlfn.STDEV.S(OFFSET(Tabla3[[#This Row],[Close]],-29,0,30)),"")</f>
        <v>27.438545355318066</v>
      </c>
    </row>
    <row r="1903" spans="1:12" x14ac:dyDescent="0.3">
      <c r="A1903" s="1">
        <v>45168</v>
      </c>
      <c r="B1903" s="3">
        <f>YEAR(Tabla3[[#This Row],[Date]])</f>
        <v>2023</v>
      </c>
      <c r="C1903" s="1" t="str">
        <f>+TEXT(Tabla3[[#This Row],[Date]],"mmm")</f>
        <v>ago</v>
      </c>
      <c r="D1903" s="2">
        <v>1944.30004882812</v>
      </c>
      <c r="E1903" s="2">
        <v>1944.30004882812</v>
      </c>
      <c r="F1903" s="2">
        <v>1946.40002441406</v>
      </c>
      <c r="G1903" s="2">
        <v>1934.59997558593</v>
      </c>
      <c r="H1903" s="2">
        <v>1936</v>
      </c>
      <c r="I1903">
        <v>396</v>
      </c>
      <c r="J1903" s="2">
        <f ca="1">IFERROR((Tabla3[[#This Row],[Close]]-OFFSET(Tabla3[[#This Row],[Close]],-1,0))/OFFSET(Tabla3[[#This Row],[Close]],-1,0),"")</f>
        <v>4.0279105748102237E-3</v>
      </c>
      <c r="K1903" s="2">
        <f ca="1">IFERROR(AVERAGE(OFFSET(Tabla3[[#This Row],[Close]],-6,0,7)),"")</f>
        <v>1920.4142892020059</v>
      </c>
      <c r="L1903" s="2">
        <f ca="1">IFERROR(_xlfn.STDEV.S(OFFSET(Tabla3[[#This Row],[Close]],-29,0,30)),"")</f>
        <v>26.091765431466328</v>
      </c>
    </row>
    <row r="1904" spans="1:12" x14ac:dyDescent="0.3">
      <c r="A1904" s="1">
        <v>45169</v>
      </c>
      <c r="B1904" s="3">
        <f>YEAR(Tabla3[[#This Row],[Date]])</f>
        <v>2023</v>
      </c>
      <c r="C1904" s="1" t="str">
        <f>+TEXT(Tabla3[[#This Row],[Date]],"mmm")</f>
        <v>ago</v>
      </c>
      <c r="D1904" s="2">
        <v>1938.19995117187</v>
      </c>
      <c r="E1904" s="2">
        <v>1938.19995117187</v>
      </c>
      <c r="F1904" s="2">
        <v>1944.40002441406</v>
      </c>
      <c r="G1904" s="2">
        <v>1938.19995117187</v>
      </c>
      <c r="H1904" s="2">
        <v>1944.40002441406</v>
      </c>
      <c r="I1904">
        <v>491</v>
      </c>
      <c r="J1904" s="2">
        <f ca="1">IFERROR((Tabla3[[#This Row],[Close]]-OFFSET(Tabla3[[#This Row],[Close]],-1,0))/OFFSET(Tabla3[[#This Row],[Close]],-1,0),"")</f>
        <v>-3.1374260675077837E-3</v>
      </c>
      <c r="K1904" s="2">
        <f ca="1">IFERROR(AVERAGE(OFFSET(Tabla3[[#This Row],[Close]],-6,0,7)),"")</f>
        <v>1926.3857073102643</v>
      </c>
      <c r="L1904" s="2">
        <f ca="1">IFERROR(_xlfn.STDEV.S(OFFSET(Tabla3[[#This Row],[Close]],-29,0,30)),"")</f>
        <v>25.082033359907239</v>
      </c>
    </row>
    <row r="1905" spans="1:12" x14ac:dyDescent="0.3">
      <c r="A1905" s="1">
        <v>45170</v>
      </c>
      <c r="B1905" s="3">
        <f>YEAR(Tabla3[[#This Row],[Date]])</f>
        <v>2023</v>
      </c>
      <c r="C1905" s="1" t="str">
        <f>+TEXT(Tabla3[[#This Row],[Date]],"mmm")</f>
        <v>sept</v>
      </c>
      <c r="D1905" s="2">
        <v>1939.80004882812</v>
      </c>
      <c r="E1905" s="2">
        <v>1939.80004882812</v>
      </c>
      <c r="F1905" s="2">
        <v>1950</v>
      </c>
      <c r="G1905" s="2">
        <v>1936.59997558593</v>
      </c>
      <c r="H1905" s="2">
        <v>1950</v>
      </c>
      <c r="I1905">
        <v>167</v>
      </c>
      <c r="J1905" s="2">
        <f ca="1">IFERROR((Tabla3[[#This Row],[Close]]-OFFSET(Tabla3[[#This Row],[Close]],-1,0))/OFFSET(Tabla3[[#This Row],[Close]],-1,0),"")</f>
        <v>8.2555860930785428E-4</v>
      </c>
      <c r="K1905" s="2">
        <f ca="1">IFERROR(AVERAGE(OFFSET(Tabla3[[#This Row],[Close]],-6,0,7)),"")</f>
        <v>1929.428571428567</v>
      </c>
      <c r="L1905" s="2">
        <f ca="1">IFERROR(_xlfn.STDEV.S(OFFSET(Tabla3[[#This Row],[Close]],-29,0,30)),"")</f>
        <v>24.239224116225522</v>
      </c>
    </row>
    <row r="1906" spans="1:12" x14ac:dyDescent="0.3">
      <c r="A1906" s="1">
        <v>45174</v>
      </c>
      <c r="B1906" s="3">
        <f>YEAR(Tabla3[[#This Row],[Date]])</f>
        <v>2023</v>
      </c>
      <c r="C1906" s="1" t="str">
        <f>+TEXT(Tabla3[[#This Row],[Date]],"mmm")</f>
        <v>sept</v>
      </c>
      <c r="D1906" s="2">
        <v>1926.19995117187</v>
      </c>
      <c r="E1906" s="2">
        <v>1926.19995117187</v>
      </c>
      <c r="F1906" s="2">
        <v>1934.40002441406</v>
      </c>
      <c r="G1906" s="2">
        <v>1924.69995117187</v>
      </c>
      <c r="H1906" s="2">
        <v>1934.40002441406</v>
      </c>
      <c r="I1906">
        <v>113</v>
      </c>
      <c r="J1906" s="2">
        <f ca="1">IFERROR((Tabla3[[#This Row],[Close]]-OFFSET(Tabla3[[#This Row],[Close]],-1,0))/OFFSET(Tabla3[[#This Row],[Close]],-1,0),"")</f>
        <v>-7.011082232143538E-3</v>
      </c>
      <c r="K1906" s="2">
        <f ca="1">IFERROR(AVERAGE(OFFSET(Tabla3[[#This Row],[Close]],-6,0,7)),"")</f>
        <v>1930.5714285714241</v>
      </c>
      <c r="L1906" s="2">
        <f ca="1">IFERROR(_xlfn.STDEV.S(OFFSET(Tabla3[[#This Row],[Close]],-29,0,30)),"")</f>
        <v>23.41114826691706</v>
      </c>
    </row>
    <row r="1907" spans="1:12" x14ac:dyDescent="0.3">
      <c r="A1907" s="1">
        <v>45175</v>
      </c>
      <c r="B1907" s="3">
        <f>YEAR(Tabla3[[#This Row],[Date]])</f>
        <v>2023</v>
      </c>
      <c r="C1907" s="1" t="str">
        <f>+TEXT(Tabla3[[#This Row],[Date]],"mmm")</f>
        <v>sept</v>
      </c>
      <c r="D1907" s="2">
        <v>1918.09997558593</v>
      </c>
      <c r="E1907" s="2">
        <v>1918.09997558593</v>
      </c>
      <c r="F1907" s="2">
        <v>1925.30004882812</v>
      </c>
      <c r="G1907" s="2">
        <v>1916.30004882812</v>
      </c>
      <c r="H1907" s="2">
        <v>1924.09997558593</v>
      </c>
      <c r="I1907">
        <v>24</v>
      </c>
      <c r="J1907" s="2">
        <f ca="1">IFERROR((Tabla3[[#This Row],[Close]]-OFFSET(Tabla3[[#This Row],[Close]],-1,0))/OFFSET(Tabla3[[#This Row],[Close]],-1,0),"")</f>
        <v>-4.2051582344875991E-3</v>
      </c>
      <c r="K1907" s="2">
        <f ca="1">IFERROR(AVERAGE(OFFSET(Tabla3[[#This Row],[Close]],-6,0,7)),"")</f>
        <v>1931.5714285714241</v>
      </c>
      <c r="L1907" s="2">
        <f ca="1">IFERROR(_xlfn.STDEV.S(OFFSET(Tabla3[[#This Row],[Close]],-29,0,30)),"")</f>
        <v>22.422691792110083</v>
      </c>
    </row>
    <row r="1908" spans="1:12" x14ac:dyDescent="0.3">
      <c r="A1908" s="1">
        <v>45176</v>
      </c>
      <c r="B1908" s="3">
        <f>YEAR(Tabla3[[#This Row],[Date]])</f>
        <v>2023</v>
      </c>
      <c r="C1908" s="1" t="str">
        <f>+TEXT(Tabla3[[#This Row],[Date]],"mmm")</f>
        <v>sept</v>
      </c>
      <c r="D1908" s="2">
        <v>1917.5</v>
      </c>
      <c r="E1908" s="2">
        <v>1917.5</v>
      </c>
      <c r="F1908" s="2">
        <v>1921.5</v>
      </c>
      <c r="G1908" s="2">
        <v>1917.5</v>
      </c>
      <c r="H1908" s="2">
        <v>1917.59997558593</v>
      </c>
      <c r="I1908">
        <v>41</v>
      </c>
      <c r="J1908" s="2">
        <f ca="1">IFERROR((Tabla3[[#This Row],[Close]]-OFFSET(Tabla3[[#This Row],[Close]],-1,0))/OFFSET(Tabla3[[#This Row],[Close]],-1,0),"")</f>
        <v>-3.1279682684252138E-4</v>
      </c>
      <c r="K1908" s="2">
        <f ca="1">IFERROR(AVERAGE(OFFSET(Tabla3[[#This Row],[Close]],-6,0,7)),"")</f>
        <v>1931.5142822265586</v>
      </c>
      <c r="L1908" s="2">
        <f ca="1">IFERROR(_xlfn.STDEV.S(OFFSET(Tabla3[[#This Row],[Close]],-29,0,30)),"")</f>
        <v>20.814118029087794</v>
      </c>
    </row>
    <row r="1909" spans="1:12" x14ac:dyDescent="0.3">
      <c r="A1909" s="1">
        <v>45177</v>
      </c>
      <c r="B1909" s="3">
        <f>YEAR(Tabla3[[#This Row],[Date]])</f>
        <v>2023</v>
      </c>
      <c r="C1909" s="1" t="str">
        <f>+TEXT(Tabla3[[#This Row],[Date]],"mmm")</f>
        <v>sept</v>
      </c>
      <c r="D1909" s="2">
        <v>1918.40002441406</v>
      </c>
      <c r="E1909" s="2">
        <v>1918.40002441406</v>
      </c>
      <c r="F1909" s="2">
        <v>1924.69995117187</v>
      </c>
      <c r="G1909" s="2">
        <v>1918.40002441406</v>
      </c>
      <c r="H1909" s="2">
        <v>1924</v>
      </c>
      <c r="I1909">
        <v>105</v>
      </c>
      <c r="J1909" s="2">
        <f ca="1">IFERROR((Tabla3[[#This Row],[Close]]-OFFSET(Tabla3[[#This Row],[Close]],-1,0))/OFFSET(Tabla3[[#This Row],[Close]],-1,0),"")</f>
        <v>4.6937387956192902E-4</v>
      </c>
      <c r="K1909" s="2">
        <f ca="1">IFERROR(AVERAGE(OFFSET(Tabla3[[#This Row],[Close]],-6,0,7)),"")</f>
        <v>1928.9285714285672</v>
      </c>
      <c r="L1909" s="2">
        <f ca="1">IFERROR(_xlfn.STDEV.S(OFFSET(Tabla3[[#This Row],[Close]],-29,0,30)),"")</f>
        <v>20.37895835404834</v>
      </c>
    </row>
    <row r="1910" spans="1:12" x14ac:dyDescent="0.3">
      <c r="A1910" s="1">
        <v>45180</v>
      </c>
      <c r="B1910" s="3">
        <f>YEAR(Tabla3[[#This Row],[Date]])</f>
        <v>2023</v>
      </c>
      <c r="C1910" s="1" t="str">
        <f>+TEXT(Tabla3[[#This Row],[Date]],"mmm")</f>
        <v>sept</v>
      </c>
      <c r="D1910" s="2">
        <v>1923.30004882812</v>
      </c>
      <c r="E1910" s="2">
        <v>1923.30004882812</v>
      </c>
      <c r="F1910" s="2">
        <v>1928.30004882812</v>
      </c>
      <c r="G1910" s="2">
        <v>1921.80004882812</v>
      </c>
      <c r="H1910" s="2">
        <v>1923</v>
      </c>
      <c r="I1910">
        <v>50</v>
      </c>
      <c r="J1910" s="2">
        <f ca="1">IFERROR((Tabla3[[#This Row],[Close]]-OFFSET(Tabla3[[#This Row],[Close]],-1,0))/OFFSET(Tabla3[[#This Row],[Close]],-1,0),"")</f>
        <v>2.5542245369584069E-3</v>
      </c>
      <c r="K1910" s="2">
        <f ca="1">IFERROR(AVERAGE(OFFSET(Tabla3[[#This Row],[Close]],-6,0,7)),"")</f>
        <v>1925.9285714285672</v>
      </c>
      <c r="L1910" s="2">
        <f ca="1">IFERROR(_xlfn.STDEV.S(OFFSET(Tabla3[[#This Row],[Close]],-29,0,30)),"")</f>
        <v>19.038885403193508</v>
      </c>
    </row>
    <row r="1911" spans="1:12" x14ac:dyDescent="0.3">
      <c r="A1911" s="1">
        <v>45181</v>
      </c>
      <c r="B1911" s="3">
        <f>YEAR(Tabla3[[#This Row],[Date]])</f>
        <v>2023</v>
      </c>
      <c r="C1911" s="1" t="str">
        <f>+TEXT(Tabla3[[#This Row],[Date]],"mmm")</f>
        <v>sept</v>
      </c>
      <c r="D1911" s="2">
        <v>1911.30004882812</v>
      </c>
      <c r="E1911" s="2">
        <v>1911.30004882812</v>
      </c>
      <c r="F1911" s="2">
        <v>1920.80004882812</v>
      </c>
      <c r="G1911" s="2">
        <v>1911.30004882812</v>
      </c>
      <c r="H1911" s="2">
        <v>1920.80004882812</v>
      </c>
      <c r="I1911">
        <v>365</v>
      </c>
      <c r="J1911" s="2">
        <f ca="1">IFERROR((Tabla3[[#This Row],[Close]]-OFFSET(Tabla3[[#This Row],[Close]],-1,0))/OFFSET(Tabla3[[#This Row],[Close]],-1,0),"")</f>
        <v>-6.2392760855549722E-3</v>
      </c>
      <c r="K1911" s="2">
        <f ca="1">IFERROR(AVERAGE(OFFSET(Tabla3[[#This Row],[Close]],-6,0,7)),"")</f>
        <v>1922.0857282366028</v>
      </c>
      <c r="L1911" s="2">
        <f ca="1">IFERROR(_xlfn.STDEV.S(OFFSET(Tabla3[[#This Row],[Close]],-29,0,30)),"")</f>
        <v>16.598685816215138</v>
      </c>
    </row>
    <row r="1912" spans="1:12" x14ac:dyDescent="0.3">
      <c r="A1912" s="1">
        <v>45182</v>
      </c>
      <c r="B1912" s="3">
        <f>YEAR(Tabla3[[#This Row],[Date]])</f>
        <v>2023</v>
      </c>
      <c r="C1912" s="1" t="str">
        <f>+TEXT(Tabla3[[#This Row],[Date]],"mmm")</f>
        <v>sept</v>
      </c>
      <c r="D1912" s="2">
        <v>1909.09997558593</v>
      </c>
      <c r="E1912" s="2">
        <v>1909.09997558593</v>
      </c>
      <c r="F1912" s="2">
        <v>1914.59997558593</v>
      </c>
      <c r="G1912" s="2">
        <v>1908.90002441406</v>
      </c>
      <c r="H1912" s="2">
        <v>1910.30004882812</v>
      </c>
      <c r="I1912">
        <v>15</v>
      </c>
      <c r="J1912" s="2">
        <f ca="1">IFERROR((Tabla3[[#This Row],[Close]]-OFFSET(Tabla3[[#This Row],[Close]],-1,0))/OFFSET(Tabla3[[#This Row],[Close]],-1,0),"")</f>
        <v>-1.1510873154316808E-3</v>
      </c>
      <c r="K1912" s="2">
        <f ca="1">IFERROR(AVERAGE(OFFSET(Tabla3[[#This Row],[Close]],-6,0,7)),"")</f>
        <v>1917.7000034877185</v>
      </c>
      <c r="L1912" s="2">
        <f ca="1">IFERROR(_xlfn.STDEV.S(OFFSET(Tabla3[[#This Row],[Close]],-29,0,30)),"")</f>
        <v>16.145219012143873</v>
      </c>
    </row>
    <row r="1913" spans="1:12" x14ac:dyDescent="0.3">
      <c r="A1913" s="1">
        <v>45183</v>
      </c>
      <c r="B1913" s="3">
        <f>YEAR(Tabla3[[#This Row],[Date]])</f>
        <v>2023</v>
      </c>
      <c r="C1913" s="1" t="str">
        <f>+TEXT(Tabla3[[#This Row],[Date]],"mmm")</f>
        <v>sept</v>
      </c>
      <c r="D1913" s="2">
        <v>1910</v>
      </c>
      <c r="E1913" s="2">
        <v>1910</v>
      </c>
      <c r="F1913" s="2">
        <v>1910</v>
      </c>
      <c r="G1913" s="2">
        <v>1903</v>
      </c>
      <c r="H1913" s="2">
        <v>1903</v>
      </c>
      <c r="I1913">
        <v>169</v>
      </c>
      <c r="J1913" s="2">
        <f ca="1">IFERROR((Tabla3[[#This Row],[Close]]-OFFSET(Tabla3[[#This Row],[Close]],-1,0))/OFFSET(Tabla3[[#This Row],[Close]],-1,0),"")</f>
        <v>4.7143912083167516E-4</v>
      </c>
      <c r="K1913" s="2">
        <f ca="1">IFERROR(AVERAGE(OFFSET(Tabla3[[#This Row],[Close]],-6,0,7)),"")</f>
        <v>1915.38572474888</v>
      </c>
      <c r="L1913" s="2">
        <f ca="1">IFERROR(_xlfn.STDEV.S(OFFSET(Tabla3[[#This Row],[Close]],-29,0,30)),"")</f>
        <v>15.754448254234285</v>
      </c>
    </row>
    <row r="1914" spans="1:12" x14ac:dyDescent="0.3">
      <c r="A1914" s="1">
        <v>45184</v>
      </c>
      <c r="B1914" s="3">
        <f>YEAR(Tabla3[[#This Row],[Date]])</f>
        <v>2023</v>
      </c>
      <c r="C1914" s="1" t="str">
        <f>+TEXT(Tabla3[[#This Row],[Date]],"mmm")</f>
        <v>sept</v>
      </c>
      <c r="D1914" s="2">
        <v>1923.69995117187</v>
      </c>
      <c r="E1914" s="2">
        <v>1923.69995117187</v>
      </c>
      <c r="F1914" s="2">
        <v>1927.30004882812</v>
      </c>
      <c r="G1914" s="2">
        <v>1923.5</v>
      </c>
      <c r="H1914" s="2">
        <v>1923.5</v>
      </c>
      <c r="I1914">
        <v>8</v>
      </c>
      <c r="J1914" s="2">
        <f ca="1">IFERROR((Tabla3[[#This Row],[Close]]-OFFSET(Tabla3[[#This Row],[Close]],-1,0))/OFFSET(Tabla3[[#This Row],[Close]],-1,0),"")</f>
        <v>7.1727493046439775E-3</v>
      </c>
      <c r="K1914" s="2">
        <f ca="1">IFERROR(AVERAGE(OFFSET(Tabla3[[#This Row],[Close]],-6,0,7)),"")</f>
        <v>1916.1857212611571</v>
      </c>
      <c r="L1914" s="2">
        <f ca="1">IFERROR(_xlfn.STDEV.S(OFFSET(Tabla3[[#This Row],[Close]],-29,0,30)),"")</f>
        <v>15.547041169978742</v>
      </c>
    </row>
    <row r="1915" spans="1:12" x14ac:dyDescent="0.3">
      <c r="A1915" s="1">
        <v>45187</v>
      </c>
      <c r="B1915" s="3">
        <f>YEAR(Tabla3[[#This Row],[Date]])</f>
        <v>2023</v>
      </c>
      <c r="C1915" s="1" t="str">
        <f>+TEXT(Tabla3[[#This Row],[Date]],"mmm")</f>
        <v>sept</v>
      </c>
      <c r="D1915" s="2">
        <v>1931.5</v>
      </c>
      <c r="E1915" s="2">
        <v>1931.5</v>
      </c>
      <c r="F1915" s="2">
        <v>1931.5</v>
      </c>
      <c r="G1915" s="2">
        <v>1926.40002441406</v>
      </c>
      <c r="H1915" s="2">
        <v>1928.19995117187</v>
      </c>
      <c r="I1915">
        <v>19</v>
      </c>
      <c r="J1915" s="2">
        <f ca="1">IFERROR((Tabla3[[#This Row],[Close]]-OFFSET(Tabla3[[#This Row],[Close]],-1,0))/OFFSET(Tabla3[[#This Row],[Close]],-1,0),"")</f>
        <v>4.0547117669667808E-3</v>
      </c>
      <c r="K1915" s="2">
        <f ca="1">IFERROR(AVERAGE(OFFSET(Tabla3[[#This Row],[Close]],-6,0,7)),"")</f>
        <v>1918.1857212611571</v>
      </c>
      <c r="L1915" s="2">
        <f ca="1">IFERROR(_xlfn.STDEV.S(OFFSET(Tabla3[[#This Row],[Close]],-29,0,30)),"")</f>
        <v>15.196077442331164</v>
      </c>
    </row>
    <row r="1916" spans="1:12" x14ac:dyDescent="0.3">
      <c r="A1916" s="1">
        <v>45188</v>
      </c>
      <c r="B1916" s="3">
        <f>YEAR(Tabla3[[#This Row],[Date]])</f>
        <v>2023</v>
      </c>
      <c r="C1916" s="1" t="str">
        <f>+TEXT(Tabla3[[#This Row],[Date]],"mmm")</f>
        <v>sept</v>
      </c>
      <c r="D1916" s="2">
        <v>1932</v>
      </c>
      <c r="E1916" s="2">
        <v>1932</v>
      </c>
      <c r="F1916" s="2">
        <v>1934</v>
      </c>
      <c r="G1916" s="2">
        <v>1932</v>
      </c>
      <c r="H1916" s="2">
        <v>1934</v>
      </c>
      <c r="I1916">
        <v>6</v>
      </c>
      <c r="J1916" s="2">
        <f ca="1">IFERROR((Tabla3[[#This Row],[Close]]-OFFSET(Tabla3[[#This Row],[Close]],-1,0))/OFFSET(Tabla3[[#This Row],[Close]],-1,0),"")</f>
        <v>2.5886616619207872E-4</v>
      </c>
      <c r="K1916" s="2">
        <f ca="1">IFERROR(AVERAGE(OFFSET(Tabla3[[#This Row],[Close]],-6,0,7)),"")</f>
        <v>1920.1285749162914</v>
      </c>
      <c r="L1916" s="2">
        <f ca="1">IFERROR(_xlfn.STDEV.S(OFFSET(Tabla3[[#This Row],[Close]],-29,0,30)),"")</f>
        <v>15.13921297932378</v>
      </c>
    </row>
    <row r="1917" spans="1:12" x14ac:dyDescent="0.3">
      <c r="A1917" s="1">
        <v>45189</v>
      </c>
      <c r="B1917" s="3">
        <f>YEAR(Tabla3[[#This Row],[Date]])</f>
        <v>2023</v>
      </c>
      <c r="C1917" s="1" t="str">
        <f>+TEXT(Tabla3[[#This Row],[Date]],"mmm")</f>
        <v>sept</v>
      </c>
      <c r="D1917" s="2">
        <v>1945.59997558593</v>
      </c>
      <c r="E1917" s="2">
        <v>1945.59997558593</v>
      </c>
      <c r="F1917" s="2">
        <v>1945.59997558593</v>
      </c>
      <c r="G1917" s="2">
        <v>1929.19995117187</v>
      </c>
      <c r="H1917" s="2">
        <v>1945.59997558593</v>
      </c>
      <c r="I1917">
        <v>119</v>
      </c>
      <c r="J1917" s="2">
        <f ca="1">IFERROR((Tabla3[[#This Row],[Close]]-OFFSET(Tabla3[[#This Row],[Close]],-1,0))/OFFSET(Tabla3[[#This Row],[Close]],-1,0),"")</f>
        <v>7.0393248374378868E-3</v>
      </c>
      <c r="K1917" s="2">
        <f ca="1">IFERROR(AVERAGE(OFFSET(Tabla3[[#This Row],[Close]],-6,0,7)),"")</f>
        <v>1923.3142787388356</v>
      </c>
      <c r="L1917" s="2">
        <f ca="1">IFERROR(_xlfn.STDEV.S(OFFSET(Tabla3[[#This Row],[Close]],-29,0,30)),"")</f>
        <v>16.016874653409879</v>
      </c>
    </row>
    <row r="1918" spans="1:12" x14ac:dyDescent="0.3">
      <c r="A1918" s="1">
        <v>45190</v>
      </c>
      <c r="B1918" s="3">
        <f>YEAR(Tabla3[[#This Row],[Date]])</f>
        <v>2023</v>
      </c>
      <c r="C1918" s="1" t="str">
        <f>+TEXT(Tabla3[[#This Row],[Date]],"mmm")</f>
        <v>sept</v>
      </c>
      <c r="D1918" s="2">
        <v>1919.19995117187</v>
      </c>
      <c r="E1918" s="2">
        <v>1919.19995117187</v>
      </c>
      <c r="F1918" s="2">
        <v>1924</v>
      </c>
      <c r="G1918" s="2">
        <v>1919.19995117187</v>
      </c>
      <c r="H1918" s="2">
        <v>1924</v>
      </c>
      <c r="I1918">
        <v>9</v>
      </c>
      <c r="J1918" s="2">
        <f ca="1">IFERROR((Tabla3[[#This Row],[Close]]-OFFSET(Tabla3[[#This Row],[Close]],-1,0))/OFFSET(Tabla3[[#This Row],[Close]],-1,0),"")</f>
        <v>-1.3569091665983118E-2</v>
      </c>
      <c r="K1918" s="2">
        <f ca="1">IFERROR(AVERAGE(OFFSET(Tabla3[[#This Row],[Close]],-6,0,7)),"")</f>
        <v>1924.4428362165143</v>
      </c>
      <c r="L1918" s="2">
        <f ca="1">IFERROR(_xlfn.STDEV.S(OFFSET(Tabla3[[#This Row],[Close]],-29,0,30)),"")</f>
        <v>16.020719110690997</v>
      </c>
    </row>
    <row r="1919" spans="1:12" x14ac:dyDescent="0.3">
      <c r="A1919" s="1">
        <v>45191</v>
      </c>
      <c r="B1919" s="3">
        <f>YEAR(Tabla3[[#This Row],[Date]])</f>
        <v>2023</v>
      </c>
      <c r="C1919" s="1" t="str">
        <f>+TEXT(Tabla3[[#This Row],[Date]],"mmm")</f>
        <v>sept</v>
      </c>
      <c r="D1919" s="2">
        <v>1925.40002441406</v>
      </c>
      <c r="E1919" s="2">
        <v>1925.40002441406</v>
      </c>
      <c r="F1919" s="2">
        <v>1925.40002441406</v>
      </c>
      <c r="G1919" s="2">
        <v>1925.40002441406</v>
      </c>
      <c r="H1919" s="2">
        <v>1925.40002441406</v>
      </c>
      <c r="I1919">
        <v>1</v>
      </c>
      <c r="J1919" s="2">
        <f ca="1">IFERROR((Tabla3[[#This Row],[Close]]-OFFSET(Tabla3[[#This Row],[Close]],-1,0))/OFFSET(Tabla3[[#This Row],[Close]],-1,0),"")</f>
        <v>3.2305509586972505E-3</v>
      </c>
      <c r="K1919" s="2">
        <f ca="1">IFERROR(AVERAGE(OFFSET(Tabla3[[#This Row],[Close]],-6,0,7)),"")</f>
        <v>1926.7714146205328</v>
      </c>
      <c r="L1919" s="2">
        <f ca="1">IFERROR(_xlfn.STDEV.S(OFFSET(Tabla3[[#This Row],[Close]],-29,0,30)),"")</f>
        <v>16.087426776126595</v>
      </c>
    </row>
    <row r="1920" spans="1:12" x14ac:dyDescent="0.3">
      <c r="A1920" s="1">
        <v>45194</v>
      </c>
      <c r="B1920" s="3">
        <f>YEAR(Tabla3[[#This Row],[Date]])</f>
        <v>2023</v>
      </c>
      <c r="C1920" s="1" t="str">
        <f>+TEXT(Tabla3[[#This Row],[Date]],"mmm")</f>
        <v>sept</v>
      </c>
      <c r="D1920" s="2">
        <v>1916.59997558593</v>
      </c>
      <c r="E1920" s="2">
        <v>1916.59997558593</v>
      </c>
      <c r="F1920" s="2">
        <v>1916.59997558593</v>
      </c>
      <c r="G1920" s="2">
        <v>1916.59997558593</v>
      </c>
      <c r="H1920" s="2">
        <v>1916.59997558593</v>
      </c>
      <c r="I1920">
        <v>114</v>
      </c>
      <c r="J1920" s="2">
        <f ca="1">IFERROR((Tabla3[[#This Row],[Close]]-OFFSET(Tabla3[[#This Row],[Close]],-1,0))/OFFSET(Tabla3[[#This Row],[Close]],-1,0),"")</f>
        <v>-4.5705041635740315E-3</v>
      </c>
      <c r="K1920" s="2">
        <f ca="1">IFERROR(AVERAGE(OFFSET(Tabla3[[#This Row],[Close]],-6,0,7)),"")</f>
        <v>1927.7142682756657</v>
      </c>
      <c r="L1920" s="2">
        <f ca="1">IFERROR(_xlfn.STDEV.S(OFFSET(Tabla3[[#This Row],[Close]],-29,0,30)),"")</f>
        <v>16.067018745773467</v>
      </c>
    </row>
    <row r="1921" spans="1:12" x14ac:dyDescent="0.3">
      <c r="A1921" s="1">
        <v>45195</v>
      </c>
      <c r="B1921" s="3">
        <f>YEAR(Tabla3[[#This Row],[Date]])</f>
        <v>2023</v>
      </c>
      <c r="C1921" s="1" t="str">
        <f>+TEXT(Tabla3[[#This Row],[Date]],"mmm")</f>
        <v>sept</v>
      </c>
      <c r="D1921" s="2">
        <v>1900.40002441406</v>
      </c>
      <c r="E1921" s="2">
        <v>1900.40002441406</v>
      </c>
      <c r="F1921" s="2">
        <v>1905.09997558593</v>
      </c>
      <c r="G1921" s="2">
        <v>1900.40002441406</v>
      </c>
      <c r="H1921" s="2">
        <v>1905</v>
      </c>
      <c r="I1921">
        <v>161</v>
      </c>
      <c r="J1921" s="2">
        <f ca="1">IFERROR((Tabla3[[#This Row],[Close]]-OFFSET(Tabla3[[#This Row],[Close]],-1,0))/OFFSET(Tabla3[[#This Row],[Close]],-1,0),"")</f>
        <v>-8.452442543164209E-3</v>
      </c>
      <c r="K1921" s="2">
        <f ca="1">IFERROR(AVERAGE(OFFSET(Tabla3[[#This Row],[Close]],-6,0,7)),"")</f>
        <v>1924.3857073102645</v>
      </c>
      <c r="L1921" s="2">
        <f ca="1">IFERROR(_xlfn.STDEV.S(OFFSET(Tabla3[[#This Row],[Close]],-29,0,30)),"")</f>
        <v>16.321420703509816</v>
      </c>
    </row>
    <row r="1922" spans="1:12" x14ac:dyDescent="0.3">
      <c r="A1922" s="1">
        <v>45196</v>
      </c>
      <c r="B1922" s="3">
        <f>YEAR(Tabla3[[#This Row],[Date]])</f>
        <v>2023</v>
      </c>
      <c r="C1922" s="1" t="str">
        <f>+TEXT(Tabla3[[#This Row],[Date]],"mmm")</f>
        <v>sept</v>
      </c>
      <c r="D1922" s="2">
        <v>1871.59997558593</v>
      </c>
      <c r="E1922" s="2">
        <v>1871.59997558593</v>
      </c>
      <c r="F1922" s="2">
        <v>1871.59997558593</v>
      </c>
      <c r="G1922" s="2">
        <v>1871.59997558593</v>
      </c>
      <c r="H1922" s="2">
        <v>1871.59997558593</v>
      </c>
      <c r="I1922">
        <v>12251</v>
      </c>
      <c r="J1922" s="2">
        <f ca="1">IFERROR((Tabla3[[#This Row],[Close]]-OFFSET(Tabla3[[#This Row],[Close]],-1,0))/OFFSET(Tabla3[[#This Row],[Close]],-1,0),"")</f>
        <v>-1.5154729771701495E-2</v>
      </c>
      <c r="K1922" s="2">
        <f ca="1">IFERROR(AVERAGE(OFFSET(Tabla3[[#This Row],[Close]],-6,0,7)),"")</f>
        <v>1915.8285609653972</v>
      </c>
      <c r="L1922" s="2">
        <f ca="1">IFERROR(_xlfn.STDEV.S(OFFSET(Tabla3[[#This Row],[Close]],-29,0,30)),"")</f>
        <v>18.144095132738002</v>
      </c>
    </row>
    <row r="1923" spans="1:12" x14ac:dyDescent="0.3">
      <c r="A1923" s="1">
        <v>45197</v>
      </c>
      <c r="B1923" s="3">
        <f>YEAR(Tabla3[[#This Row],[Date]])</f>
        <v>2023</v>
      </c>
      <c r="C1923" s="1" t="str">
        <f>+TEXT(Tabla3[[#This Row],[Date]],"mmm")</f>
        <v>sept</v>
      </c>
      <c r="D1923" s="2">
        <v>1860.40002441406</v>
      </c>
      <c r="E1923" s="2">
        <v>1860.40002441406</v>
      </c>
      <c r="F1923" s="2">
        <v>1878.19995117187</v>
      </c>
      <c r="G1923" s="2">
        <v>1856.69995117187</v>
      </c>
      <c r="H1923" s="2">
        <v>1875.5</v>
      </c>
      <c r="I1923">
        <v>4654</v>
      </c>
      <c r="J1923" s="2">
        <f ca="1">IFERROR((Tabla3[[#This Row],[Close]]-OFFSET(Tabla3[[#This Row],[Close]],-1,0))/OFFSET(Tabla3[[#This Row],[Close]],-1,0),"")</f>
        <v>-5.9841586439237371E-3</v>
      </c>
      <c r="K1923" s="2">
        <f ca="1">IFERROR(AVERAGE(OFFSET(Tabla3[[#This Row],[Close]],-6,0,7)),"")</f>
        <v>1905.5999930245487</v>
      </c>
      <c r="L1923" s="2">
        <f ca="1">IFERROR(_xlfn.STDEV.S(OFFSET(Tabla3[[#This Row],[Close]],-29,0,30)),"")</f>
        <v>20.511437224440741</v>
      </c>
    </row>
    <row r="1924" spans="1:12" x14ac:dyDescent="0.3">
      <c r="A1924" s="1">
        <v>45198</v>
      </c>
      <c r="B1924" s="3">
        <f>YEAR(Tabla3[[#This Row],[Date]])</f>
        <v>2023</v>
      </c>
      <c r="C1924" s="1" t="str">
        <f>+TEXT(Tabla3[[#This Row],[Date]],"mmm")</f>
        <v>sept</v>
      </c>
      <c r="D1924" s="2">
        <v>1848.09997558593</v>
      </c>
      <c r="E1924" s="2">
        <v>1848.09997558593</v>
      </c>
      <c r="F1924" s="2">
        <v>1872.30004882812</v>
      </c>
      <c r="G1924" s="2">
        <v>1846</v>
      </c>
      <c r="H1924" s="2">
        <v>1864.30004882812</v>
      </c>
      <c r="I1924">
        <v>1605</v>
      </c>
      <c r="J1924" s="2">
        <f ca="1">IFERROR((Tabla3[[#This Row],[Close]]-OFFSET(Tabla3[[#This Row],[Close]],-1,0))/OFFSET(Tabla3[[#This Row],[Close]],-1,0),"")</f>
        <v>-6.6115075611246294E-3</v>
      </c>
      <c r="K1924" s="2">
        <f ca="1">IFERROR(AVERAGE(OFFSET(Tabla3[[#This Row],[Close]],-6,0,7)),"")</f>
        <v>1891.6714215959771</v>
      </c>
      <c r="L1924" s="2">
        <f ca="1">IFERROR(_xlfn.STDEV.S(OFFSET(Tabla3[[#This Row],[Close]],-29,0,30)),"")</f>
        <v>23.24215425202906</v>
      </c>
    </row>
    <row r="1925" spans="1:12" x14ac:dyDescent="0.3">
      <c r="A1925" s="1">
        <v>45201</v>
      </c>
      <c r="B1925" s="3">
        <f>YEAR(Tabla3[[#This Row],[Date]])</f>
        <v>2023</v>
      </c>
      <c r="C1925" s="1" t="str">
        <f>+TEXT(Tabla3[[#This Row],[Date]],"mmm")</f>
        <v>oct</v>
      </c>
      <c r="D1925" s="2">
        <v>1830</v>
      </c>
      <c r="E1925" s="2">
        <v>1830</v>
      </c>
      <c r="F1925" s="2">
        <v>1845.90002441406</v>
      </c>
      <c r="G1925" s="2">
        <v>1826.69995117187</v>
      </c>
      <c r="H1925" s="2">
        <v>1844.09997558593</v>
      </c>
      <c r="I1925">
        <v>2309</v>
      </c>
      <c r="J1925" s="2">
        <f ca="1">IFERROR((Tabla3[[#This Row],[Close]]-OFFSET(Tabla3[[#This Row],[Close]],-1,0))/OFFSET(Tabla3[[#This Row],[Close]],-1,0),"")</f>
        <v>-9.793829243567571E-3</v>
      </c>
      <c r="K1925" s="2">
        <f ca="1">IFERROR(AVERAGE(OFFSET(Tabla3[[#This Row],[Close]],-6,0,7)),"")</f>
        <v>1878.9285714285672</v>
      </c>
      <c r="L1925" s="2">
        <f ca="1">IFERROR(_xlfn.STDEV.S(OFFSET(Tabla3[[#This Row],[Close]],-29,0,30)),"")</f>
        <v>27.415169384318602</v>
      </c>
    </row>
    <row r="1926" spans="1:12" x14ac:dyDescent="0.3">
      <c r="A1926" s="1">
        <v>45202</v>
      </c>
      <c r="B1926" s="3">
        <f>YEAR(Tabla3[[#This Row],[Date]])</f>
        <v>2023</v>
      </c>
      <c r="C1926" s="1" t="str">
        <f>+TEXT(Tabla3[[#This Row],[Date]],"mmm")</f>
        <v>oct</v>
      </c>
      <c r="D1926" s="2">
        <v>1824.59997558593</v>
      </c>
      <c r="E1926" s="2">
        <v>1824.59997558593</v>
      </c>
      <c r="F1926" s="2">
        <v>1830.90002441406</v>
      </c>
      <c r="G1926" s="2">
        <v>1816.80004882812</v>
      </c>
      <c r="H1926" s="2">
        <v>1825</v>
      </c>
      <c r="I1926">
        <v>310</v>
      </c>
      <c r="J1926" s="2">
        <f ca="1">IFERROR((Tabla3[[#This Row],[Close]]-OFFSET(Tabla3[[#This Row],[Close]],-1,0))/OFFSET(Tabla3[[#This Row],[Close]],-1,0),"")</f>
        <v>-2.9508330131530073E-3</v>
      </c>
      <c r="K1926" s="2">
        <f ca="1">IFERROR(AVERAGE(OFFSET(Tabla3[[#This Row],[Close]],-6,0,7)),"")</f>
        <v>1864.52856445312</v>
      </c>
      <c r="L1926" s="2">
        <f ca="1">IFERROR(_xlfn.STDEV.S(OFFSET(Tabla3[[#This Row],[Close]],-29,0,30)),"")</f>
        <v>31.564938246745893</v>
      </c>
    </row>
    <row r="1927" spans="1:12" x14ac:dyDescent="0.3">
      <c r="A1927" s="1">
        <v>45203</v>
      </c>
      <c r="B1927" s="3">
        <f>YEAR(Tabla3[[#This Row],[Date]])</f>
        <v>2023</v>
      </c>
      <c r="C1927" s="1" t="str">
        <f>+TEXT(Tabla3[[#This Row],[Date]],"mmm")</f>
        <v>oct</v>
      </c>
      <c r="D1927" s="2">
        <v>1818.5</v>
      </c>
      <c r="E1927" s="2">
        <v>1818.5</v>
      </c>
      <c r="F1927" s="2">
        <v>1828.19995117187</v>
      </c>
      <c r="G1927" s="2">
        <v>1816.40002441406</v>
      </c>
      <c r="H1927" s="2">
        <v>1821.80004882812</v>
      </c>
      <c r="I1927">
        <v>357</v>
      </c>
      <c r="J1927" s="2">
        <f ca="1">IFERROR((Tabla3[[#This Row],[Close]]-OFFSET(Tabla3[[#This Row],[Close]],-1,0))/OFFSET(Tabla3[[#This Row],[Close]],-1,0),"")</f>
        <v>-3.3431851734904931E-3</v>
      </c>
      <c r="K1927" s="2">
        <f ca="1">IFERROR(AVERAGE(OFFSET(Tabla3[[#This Row],[Close]],-6,0,7)),"")</f>
        <v>1850.5142822265586</v>
      </c>
      <c r="L1927" s="2">
        <f ca="1">IFERROR(_xlfn.STDEV.S(OFFSET(Tabla3[[#This Row],[Close]],-29,0,30)),"")</f>
        <v>35.620321337303672</v>
      </c>
    </row>
    <row r="1928" spans="1:12" x14ac:dyDescent="0.3">
      <c r="A1928" s="1">
        <v>45204</v>
      </c>
      <c r="B1928" s="3">
        <f>YEAR(Tabla3[[#This Row],[Date]])</f>
        <v>2023</v>
      </c>
      <c r="C1928" s="1" t="str">
        <f>+TEXT(Tabla3[[#This Row],[Date]],"mmm")</f>
        <v>oct</v>
      </c>
      <c r="D1928" s="2">
        <v>1816.59997558593</v>
      </c>
      <c r="E1928" s="2">
        <v>1816.59997558593</v>
      </c>
      <c r="F1928" s="2">
        <v>1826.30004882812</v>
      </c>
      <c r="G1928" s="2">
        <v>1815.59997558593</v>
      </c>
      <c r="H1928" s="2">
        <v>1826.30004882812</v>
      </c>
      <c r="I1928">
        <v>393</v>
      </c>
      <c r="J1928" s="2">
        <f ca="1">IFERROR((Tabla3[[#This Row],[Close]]-OFFSET(Tabla3[[#This Row],[Close]],-1,0))/OFFSET(Tabla3[[#This Row],[Close]],-1,0),"")</f>
        <v>-1.0448305823865841E-3</v>
      </c>
      <c r="K1928" s="2">
        <f ca="1">IFERROR(AVERAGE(OFFSET(Tabla3[[#This Row],[Close]],-6,0,7)),"")</f>
        <v>1838.5428466796827</v>
      </c>
      <c r="L1928" s="2">
        <f ca="1">IFERROR(_xlfn.STDEV.S(OFFSET(Tabla3[[#This Row],[Close]],-29,0,30)),"")</f>
        <v>39.155759350352803</v>
      </c>
    </row>
    <row r="1929" spans="1:12" x14ac:dyDescent="0.3">
      <c r="A1929" s="1">
        <v>45205</v>
      </c>
      <c r="B1929" s="3">
        <f>YEAR(Tabla3[[#This Row],[Date]])</f>
        <v>2023</v>
      </c>
      <c r="C1929" s="1" t="str">
        <f>+TEXT(Tabla3[[#This Row],[Date]],"mmm")</f>
        <v>oct</v>
      </c>
      <c r="D1929" s="2">
        <v>1830.19995117187</v>
      </c>
      <c r="E1929" s="2">
        <v>1830.19995117187</v>
      </c>
      <c r="F1929" s="2">
        <v>1831.80004882812</v>
      </c>
      <c r="G1929" s="2">
        <v>1809.40002441406</v>
      </c>
      <c r="H1929" s="2">
        <v>1819</v>
      </c>
      <c r="I1929">
        <v>390</v>
      </c>
      <c r="J1929" s="2">
        <f ca="1">IFERROR((Tabla3[[#This Row],[Close]]-OFFSET(Tabla3[[#This Row],[Close]],-1,0))/OFFSET(Tabla3[[#This Row],[Close]],-1,0),"")</f>
        <v>7.4864999277308901E-3</v>
      </c>
      <c r="K1929" s="2">
        <f ca="1">IFERROR(AVERAGE(OFFSET(Tabla3[[#This Row],[Close]],-6,0,7)),"")</f>
        <v>1832.6285574776741</v>
      </c>
      <c r="L1929" s="2">
        <f ca="1">IFERROR(_xlfn.STDEV.S(OFFSET(Tabla3[[#This Row],[Close]],-29,0,30)),"")</f>
        <v>41.254226792774823</v>
      </c>
    </row>
    <row r="1930" spans="1:12" x14ac:dyDescent="0.3">
      <c r="A1930" s="1">
        <v>45208</v>
      </c>
      <c r="B1930" s="3">
        <f>YEAR(Tabla3[[#This Row],[Date]])</f>
        <v>2023</v>
      </c>
      <c r="C1930" s="1" t="str">
        <f>+TEXT(Tabla3[[#This Row],[Date]],"mmm")</f>
        <v>oct</v>
      </c>
      <c r="D1930" s="2">
        <v>1849.5</v>
      </c>
      <c r="E1930" s="2">
        <v>1849.5</v>
      </c>
      <c r="F1930" s="2">
        <v>1861.5</v>
      </c>
      <c r="G1930" s="2">
        <v>1842.5</v>
      </c>
      <c r="H1930" s="2">
        <v>1842.5</v>
      </c>
      <c r="I1930">
        <v>232</v>
      </c>
      <c r="J1930" s="2">
        <f ca="1">IFERROR((Tabla3[[#This Row],[Close]]-OFFSET(Tabla3[[#This Row],[Close]],-1,0))/OFFSET(Tabla3[[#This Row],[Close]],-1,0),"")</f>
        <v>1.0545322556572168E-2</v>
      </c>
      <c r="K1930" s="2">
        <f ca="1">IFERROR(AVERAGE(OFFSET(Tabla3[[#This Row],[Close]],-6,0,7)),"")</f>
        <v>1831.0714111328086</v>
      </c>
      <c r="L1930" s="2">
        <f ca="1">IFERROR(_xlfn.STDEV.S(OFFSET(Tabla3[[#This Row],[Close]],-29,0,30)),"")</f>
        <v>42.231748816258211</v>
      </c>
    </row>
    <row r="1931" spans="1:12" x14ac:dyDescent="0.3">
      <c r="A1931" s="1">
        <v>45209</v>
      </c>
      <c r="B1931" s="3">
        <f>YEAR(Tabla3[[#This Row],[Date]])</f>
        <v>2023</v>
      </c>
      <c r="C1931" s="1" t="str">
        <f>+TEXT(Tabla3[[#This Row],[Date]],"mmm")</f>
        <v>oct</v>
      </c>
      <c r="D1931" s="2">
        <v>1861</v>
      </c>
      <c r="E1931" s="2">
        <v>1861</v>
      </c>
      <c r="F1931" s="2">
        <v>1861.40002441406</v>
      </c>
      <c r="G1931" s="2">
        <v>1852.80004882812</v>
      </c>
      <c r="H1931" s="2">
        <v>1857</v>
      </c>
      <c r="I1931">
        <v>236</v>
      </c>
      <c r="J1931" s="2">
        <f ca="1">IFERROR((Tabla3[[#This Row],[Close]]-OFFSET(Tabla3[[#This Row],[Close]],-1,0))/OFFSET(Tabla3[[#This Row],[Close]],-1,0),"")</f>
        <v>6.2178967288456337E-3</v>
      </c>
      <c r="K1931" s="2">
        <f ca="1">IFERROR(AVERAGE(OFFSET(Tabla3[[#This Row],[Close]],-6,0,7)),"")</f>
        <v>1832.9142717633899</v>
      </c>
      <c r="L1931" s="2">
        <f ca="1">IFERROR(_xlfn.STDEV.S(OFFSET(Tabla3[[#This Row],[Close]],-29,0,30)),"")</f>
        <v>42.605718059888119</v>
      </c>
    </row>
    <row r="1932" spans="1:12" x14ac:dyDescent="0.3">
      <c r="A1932" s="1">
        <v>45210</v>
      </c>
      <c r="B1932" s="3">
        <f>YEAR(Tabla3[[#This Row],[Date]])</f>
        <v>2023</v>
      </c>
      <c r="C1932" s="1" t="str">
        <f>+TEXT(Tabla3[[#This Row],[Date]],"mmm")</f>
        <v>oct</v>
      </c>
      <c r="D1932" s="2">
        <v>1872.80004882812</v>
      </c>
      <c r="E1932" s="2">
        <v>1872.80004882812</v>
      </c>
      <c r="F1932" s="2">
        <v>1874.59997558593</v>
      </c>
      <c r="G1932" s="2">
        <v>1869.09997558593</v>
      </c>
      <c r="H1932" s="2">
        <v>1869.5</v>
      </c>
      <c r="I1932">
        <v>65</v>
      </c>
      <c r="J1932" s="2">
        <f ca="1">IFERROR((Tabla3[[#This Row],[Close]]-OFFSET(Tabla3[[#This Row],[Close]],-1,0))/OFFSET(Tabla3[[#This Row],[Close]],-1,0),"")</f>
        <v>6.3407032929177851E-3</v>
      </c>
      <c r="K1932" s="2">
        <f ca="1">IFERROR(AVERAGE(OFFSET(Tabla3[[#This Row],[Close]],-6,0,7)),"")</f>
        <v>1839.0285644531214</v>
      </c>
      <c r="L1932" s="2">
        <f ca="1">IFERROR(_xlfn.STDEV.S(OFFSET(Tabla3[[#This Row],[Close]],-29,0,30)),"")</f>
        <v>42.132648243757522</v>
      </c>
    </row>
    <row r="1933" spans="1:12" x14ac:dyDescent="0.3">
      <c r="A1933" s="1">
        <v>45211</v>
      </c>
      <c r="B1933" s="3">
        <f>YEAR(Tabla3[[#This Row],[Date]])</f>
        <v>2023</v>
      </c>
      <c r="C1933" s="1" t="str">
        <f>+TEXT(Tabla3[[#This Row],[Date]],"mmm")</f>
        <v>oct</v>
      </c>
      <c r="D1933" s="2">
        <v>1869.30004882812</v>
      </c>
      <c r="E1933" s="2">
        <v>1869.30004882812</v>
      </c>
      <c r="F1933" s="2">
        <v>1881.19995117187</v>
      </c>
      <c r="G1933" s="2">
        <v>1867</v>
      </c>
      <c r="H1933" s="2">
        <v>1874.69995117187</v>
      </c>
      <c r="I1933">
        <v>46</v>
      </c>
      <c r="J1933" s="2">
        <f ca="1">IFERROR((Tabla3[[#This Row],[Close]]-OFFSET(Tabla3[[#This Row],[Close]],-1,0))/OFFSET(Tabla3[[#This Row],[Close]],-1,0),"")</f>
        <v>-1.868859413043095E-3</v>
      </c>
      <c r="K1933" s="2">
        <f ca="1">IFERROR(AVERAGE(OFFSET(Tabla3[[#This Row],[Close]],-6,0,7)),"")</f>
        <v>1845.4142892020056</v>
      </c>
      <c r="L1933" s="2">
        <f ca="1">IFERROR(_xlfn.STDEV.S(OFFSET(Tabla3[[#This Row],[Close]],-29,0,30)),"")</f>
        <v>41.29023996741472</v>
      </c>
    </row>
    <row r="1934" spans="1:12" x14ac:dyDescent="0.3">
      <c r="A1934" s="1">
        <v>45212</v>
      </c>
      <c r="B1934" s="3">
        <f>YEAR(Tabla3[[#This Row],[Date]])</f>
        <v>2023</v>
      </c>
      <c r="C1934" s="1" t="str">
        <f>+TEXT(Tabla3[[#This Row],[Date]],"mmm")</f>
        <v>oct</v>
      </c>
      <c r="D1934" s="2">
        <v>1927.40002441406</v>
      </c>
      <c r="E1934" s="2">
        <v>1927.40002441406</v>
      </c>
      <c r="F1934" s="2">
        <v>1930.09997558593</v>
      </c>
      <c r="G1934" s="2">
        <v>1877.5</v>
      </c>
      <c r="H1934" s="2">
        <v>1877.5</v>
      </c>
      <c r="I1934">
        <v>43</v>
      </c>
      <c r="J1934" s="2">
        <f ca="1">IFERROR((Tabla3[[#This Row],[Close]]-OFFSET(Tabla3[[#This Row],[Close]],-1,0))/OFFSET(Tabla3[[#This Row],[Close]],-1,0),"")</f>
        <v>3.1081139500511629E-2</v>
      </c>
      <c r="K1934" s="2">
        <f ca="1">IFERROR(AVERAGE(OFFSET(Tabla3[[#This Row],[Close]],-6,0,7)),"")</f>
        <v>1860.9714355468714</v>
      </c>
      <c r="L1934" s="2">
        <f ca="1">IFERROR(_xlfn.STDEV.S(OFFSET(Tabla3[[#This Row],[Close]],-29,0,30)),"")</f>
        <v>40.918623956563167</v>
      </c>
    </row>
    <row r="1935" spans="1:12" x14ac:dyDescent="0.3">
      <c r="A1935" s="1">
        <v>45215</v>
      </c>
      <c r="B1935" s="3">
        <f>YEAR(Tabla3[[#This Row],[Date]])</f>
        <v>2023</v>
      </c>
      <c r="C1935" s="1" t="str">
        <f>+TEXT(Tabla3[[#This Row],[Date]],"mmm")</f>
        <v>oct</v>
      </c>
      <c r="D1935" s="2">
        <v>1921.09997558593</v>
      </c>
      <c r="E1935" s="2">
        <v>1921.09997558593</v>
      </c>
      <c r="F1935" s="2">
        <v>1921.09997558593</v>
      </c>
      <c r="G1935" s="2">
        <v>1910.30004882812</v>
      </c>
      <c r="H1935" s="2">
        <v>1910.40002441406</v>
      </c>
      <c r="I1935">
        <v>53</v>
      </c>
      <c r="J1935" s="2">
        <f ca="1">IFERROR((Tabla3[[#This Row],[Close]]-OFFSET(Tabla3[[#This Row],[Close]],-1,0))/OFFSET(Tabla3[[#This Row],[Close]],-1,0),"")</f>
        <v>-3.2686773624200048E-3</v>
      </c>
      <c r="K1935" s="2">
        <f ca="1">IFERROR(AVERAGE(OFFSET(Tabla3[[#This Row],[Close]],-6,0,7)),"")</f>
        <v>1875.9000069754427</v>
      </c>
      <c r="L1935" s="2">
        <f ca="1">IFERROR(_xlfn.STDEV.S(OFFSET(Tabla3[[#This Row],[Close]],-29,0,30)),"")</f>
        <v>40.29680909463481</v>
      </c>
    </row>
    <row r="1936" spans="1:12" x14ac:dyDescent="0.3">
      <c r="A1936" s="1">
        <v>45216</v>
      </c>
      <c r="B1936" s="3">
        <f>YEAR(Tabla3[[#This Row],[Date]])</f>
        <v>2023</v>
      </c>
      <c r="C1936" s="1" t="str">
        <f>+TEXT(Tabla3[[#This Row],[Date]],"mmm")</f>
        <v>oct</v>
      </c>
      <c r="D1936" s="2">
        <v>1922.69995117187</v>
      </c>
      <c r="E1936" s="2">
        <v>1922.69995117187</v>
      </c>
      <c r="F1936" s="2">
        <v>1925.80004882812</v>
      </c>
      <c r="G1936" s="2">
        <v>1914.30004882812</v>
      </c>
      <c r="H1936" s="2">
        <v>1914.30004882812</v>
      </c>
      <c r="I1936">
        <v>103</v>
      </c>
      <c r="J1936" s="2">
        <f ca="1">IFERROR((Tabla3[[#This Row],[Close]]-OFFSET(Tabla3[[#This Row],[Close]],-1,0))/OFFSET(Tabla3[[#This Row],[Close]],-1,0),"")</f>
        <v>8.3284347835776388E-4</v>
      </c>
      <c r="K1936" s="2">
        <f ca="1">IFERROR(AVERAGE(OFFSET(Tabla3[[#This Row],[Close]],-6,0,7)),"")</f>
        <v>1889.1142926897285</v>
      </c>
      <c r="L1936" s="2">
        <f ca="1">IFERROR(_xlfn.STDEV.S(OFFSET(Tabla3[[#This Row],[Close]],-29,0,30)),"")</f>
        <v>40.196265849364536</v>
      </c>
    </row>
    <row r="1937" spans="1:12" x14ac:dyDescent="0.3">
      <c r="A1937" s="1">
        <v>45217</v>
      </c>
      <c r="B1937" s="3">
        <f>YEAR(Tabla3[[#This Row],[Date]])</f>
        <v>2023</v>
      </c>
      <c r="C1937" s="1" t="str">
        <f>+TEXT(Tabla3[[#This Row],[Date]],"mmm")</f>
        <v>oct</v>
      </c>
      <c r="D1937" s="2">
        <v>1955.30004882812</v>
      </c>
      <c r="E1937" s="2">
        <v>1955.30004882812</v>
      </c>
      <c r="F1937" s="2">
        <v>1957.90002441406</v>
      </c>
      <c r="G1937" s="2">
        <v>1935</v>
      </c>
      <c r="H1937" s="2">
        <v>1935</v>
      </c>
      <c r="I1937">
        <v>67</v>
      </c>
      <c r="J1937" s="2">
        <f ca="1">IFERROR((Tabla3[[#This Row],[Close]]-OFFSET(Tabla3[[#This Row],[Close]],-1,0))/OFFSET(Tabla3[[#This Row],[Close]],-1,0),"")</f>
        <v>1.6955374465152769E-2</v>
      </c>
      <c r="K1937" s="2">
        <f ca="1">IFERROR(AVERAGE(OFFSET(Tabla3[[#This Row],[Close]],-6,0,7)),"")</f>
        <v>1904.2285853794599</v>
      </c>
      <c r="L1937" s="2">
        <f ca="1">IFERROR(_xlfn.STDEV.S(OFFSET(Tabla3[[#This Row],[Close]],-29,0,30)),"")</f>
        <v>41.614230632063475</v>
      </c>
    </row>
    <row r="1938" spans="1:12" x14ac:dyDescent="0.3">
      <c r="A1938" s="1">
        <v>45218</v>
      </c>
      <c r="B1938" s="3">
        <f>YEAR(Tabla3[[#This Row],[Date]])</f>
        <v>2023</v>
      </c>
      <c r="C1938" s="1" t="str">
        <f>+TEXT(Tabla3[[#This Row],[Date]],"mmm")</f>
        <v>oct</v>
      </c>
      <c r="D1938" s="2">
        <v>1968.40002441406</v>
      </c>
      <c r="E1938" s="2">
        <v>1968.40002441406</v>
      </c>
      <c r="F1938" s="2">
        <v>1977.69995117187</v>
      </c>
      <c r="G1938" s="2">
        <v>1945.69995117187</v>
      </c>
      <c r="H1938" s="2">
        <v>1950.09997558593</v>
      </c>
      <c r="I1938">
        <v>1945</v>
      </c>
      <c r="J1938" s="2">
        <f ca="1">IFERROR((Tabla3[[#This Row],[Close]]-OFFSET(Tabla3[[#This Row],[Close]],-1,0))/OFFSET(Tabla3[[#This Row],[Close]],-1,0),"")</f>
        <v>6.6997265170587383E-3</v>
      </c>
      <c r="K1938" s="2">
        <f ca="1">IFERROR(AVERAGE(OFFSET(Tabla3[[#This Row],[Close]],-6,0,7)),"")</f>
        <v>1919.5714460100401</v>
      </c>
      <c r="L1938" s="2">
        <f ca="1">IFERROR(_xlfn.STDEV.S(OFFSET(Tabla3[[#This Row],[Close]],-29,0,30)),"")</f>
        <v>43.672138834342171</v>
      </c>
    </row>
    <row r="1939" spans="1:12" x14ac:dyDescent="0.3">
      <c r="A1939" s="1">
        <v>45219</v>
      </c>
      <c r="B1939" s="3">
        <f>YEAR(Tabla3[[#This Row],[Date]])</f>
        <v>2023</v>
      </c>
      <c r="C1939" s="1" t="str">
        <f>+TEXT(Tabla3[[#This Row],[Date]],"mmm")</f>
        <v>oct</v>
      </c>
      <c r="D1939" s="2">
        <v>1982.5</v>
      </c>
      <c r="E1939" s="2">
        <v>1982.5</v>
      </c>
      <c r="F1939" s="2">
        <v>1988.59997558593</v>
      </c>
      <c r="G1939" s="2">
        <v>1980.40002441406</v>
      </c>
      <c r="H1939" s="2">
        <v>1981.09997558593</v>
      </c>
      <c r="I1939">
        <v>557</v>
      </c>
      <c r="J1939" s="2">
        <f ca="1">IFERROR((Tabla3[[#This Row],[Close]]-OFFSET(Tabla3[[#This Row],[Close]],-1,0))/OFFSET(Tabla3[[#This Row],[Close]],-1,0),"")</f>
        <v>7.1631657239677113E-3</v>
      </c>
      <c r="K1939" s="2">
        <f ca="1">IFERROR(AVERAGE(OFFSET(Tabla3[[#This Row],[Close]],-6,0,7)),"")</f>
        <v>1935.2428676060229</v>
      </c>
      <c r="L1939" s="2">
        <f ca="1">IFERROR(_xlfn.STDEV.S(OFFSET(Tabla3[[#This Row],[Close]],-29,0,30)),"")</f>
        <v>46.40005357103027</v>
      </c>
    </row>
    <row r="1940" spans="1:12" x14ac:dyDescent="0.3">
      <c r="A1940" s="1">
        <v>45222</v>
      </c>
      <c r="B1940" s="3">
        <f>YEAR(Tabla3[[#This Row],[Date]])</f>
        <v>2023</v>
      </c>
      <c r="C1940" s="1" t="str">
        <f>+TEXT(Tabla3[[#This Row],[Date]],"mmm")</f>
        <v>oct</v>
      </c>
      <c r="D1940" s="2">
        <v>1976.30004882812</v>
      </c>
      <c r="E1940" s="2">
        <v>1976.30004882812</v>
      </c>
      <c r="F1940" s="2">
        <v>1978.90002441406</v>
      </c>
      <c r="G1940" s="2">
        <v>1972.90002441406</v>
      </c>
      <c r="H1940" s="2">
        <v>1976.19995117187</v>
      </c>
      <c r="I1940">
        <v>127</v>
      </c>
      <c r="J1940" s="2">
        <f ca="1">IFERROR((Tabla3[[#This Row],[Close]]-OFFSET(Tabla3[[#This Row],[Close]],-1,0))/OFFSET(Tabla3[[#This Row],[Close]],-1,0),"")</f>
        <v>-3.1273398092711235E-3</v>
      </c>
      <c r="K1940" s="2">
        <f ca="1">IFERROR(AVERAGE(OFFSET(Tabla3[[#This Row],[Close]],-6,0,7)),"")</f>
        <v>1950.5285818917371</v>
      </c>
      <c r="L1940" s="2">
        <f ca="1">IFERROR(_xlfn.STDEV.S(OFFSET(Tabla3[[#This Row],[Close]],-29,0,30)),"")</f>
        <v>48.441884638472075</v>
      </c>
    </row>
    <row r="1941" spans="1:12" x14ac:dyDescent="0.3">
      <c r="A1941" s="1">
        <v>45223</v>
      </c>
      <c r="B1941" s="3">
        <f>YEAR(Tabla3[[#This Row],[Date]])</f>
        <v>2023</v>
      </c>
      <c r="C1941" s="1" t="str">
        <f>+TEXT(Tabla3[[#This Row],[Date]],"mmm")</f>
        <v>oct</v>
      </c>
      <c r="D1941" s="2">
        <v>1975</v>
      </c>
      <c r="E1941" s="2">
        <v>1975</v>
      </c>
      <c r="F1941" s="2">
        <v>1975</v>
      </c>
      <c r="G1941" s="2">
        <v>1970.30004882812</v>
      </c>
      <c r="H1941" s="2">
        <v>1970.30004882812</v>
      </c>
      <c r="I1941">
        <v>10</v>
      </c>
      <c r="J1941" s="2">
        <f ca="1">IFERROR((Tabla3[[#This Row],[Close]]-OFFSET(Tabla3[[#This Row],[Close]],-1,0))/OFFSET(Tabla3[[#This Row],[Close]],-1,0),"")</f>
        <v>-6.5781955978338579E-4</v>
      </c>
      <c r="K1941" s="2">
        <f ca="1">IFERROR(AVERAGE(OFFSET(Tabla3[[#This Row],[Close]],-6,0,7)),"")</f>
        <v>1957.328578404014</v>
      </c>
      <c r="L1941" s="2">
        <f ca="1">IFERROR(_xlfn.STDEV.S(OFFSET(Tabla3[[#This Row],[Close]],-29,0,30)),"")</f>
        <v>50.414323845687505</v>
      </c>
    </row>
    <row r="1942" spans="1:12" x14ac:dyDescent="0.3">
      <c r="A1942" s="1">
        <v>45224</v>
      </c>
      <c r="B1942" s="3">
        <f>YEAR(Tabla3[[#This Row],[Date]])</f>
        <v>2023</v>
      </c>
      <c r="C1942" s="1" t="str">
        <f>+TEXT(Tabla3[[#This Row],[Date]],"mmm")</f>
        <v>oct</v>
      </c>
      <c r="D1942" s="2">
        <v>1984.09997558593</v>
      </c>
      <c r="E1942" s="2">
        <v>1984.09997558593</v>
      </c>
      <c r="F1942" s="2">
        <v>1985.30004882812</v>
      </c>
      <c r="G1942" s="2">
        <v>1971.19995117187</v>
      </c>
      <c r="H1942" s="2">
        <v>1971.19995117187</v>
      </c>
      <c r="I1942">
        <v>97</v>
      </c>
      <c r="J1942" s="2">
        <f ca="1">IFERROR((Tabla3[[#This Row],[Close]]-OFFSET(Tabla3[[#This Row],[Close]],-1,0))/OFFSET(Tabla3[[#This Row],[Close]],-1,0),"")</f>
        <v>4.6075825751544291E-3</v>
      </c>
      <c r="K1942" s="2">
        <f ca="1">IFERROR(AVERAGE(OFFSET(Tabla3[[#This Row],[Close]],-6,0,7)),"")</f>
        <v>1966.3285784040143</v>
      </c>
      <c r="L1942" s="2">
        <f ca="1">IFERROR(_xlfn.STDEV.S(OFFSET(Tabla3[[#This Row],[Close]],-29,0,30)),"")</f>
        <v>52.697907476554938</v>
      </c>
    </row>
    <row r="1943" spans="1:12" x14ac:dyDescent="0.3">
      <c r="A1943" s="1">
        <v>45225</v>
      </c>
      <c r="B1943" s="3">
        <f>YEAR(Tabla3[[#This Row],[Date]])</f>
        <v>2023</v>
      </c>
      <c r="C1943" s="1" t="str">
        <f>+TEXT(Tabla3[[#This Row],[Date]],"mmm")</f>
        <v>oct</v>
      </c>
      <c r="D1943" s="2">
        <v>1987.19995117187</v>
      </c>
      <c r="E1943" s="2">
        <v>1987.19995117187</v>
      </c>
      <c r="F1943" s="2">
        <v>1988.19995117187</v>
      </c>
      <c r="G1943" s="2">
        <v>1980.40002441406</v>
      </c>
      <c r="H1943" s="2">
        <v>1988.19995117187</v>
      </c>
      <c r="I1943">
        <v>521</v>
      </c>
      <c r="J1943" s="2">
        <f ca="1">IFERROR((Tabla3[[#This Row],[Close]]-OFFSET(Tabla3[[#This Row],[Close]],-1,0))/OFFSET(Tabla3[[#This Row],[Close]],-1,0),"")</f>
        <v>1.5624089633006215E-3</v>
      </c>
      <c r="K1943" s="2">
        <f ca="1">IFERROR(AVERAGE(OFFSET(Tabla3[[#This Row],[Close]],-6,0,7)),"")</f>
        <v>1975.5428641183</v>
      </c>
      <c r="L1943" s="2">
        <f ca="1">IFERROR(_xlfn.STDEV.S(OFFSET(Tabla3[[#This Row],[Close]],-29,0,30)),"")</f>
        <v>54.92344132203565</v>
      </c>
    </row>
    <row r="1944" spans="1:12" x14ac:dyDescent="0.3">
      <c r="A1944" s="1">
        <v>45226</v>
      </c>
      <c r="B1944" s="3">
        <f>YEAR(Tabla3[[#This Row],[Date]])</f>
        <v>2023</v>
      </c>
      <c r="C1944" s="1" t="str">
        <f>+TEXT(Tabla3[[#This Row],[Date]],"mmm")</f>
        <v>oct</v>
      </c>
      <c r="D1944" s="2">
        <v>1988.59997558593</v>
      </c>
      <c r="E1944" s="2">
        <v>1988.59997558593</v>
      </c>
      <c r="F1944" s="2">
        <v>1988.59997558593</v>
      </c>
      <c r="G1944" s="2">
        <v>1988.59997558593</v>
      </c>
      <c r="H1944" s="2">
        <v>1988.59997558593</v>
      </c>
      <c r="I1944">
        <v>372</v>
      </c>
      <c r="J1944" s="2">
        <f ca="1">IFERROR((Tabla3[[#This Row],[Close]]-OFFSET(Tabla3[[#This Row],[Close]],-1,0))/OFFSET(Tabla3[[#This Row],[Close]],-1,0),"")</f>
        <v>7.0452115965199762E-4</v>
      </c>
      <c r="K1944" s="2">
        <f ca="1">IFERROR(AVERAGE(OFFSET(Tabla3[[#This Row],[Close]],-6,0,7)),"")</f>
        <v>1980.2999965122729</v>
      </c>
      <c r="L1944" s="2">
        <f ca="1">IFERROR(_xlfn.STDEV.S(OFFSET(Tabla3[[#This Row],[Close]],-29,0,30)),"")</f>
        <v>56.930930818272124</v>
      </c>
    </row>
    <row r="1945" spans="1:12" x14ac:dyDescent="0.3">
      <c r="A1945" s="1">
        <v>45229</v>
      </c>
      <c r="B1945" s="3">
        <f>YEAR(Tabla3[[#This Row],[Date]])</f>
        <v>2023</v>
      </c>
      <c r="C1945" s="1" t="str">
        <f>+TEXT(Tabla3[[#This Row],[Date]],"mmm")</f>
        <v>oct</v>
      </c>
      <c r="D1945" s="2">
        <v>1996.19995117187</v>
      </c>
      <c r="E1945" s="2">
        <v>1996.19995117187</v>
      </c>
      <c r="F1945" s="2">
        <v>2004.09997558593</v>
      </c>
      <c r="G1945" s="2">
        <v>1992.5</v>
      </c>
      <c r="H1945" s="2">
        <v>2004.09997558593</v>
      </c>
      <c r="I1945">
        <v>157</v>
      </c>
      <c r="J1945" s="2">
        <f ca="1">IFERROR((Tabla3[[#This Row],[Close]]-OFFSET(Tabla3[[#This Row],[Close]],-1,0))/OFFSET(Tabla3[[#This Row],[Close]],-1,0),"")</f>
        <v>3.8217719396786728E-3</v>
      </c>
      <c r="K1945" s="2">
        <f ca="1">IFERROR(AVERAGE(OFFSET(Tabla3[[#This Row],[Close]],-6,0,7)),"")</f>
        <v>1984.2714146205312</v>
      </c>
      <c r="L1945" s="2">
        <f ca="1">IFERROR(_xlfn.STDEV.S(OFFSET(Tabla3[[#This Row],[Close]],-29,0,30)),"")</f>
        <v>59.073725384013677</v>
      </c>
    </row>
    <row r="1946" spans="1:12" x14ac:dyDescent="0.3">
      <c r="A1946" s="1">
        <v>45230</v>
      </c>
      <c r="B1946" s="3">
        <f>YEAR(Tabla3[[#This Row],[Date]])</f>
        <v>2023</v>
      </c>
      <c r="C1946" s="1" t="str">
        <f>+TEXT(Tabla3[[#This Row],[Date]],"mmm")</f>
        <v>oct</v>
      </c>
      <c r="D1946" s="2">
        <v>1985.19995117187</v>
      </c>
      <c r="E1946" s="2">
        <v>1985.19995117187</v>
      </c>
      <c r="F1946" s="2">
        <v>2001</v>
      </c>
      <c r="G1946" s="2">
        <v>1983.69995117187</v>
      </c>
      <c r="H1946" s="2">
        <v>1996.5</v>
      </c>
      <c r="I1946">
        <v>84</v>
      </c>
      <c r="J1946" s="2">
        <f ca="1">IFERROR((Tabla3[[#This Row],[Close]]-OFFSET(Tabla3[[#This Row],[Close]],-1,0))/OFFSET(Tabla3[[#This Row],[Close]],-1,0),"")</f>
        <v>-5.5104700275853853E-3</v>
      </c>
      <c r="K1946" s="2">
        <f ca="1">IFERROR(AVERAGE(OFFSET(Tabla3[[#This Row],[Close]],-6,0,7)),"")</f>
        <v>1984.6571219307984</v>
      </c>
      <c r="L1946" s="2">
        <f ca="1">IFERROR(_xlfn.STDEV.S(OFFSET(Tabla3[[#This Row],[Close]],-29,0,30)),"")</f>
        <v>60.560921117409748</v>
      </c>
    </row>
    <row r="1947" spans="1:12" x14ac:dyDescent="0.3">
      <c r="A1947" s="1">
        <v>45231</v>
      </c>
      <c r="B1947" s="3">
        <f>YEAR(Tabla3[[#This Row],[Date]])</f>
        <v>2023</v>
      </c>
      <c r="C1947" s="1" t="str">
        <f>+TEXT(Tabla3[[#This Row],[Date]],"mmm")</f>
        <v>nov</v>
      </c>
      <c r="D1947" s="2">
        <v>1978.80004882812</v>
      </c>
      <c r="E1947" s="2">
        <v>1978.80004882812</v>
      </c>
      <c r="F1947" s="2">
        <v>1990.5</v>
      </c>
      <c r="G1947" s="2">
        <v>1977.80004882812</v>
      </c>
      <c r="H1947" s="2">
        <v>1990.5</v>
      </c>
      <c r="I1947">
        <v>41</v>
      </c>
      <c r="J1947" s="2">
        <f ca="1">IFERROR((Tabla3[[#This Row],[Close]]-OFFSET(Tabla3[[#This Row],[Close]],-1,0))/OFFSET(Tabla3[[#This Row],[Close]],-1,0),"")</f>
        <v>-3.2238074255301671E-3</v>
      </c>
      <c r="K1947" s="2">
        <f ca="1">IFERROR(AVERAGE(OFFSET(Tabla3[[#This Row],[Close]],-6,0,7)),"")</f>
        <v>1985.0142647879413</v>
      </c>
      <c r="L1947" s="2">
        <f ca="1">IFERROR(_xlfn.STDEV.S(OFFSET(Tabla3[[#This Row],[Close]],-29,0,30)),"")</f>
        <v>61.511008195092792</v>
      </c>
    </row>
    <row r="1948" spans="1:12" x14ac:dyDescent="0.3">
      <c r="A1948" s="1">
        <v>45232</v>
      </c>
      <c r="B1948" s="3">
        <f>YEAR(Tabla3[[#This Row],[Date]])</f>
        <v>2023</v>
      </c>
      <c r="C1948" s="1" t="str">
        <f>+TEXT(Tabla3[[#This Row],[Date]],"mmm")</f>
        <v>nov</v>
      </c>
      <c r="D1948" s="2">
        <v>1985.59997558593</v>
      </c>
      <c r="E1948" s="2">
        <v>1985.59997558593</v>
      </c>
      <c r="F1948" s="2">
        <v>1990.30004882812</v>
      </c>
      <c r="G1948" s="2">
        <v>1979.5</v>
      </c>
      <c r="H1948" s="2">
        <v>1989.09997558593</v>
      </c>
      <c r="I1948">
        <v>39</v>
      </c>
      <c r="J1948" s="2">
        <f ca="1">IFERROR((Tabla3[[#This Row],[Close]]-OFFSET(Tabla3[[#This Row],[Close]],-1,0))/OFFSET(Tabla3[[#This Row],[Close]],-1,0),"")</f>
        <v>3.4363890186060154E-3</v>
      </c>
      <c r="K1948" s="2">
        <f ca="1">IFERROR(AVERAGE(OFFSET(Tabla3[[#This Row],[Close]],-6,0,7)),"")</f>
        <v>1986.5285470145027</v>
      </c>
      <c r="L1948" s="2">
        <f ca="1">IFERROR(_xlfn.STDEV.S(OFFSET(Tabla3[[#This Row],[Close]],-29,0,30)),"")</f>
        <v>62.953018045363187</v>
      </c>
    </row>
    <row r="1949" spans="1:12" x14ac:dyDescent="0.3">
      <c r="A1949" s="1">
        <v>45233</v>
      </c>
      <c r="B1949" s="3">
        <f>YEAR(Tabla3[[#This Row],[Date]])</f>
        <v>2023</v>
      </c>
      <c r="C1949" s="1" t="str">
        <f>+TEXT(Tabla3[[#This Row],[Date]],"mmm")</f>
        <v>nov</v>
      </c>
      <c r="D1949" s="2">
        <v>1991.5</v>
      </c>
      <c r="E1949" s="2">
        <v>1991.5</v>
      </c>
      <c r="F1949" s="2">
        <v>1991.5</v>
      </c>
      <c r="G1949" s="2">
        <v>1989</v>
      </c>
      <c r="H1949" s="2">
        <v>1989</v>
      </c>
      <c r="I1949">
        <v>12</v>
      </c>
      <c r="J1949" s="2">
        <f ca="1">IFERROR((Tabla3[[#This Row],[Close]]-OFFSET(Tabla3[[#This Row],[Close]],-1,0))/OFFSET(Tabla3[[#This Row],[Close]],-1,0),"")</f>
        <v>2.9714063691650516E-3</v>
      </c>
      <c r="K1949" s="2">
        <f ca="1">IFERROR(AVERAGE(OFFSET(Tabla3[[#This Row],[Close]],-6,0,7)),"")</f>
        <v>1987.5856933593698</v>
      </c>
      <c r="L1949" s="2">
        <f ca="1">IFERROR(_xlfn.STDEV.S(OFFSET(Tabla3[[#This Row],[Close]],-29,0,30)),"")</f>
        <v>64.492346230240884</v>
      </c>
    </row>
    <row r="1950" spans="1:12" x14ac:dyDescent="0.3">
      <c r="A1950" s="1">
        <v>45236</v>
      </c>
      <c r="B1950" s="3">
        <f>YEAR(Tabla3[[#This Row],[Date]])</f>
        <v>2023</v>
      </c>
      <c r="C1950" s="1" t="str">
        <f>+TEXT(Tabla3[[#This Row],[Date]],"mmm")</f>
        <v>nov</v>
      </c>
      <c r="D1950" s="2">
        <v>1981.59997558593</v>
      </c>
      <c r="E1950" s="2">
        <v>1981.59997558593</v>
      </c>
      <c r="F1950" s="2">
        <v>1981.59997558593</v>
      </c>
      <c r="G1950" s="2">
        <v>1977.40002441406</v>
      </c>
      <c r="H1950" s="2">
        <v>1981.59997558593</v>
      </c>
      <c r="I1950">
        <v>130</v>
      </c>
      <c r="J1950" s="2">
        <f ca="1">IFERROR((Tabla3[[#This Row],[Close]]-OFFSET(Tabla3[[#This Row],[Close]],-1,0))/OFFSET(Tabla3[[#This Row],[Close]],-1,0),"")</f>
        <v>-4.9711395501230247E-3</v>
      </c>
      <c r="K1950" s="2">
        <f ca="1">IFERROR(AVERAGE(OFFSET(Tabla3[[#This Row],[Close]],-6,0,7)),"")</f>
        <v>1986.7856968470928</v>
      </c>
      <c r="L1950" s="2">
        <f ca="1">IFERROR(_xlfn.STDEV.S(OFFSET(Tabla3[[#This Row],[Close]],-29,0,30)),"")</f>
        <v>65.577965259918045</v>
      </c>
    </row>
    <row r="1951" spans="1:12" x14ac:dyDescent="0.3">
      <c r="A1951" s="1">
        <v>45237</v>
      </c>
      <c r="B1951" s="3">
        <f>YEAR(Tabla3[[#This Row],[Date]])</f>
        <v>2023</v>
      </c>
      <c r="C1951" s="1" t="str">
        <f>+TEXT(Tabla3[[#This Row],[Date]],"mmm")</f>
        <v>nov</v>
      </c>
      <c r="D1951" s="2">
        <v>1966.80004882812</v>
      </c>
      <c r="E1951" s="2">
        <v>1966.80004882812</v>
      </c>
      <c r="F1951" s="2">
        <v>1966.80004882812</v>
      </c>
      <c r="G1951" s="2">
        <v>1960.69995117187</v>
      </c>
      <c r="H1951" s="2">
        <v>1966.5</v>
      </c>
      <c r="I1951">
        <v>20</v>
      </c>
      <c r="J1951" s="2">
        <f ca="1">IFERROR((Tabla3[[#This Row],[Close]]-OFFSET(Tabla3[[#This Row],[Close]],-1,0))/OFFSET(Tabla3[[#This Row],[Close]],-1,0),"")</f>
        <v>-7.4686752826759991E-3</v>
      </c>
      <c r="K1951" s="2">
        <f ca="1">IFERROR(AVERAGE(OFFSET(Tabla3[[#This Row],[Close]],-6,0,7)),"")</f>
        <v>1983.6714215959771</v>
      </c>
      <c r="L1951" s="2">
        <f ca="1">IFERROR(_xlfn.STDEV.S(OFFSET(Tabla3[[#This Row],[Close]],-29,0,30)),"")</f>
        <v>66.058383353021398</v>
      </c>
    </row>
    <row r="1952" spans="1:12" x14ac:dyDescent="0.3">
      <c r="A1952" s="1">
        <v>45238</v>
      </c>
      <c r="B1952" s="3">
        <f>YEAR(Tabla3[[#This Row],[Date]])</f>
        <v>2023</v>
      </c>
      <c r="C1952" s="1" t="str">
        <f>+TEXT(Tabla3[[#This Row],[Date]],"mmm")</f>
        <v>nov</v>
      </c>
      <c r="D1952" s="2">
        <v>1951.5</v>
      </c>
      <c r="E1952" s="2">
        <v>1951.5</v>
      </c>
      <c r="F1952" s="2">
        <v>1967.80004882812</v>
      </c>
      <c r="G1952" s="2">
        <v>1947.69995117187</v>
      </c>
      <c r="H1952" s="2">
        <v>1967.80004882812</v>
      </c>
      <c r="I1952">
        <v>43</v>
      </c>
      <c r="J1952" s="2">
        <f ca="1">IFERROR((Tabla3[[#This Row],[Close]]-OFFSET(Tabla3[[#This Row],[Close]],-1,0))/OFFSET(Tabla3[[#This Row],[Close]],-1,0),"")</f>
        <v>-7.7791582511075475E-3</v>
      </c>
      <c r="K1952" s="2">
        <f ca="1">IFERROR(AVERAGE(OFFSET(Tabla3[[#This Row],[Close]],-6,0,7)),"")</f>
        <v>1977.2857142857099</v>
      </c>
      <c r="L1952" s="2">
        <f ca="1">IFERROR(_xlfn.STDEV.S(OFFSET(Tabla3[[#This Row],[Close]],-29,0,30)),"")</f>
        <v>65.611497794326652</v>
      </c>
    </row>
    <row r="1953" spans="1:12" x14ac:dyDescent="0.3">
      <c r="A1953" s="1">
        <v>45239</v>
      </c>
      <c r="B1953" s="3">
        <f>YEAR(Tabla3[[#This Row],[Date]])</f>
        <v>2023</v>
      </c>
      <c r="C1953" s="1" t="str">
        <f>+TEXT(Tabla3[[#This Row],[Date]],"mmm")</f>
        <v>nov</v>
      </c>
      <c r="D1953" s="2">
        <v>1964.19995117187</v>
      </c>
      <c r="E1953" s="2">
        <v>1964.19995117187</v>
      </c>
      <c r="F1953" s="2">
        <v>1964.19995117187</v>
      </c>
      <c r="G1953" s="2">
        <v>1945.30004882812</v>
      </c>
      <c r="H1953" s="2">
        <v>1951.69995117187</v>
      </c>
      <c r="I1953">
        <v>10</v>
      </c>
      <c r="J1953" s="2">
        <f ca="1">IFERROR((Tabla3[[#This Row],[Close]]-OFFSET(Tabla3[[#This Row],[Close]],-1,0))/OFFSET(Tabla3[[#This Row],[Close]],-1,0),"")</f>
        <v>6.5077894808455022E-3</v>
      </c>
      <c r="K1953" s="2">
        <f ca="1">IFERROR(AVERAGE(OFFSET(Tabla3[[#This Row],[Close]],-6,0,7)),"")</f>
        <v>1974.2857142857099</v>
      </c>
      <c r="L1953" s="2">
        <f ca="1">IFERROR(_xlfn.STDEV.S(OFFSET(Tabla3[[#This Row],[Close]],-29,0,30)),"")</f>
        <v>64.898984310244799</v>
      </c>
    </row>
    <row r="1954" spans="1:12" x14ac:dyDescent="0.3">
      <c r="A1954" s="1">
        <v>45240</v>
      </c>
      <c r="B1954" s="3">
        <f>YEAR(Tabla3[[#This Row],[Date]])</f>
        <v>2023</v>
      </c>
      <c r="C1954" s="1" t="str">
        <f>+TEXT(Tabla3[[#This Row],[Date]],"mmm")</f>
        <v>nov</v>
      </c>
      <c r="D1954" s="2">
        <v>1932.59997558593</v>
      </c>
      <c r="E1954" s="2">
        <v>1932.59997558593</v>
      </c>
      <c r="F1954" s="2">
        <v>1959.59997558593</v>
      </c>
      <c r="G1954" s="2">
        <v>1932.59997558593</v>
      </c>
      <c r="H1954" s="2">
        <v>1959.59997558593</v>
      </c>
      <c r="I1954">
        <v>375</v>
      </c>
      <c r="J1954" s="2">
        <f ca="1">IFERROR((Tabla3[[#This Row],[Close]]-OFFSET(Tabla3[[#This Row],[Close]],-1,0))/OFFSET(Tabla3[[#This Row],[Close]],-1,0),"")</f>
        <v>-1.6087962718401964E-2</v>
      </c>
      <c r="K1954" s="2">
        <f ca="1">IFERROR(AVERAGE(OFFSET(Tabla3[[#This Row],[Close]],-6,0,7)),"")</f>
        <v>1967.6857038225401</v>
      </c>
      <c r="L1954" s="2">
        <f ca="1">IFERROR(_xlfn.STDEV.S(OFFSET(Tabla3[[#This Row],[Close]],-29,0,30)),"")</f>
        <v>63.166235288850295</v>
      </c>
    </row>
    <row r="1955" spans="1:12" x14ac:dyDescent="0.3">
      <c r="A1955" s="1">
        <v>45243</v>
      </c>
      <c r="B1955" s="3">
        <f>YEAR(Tabla3[[#This Row],[Date]])</f>
        <v>2023</v>
      </c>
      <c r="C1955" s="1" t="str">
        <f>+TEXT(Tabla3[[#This Row],[Date]],"mmm")</f>
        <v>nov</v>
      </c>
      <c r="D1955" s="2">
        <v>1945.5</v>
      </c>
      <c r="E1955" s="2">
        <v>1945.5</v>
      </c>
      <c r="F1955" s="2">
        <v>1947.19995117187</v>
      </c>
      <c r="G1955" s="2">
        <v>1934</v>
      </c>
      <c r="H1955" s="2">
        <v>1939.90002441406</v>
      </c>
      <c r="I1955">
        <v>191</v>
      </c>
      <c r="J1955" s="2">
        <f ca="1">IFERROR((Tabla3[[#This Row],[Close]]-OFFSET(Tabla3[[#This Row],[Close]],-1,0))/OFFSET(Tabla3[[#This Row],[Close]],-1,0),"")</f>
        <v>6.6749583861289994E-3</v>
      </c>
      <c r="K1955" s="2">
        <f ca="1">IFERROR(AVERAGE(OFFSET(Tabla3[[#This Row],[Close]],-6,0,7)),"")</f>
        <v>1961.9571358816927</v>
      </c>
      <c r="L1955" s="2">
        <f ca="1">IFERROR(_xlfn.STDEV.S(OFFSET(Tabla3[[#This Row],[Close]],-29,0,30)),"")</f>
        <v>60.327420215067903</v>
      </c>
    </row>
    <row r="1956" spans="1:12" x14ac:dyDescent="0.3">
      <c r="A1956" s="1">
        <v>45244</v>
      </c>
      <c r="B1956" s="3">
        <f>YEAR(Tabla3[[#This Row],[Date]])</f>
        <v>2023</v>
      </c>
      <c r="C1956" s="1" t="str">
        <f>+TEXT(Tabla3[[#This Row],[Date]],"mmm")</f>
        <v>nov</v>
      </c>
      <c r="D1956" s="2">
        <v>1961.80004882812</v>
      </c>
      <c r="E1956" s="2">
        <v>1961.80004882812</v>
      </c>
      <c r="F1956" s="2">
        <v>1965.80004882812</v>
      </c>
      <c r="G1956" s="2">
        <v>1961.80004882812</v>
      </c>
      <c r="H1956" s="2">
        <v>1965.80004882812</v>
      </c>
      <c r="I1956">
        <v>2</v>
      </c>
      <c r="J1956" s="2">
        <f ca="1">IFERROR((Tabla3[[#This Row],[Close]]-OFFSET(Tabla3[[#This Row],[Close]],-1,0))/OFFSET(Tabla3[[#This Row],[Close]],-1,0),"")</f>
        <v>8.3783340159958863E-3</v>
      </c>
      <c r="K1956" s="2">
        <f ca="1">IFERROR(AVERAGE(OFFSET(Tabla3[[#This Row],[Close]],-6,0,7)),"")</f>
        <v>1957.7142857142812</v>
      </c>
      <c r="L1956" s="2">
        <f ca="1">IFERROR(_xlfn.STDEV.S(OFFSET(Tabla3[[#This Row],[Close]],-29,0,30)),"")</f>
        <v>56.874188644931436</v>
      </c>
    </row>
    <row r="1957" spans="1:12" x14ac:dyDescent="0.3">
      <c r="A1957" s="1">
        <v>45245</v>
      </c>
      <c r="B1957" s="3">
        <f>YEAR(Tabla3[[#This Row],[Date]])</f>
        <v>2023</v>
      </c>
      <c r="C1957" s="1" t="str">
        <f>+TEXT(Tabla3[[#This Row],[Date]],"mmm")</f>
        <v>nov</v>
      </c>
      <c r="D1957" s="2">
        <v>1960.09997558593</v>
      </c>
      <c r="E1957" s="2">
        <v>1960.09997558593</v>
      </c>
      <c r="F1957" s="2">
        <v>1962.80004882812</v>
      </c>
      <c r="G1957" s="2">
        <v>1960</v>
      </c>
      <c r="H1957" s="2">
        <v>1962.80004882812</v>
      </c>
      <c r="I1957">
        <v>6</v>
      </c>
      <c r="J1957" s="2">
        <f ca="1">IFERROR((Tabla3[[#This Row],[Close]]-OFFSET(Tabla3[[#This Row],[Close]],-1,0))/OFFSET(Tabla3[[#This Row],[Close]],-1,0),"")</f>
        <v>-8.6658843912535268E-4</v>
      </c>
      <c r="K1957" s="2">
        <f ca="1">IFERROR(AVERAGE(OFFSET(Tabla3[[#This Row],[Close]],-6,0,7)),"")</f>
        <v>1954.6428571428528</v>
      </c>
      <c r="L1957" s="2">
        <f ca="1">IFERROR(_xlfn.STDEV.S(OFFSET(Tabla3[[#This Row],[Close]],-29,0,30)),"")</f>
        <v>52.282951181124744</v>
      </c>
    </row>
    <row r="1958" spans="1:12" x14ac:dyDescent="0.3">
      <c r="A1958" s="1">
        <v>45246</v>
      </c>
      <c r="B1958" s="3">
        <f>YEAR(Tabla3[[#This Row],[Date]])</f>
        <v>2023</v>
      </c>
      <c r="C1958" s="1" t="str">
        <f>+TEXT(Tabla3[[#This Row],[Date]],"mmm")</f>
        <v>nov</v>
      </c>
      <c r="D1958" s="2">
        <v>1983.90002441406</v>
      </c>
      <c r="E1958" s="2">
        <v>1983.90002441406</v>
      </c>
      <c r="F1958" s="2">
        <v>1983.90002441406</v>
      </c>
      <c r="G1958" s="2">
        <v>1964.59997558593</v>
      </c>
      <c r="H1958" s="2">
        <v>1965.30004882812</v>
      </c>
      <c r="I1958">
        <v>39</v>
      </c>
      <c r="J1958" s="2">
        <f ca="1">IFERROR((Tabla3[[#This Row],[Close]]-OFFSET(Tabla3[[#This Row],[Close]],-1,0))/OFFSET(Tabla3[[#This Row],[Close]],-1,0),"")</f>
        <v>1.2142262703215169E-2</v>
      </c>
      <c r="K1958" s="2">
        <f ca="1">IFERROR(AVERAGE(OFFSET(Tabla3[[#This Row],[Close]],-6,0,7)),"")</f>
        <v>1957.0857107979871</v>
      </c>
      <c r="L1958" s="2">
        <f ca="1">IFERROR(_xlfn.STDEV.S(OFFSET(Tabla3[[#This Row],[Close]],-29,0,30)),"")</f>
        <v>46.992759743294606</v>
      </c>
    </row>
    <row r="1959" spans="1:12" x14ac:dyDescent="0.3">
      <c r="A1959" s="1">
        <v>45247</v>
      </c>
      <c r="B1959" s="3">
        <f>YEAR(Tabla3[[#This Row],[Date]])</f>
        <v>2023</v>
      </c>
      <c r="C1959" s="1" t="str">
        <f>+TEXT(Tabla3[[#This Row],[Date]],"mmm")</f>
        <v>nov</v>
      </c>
      <c r="D1959" s="2">
        <v>1981.59997558593</v>
      </c>
      <c r="E1959" s="2">
        <v>1981.59997558593</v>
      </c>
      <c r="F1959" s="2">
        <v>1984</v>
      </c>
      <c r="G1959" s="2">
        <v>1979.80004882812</v>
      </c>
      <c r="H1959" s="2">
        <v>1982.5</v>
      </c>
      <c r="I1959">
        <v>32</v>
      </c>
      <c r="J1959" s="2">
        <f ca="1">IFERROR((Tabla3[[#This Row],[Close]]-OFFSET(Tabla3[[#This Row],[Close]],-1,0))/OFFSET(Tabla3[[#This Row],[Close]],-1,0),"")</f>
        <v>-1.1593572255786005E-3</v>
      </c>
      <c r="K1959" s="2">
        <f ca="1">IFERROR(AVERAGE(OFFSET(Tabla3[[#This Row],[Close]],-6,0,7)),"")</f>
        <v>1961.3857073102629</v>
      </c>
      <c r="L1959" s="2">
        <f ca="1">IFERROR(_xlfn.STDEV.S(OFFSET(Tabla3[[#This Row],[Close]],-29,0,30)),"")</f>
        <v>41.672263021700651</v>
      </c>
    </row>
    <row r="1960" spans="1:12" x14ac:dyDescent="0.3">
      <c r="A1960" s="1">
        <v>45250</v>
      </c>
      <c r="B1960" s="3">
        <f>YEAR(Tabla3[[#This Row],[Date]])</f>
        <v>2023</v>
      </c>
      <c r="C1960" s="1" t="str">
        <f>+TEXT(Tabla3[[#This Row],[Date]],"mmm")</f>
        <v>nov</v>
      </c>
      <c r="D1960" s="2">
        <v>1977.69995117187</v>
      </c>
      <c r="E1960" s="2">
        <v>1977.69995117187</v>
      </c>
      <c r="F1960" s="2">
        <v>1979.40002441406</v>
      </c>
      <c r="G1960" s="2">
        <v>1969.69995117187</v>
      </c>
      <c r="H1960" s="2">
        <v>1978.69995117187</v>
      </c>
      <c r="I1960">
        <v>182</v>
      </c>
      <c r="J1960" s="2">
        <f ca="1">IFERROR((Tabla3[[#This Row],[Close]]-OFFSET(Tabla3[[#This Row],[Close]],-1,0))/OFFSET(Tabla3[[#This Row],[Close]],-1,0),"")</f>
        <v>-1.968118925166427E-3</v>
      </c>
      <c r="K1960" s="2">
        <f ca="1">IFERROR(AVERAGE(OFFSET(Tabla3[[#This Row],[Close]],-6,0,7)),"")</f>
        <v>1963.3142787388344</v>
      </c>
      <c r="L1960" s="2">
        <f ca="1">IFERROR(_xlfn.STDEV.S(OFFSET(Tabla3[[#This Row],[Close]],-29,0,30)),"")</f>
        <v>36.932393933414183</v>
      </c>
    </row>
    <row r="1961" spans="1:12" x14ac:dyDescent="0.3">
      <c r="A1961" s="1">
        <v>45251</v>
      </c>
      <c r="B1961" s="3">
        <f>YEAR(Tabla3[[#This Row],[Date]])</f>
        <v>2023</v>
      </c>
      <c r="C1961" s="1" t="str">
        <f>+TEXT(Tabla3[[#This Row],[Date]],"mmm")</f>
        <v>nov</v>
      </c>
      <c r="D1961" s="2">
        <v>1999.30004882812</v>
      </c>
      <c r="E1961" s="2">
        <v>1999.30004882812</v>
      </c>
      <c r="F1961" s="2">
        <v>2005.5</v>
      </c>
      <c r="G1961" s="2">
        <v>1988.5</v>
      </c>
      <c r="H1961" s="2">
        <v>1990.69995117187</v>
      </c>
      <c r="I1961">
        <v>16</v>
      </c>
      <c r="J1961" s="2">
        <f ca="1">IFERROR((Tabla3[[#This Row],[Close]]-OFFSET(Tabla3[[#This Row],[Close]],-1,0))/OFFSET(Tabla3[[#This Row],[Close]],-1,0),"")</f>
        <v>1.0921827471073677E-2</v>
      </c>
      <c r="K1961" s="2">
        <f ca="1">IFERROR(AVERAGE(OFFSET(Tabla3[[#This Row],[Close]],-6,0,7)),"")</f>
        <v>1972.8428606305754</v>
      </c>
      <c r="L1961" s="2">
        <f ca="1">IFERROR(_xlfn.STDEV.S(OFFSET(Tabla3[[#This Row],[Close]],-29,0,30)),"")</f>
        <v>32.826238032845644</v>
      </c>
    </row>
    <row r="1962" spans="1:12" x14ac:dyDescent="0.3">
      <c r="A1962" s="1">
        <v>45252</v>
      </c>
      <c r="B1962" s="3">
        <f>YEAR(Tabla3[[#This Row],[Date]])</f>
        <v>2023</v>
      </c>
      <c r="C1962" s="1" t="str">
        <f>+TEXT(Tabla3[[#This Row],[Date]],"mmm")</f>
        <v>nov</v>
      </c>
      <c r="D1962" s="2">
        <v>1991.40002441406</v>
      </c>
      <c r="E1962" s="2">
        <v>1991.40002441406</v>
      </c>
      <c r="F1962" s="2">
        <v>1999.40002441406</v>
      </c>
      <c r="G1962" s="2">
        <v>1991</v>
      </c>
      <c r="H1962" s="2">
        <v>1999.09997558593</v>
      </c>
      <c r="I1962">
        <v>6075</v>
      </c>
      <c r="J1962" s="2">
        <f ca="1">IFERROR((Tabla3[[#This Row],[Close]]-OFFSET(Tabla3[[#This Row],[Close]],-1,0))/OFFSET(Tabla3[[#This Row],[Close]],-1,0),"")</f>
        <v>-3.9513950988449981E-3</v>
      </c>
      <c r="K1962" s="2">
        <f ca="1">IFERROR(AVERAGE(OFFSET(Tabla3[[#This Row],[Close]],-6,0,7)),"")</f>
        <v>1979.4000069754416</v>
      </c>
      <c r="L1962" s="2">
        <f ca="1">IFERROR(_xlfn.STDEV.S(OFFSET(Tabla3[[#This Row],[Close]],-29,0,30)),"")</f>
        <v>28.510568571556206</v>
      </c>
    </row>
    <row r="1963" spans="1:12" x14ac:dyDescent="0.3">
      <c r="A1963" s="1">
        <v>45254</v>
      </c>
      <c r="B1963" s="3">
        <f>YEAR(Tabla3[[#This Row],[Date]])</f>
        <v>2023</v>
      </c>
      <c r="C1963" s="1" t="str">
        <f>+TEXT(Tabla3[[#This Row],[Date]],"mmm")</f>
        <v>nov</v>
      </c>
      <c r="D1963" s="2">
        <v>2002.19995117187</v>
      </c>
      <c r="E1963" s="2">
        <v>2002.19995117187</v>
      </c>
      <c r="F1963" s="2">
        <v>2002.19995117187</v>
      </c>
      <c r="G1963" s="2">
        <v>1991.5</v>
      </c>
      <c r="H1963" s="2">
        <v>1991.90002441406</v>
      </c>
      <c r="I1963">
        <v>63</v>
      </c>
      <c r="J1963" s="2">
        <f ca="1">IFERROR((Tabla3[[#This Row],[Close]]-OFFSET(Tabla3[[#This Row],[Close]],-1,0))/OFFSET(Tabla3[[#This Row],[Close]],-1,0),"")</f>
        <v>5.4232834314580855E-3</v>
      </c>
      <c r="K1963" s="2">
        <f ca="1">IFERROR(AVERAGE(OFFSET(Tabla3[[#This Row],[Close]],-6,0,7)),"")</f>
        <v>1985.1714215959771</v>
      </c>
      <c r="L1963" s="2">
        <f ca="1">IFERROR(_xlfn.STDEV.S(OFFSET(Tabla3[[#This Row],[Close]],-29,0,30)),"")</f>
        <v>22.611090793984307</v>
      </c>
    </row>
    <row r="1964" spans="1:12" x14ac:dyDescent="0.3">
      <c r="A1964" s="1">
        <v>45257</v>
      </c>
      <c r="B1964" s="3">
        <f>YEAR(Tabla3[[#This Row],[Date]])</f>
        <v>2023</v>
      </c>
      <c r="C1964" s="1" t="str">
        <f>+TEXT(Tabla3[[#This Row],[Date]],"mmm")</f>
        <v>nov</v>
      </c>
      <c r="D1964" s="2">
        <v>2011.80004882812</v>
      </c>
      <c r="E1964" s="2">
        <v>2011.80004882812</v>
      </c>
      <c r="F1964" s="2">
        <v>2011.80004882812</v>
      </c>
      <c r="G1964" s="2">
        <v>2011.69995117187</v>
      </c>
      <c r="H1964" s="2">
        <v>2011.69995117187</v>
      </c>
      <c r="I1964">
        <v>228</v>
      </c>
      <c r="J1964" s="2">
        <f ca="1">IFERROR((Tabla3[[#This Row],[Close]]-OFFSET(Tabla3[[#This Row],[Close]],-1,0))/OFFSET(Tabla3[[#This Row],[Close]],-1,0),"")</f>
        <v>4.7947746930226158E-3</v>
      </c>
      <c r="K1964" s="2">
        <f ca="1">IFERROR(AVERAGE(OFFSET(Tabla3[[#This Row],[Close]],-6,0,7)),"")</f>
        <v>1992.5571463448614</v>
      </c>
      <c r="L1964" s="2">
        <f ca="1">IFERROR(_xlfn.STDEV.S(OFFSET(Tabla3[[#This Row],[Close]],-29,0,30)),"")</f>
        <v>22.263908363604937</v>
      </c>
    </row>
    <row r="1965" spans="1:12" x14ac:dyDescent="0.3">
      <c r="A1965" s="1">
        <v>45258</v>
      </c>
      <c r="B1965" s="3">
        <f>YEAR(Tabla3[[#This Row],[Date]])</f>
        <v>2023</v>
      </c>
      <c r="C1965" s="1" t="str">
        <f>+TEXT(Tabla3[[#This Row],[Date]],"mmm")</f>
        <v>nov</v>
      </c>
      <c r="D1965" s="2">
        <v>2039.69995117187</v>
      </c>
      <c r="E1965" s="2">
        <v>2039.69995117187</v>
      </c>
      <c r="F1965" s="2">
        <v>2042.69995117187</v>
      </c>
      <c r="G1965" s="2">
        <v>2039.69995117187</v>
      </c>
      <c r="H1965" s="2">
        <v>2040.59997558593</v>
      </c>
      <c r="I1965">
        <v>174665</v>
      </c>
      <c r="J1965" s="2">
        <f ca="1">IFERROR((Tabla3[[#This Row],[Close]]-OFFSET(Tabla3[[#This Row],[Close]],-1,0))/OFFSET(Tabla3[[#This Row],[Close]],-1,0),"")</f>
        <v>1.3868128872947281E-2</v>
      </c>
      <c r="K1965" s="2">
        <f ca="1">IFERROR(AVERAGE(OFFSET(Tabla3[[#This Row],[Close]],-6,0,7)),"")</f>
        <v>2000.5285644531198</v>
      </c>
      <c r="L1965" s="2">
        <f ca="1">IFERROR(_xlfn.STDEV.S(OFFSET(Tabla3[[#This Row],[Close]],-29,0,30)),"")</f>
        <v>23.118202260366761</v>
      </c>
    </row>
    <row r="1966" spans="1:12" x14ac:dyDescent="0.3">
      <c r="A1966" s="1">
        <v>45259</v>
      </c>
      <c r="B1966" s="3">
        <f>YEAR(Tabla3[[#This Row],[Date]])</f>
        <v>2023</v>
      </c>
      <c r="C1966" s="1" t="str">
        <f>+TEXT(Tabla3[[#This Row],[Date]],"mmm")</f>
        <v>nov</v>
      </c>
      <c r="D1966" s="2">
        <v>2047.09997558593</v>
      </c>
      <c r="E1966" s="2">
        <v>2047.09997558593</v>
      </c>
      <c r="F1966" s="2">
        <v>2052.10009765625</v>
      </c>
      <c r="G1966" s="2">
        <v>2036</v>
      </c>
      <c r="H1966" s="2">
        <v>2041.69995117187</v>
      </c>
      <c r="I1966">
        <v>15290</v>
      </c>
      <c r="J1966" s="2">
        <f ca="1">IFERROR((Tabla3[[#This Row],[Close]]-OFFSET(Tabla3[[#This Row],[Close]],-1,0))/OFFSET(Tabla3[[#This Row],[Close]],-1,0),"")</f>
        <v>3.627996563812466E-3</v>
      </c>
      <c r="K1966" s="2">
        <f ca="1">IFERROR(AVERAGE(OFFSET(Tabla3[[#This Row],[Close]],-6,0,7)),"")</f>
        <v>2009.8857073102627</v>
      </c>
      <c r="L1966" s="2">
        <f ca="1">IFERROR(_xlfn.STDEV.S(OFFSET(Tabla3[[#This Row],[Close]],-29,0,30)),"")</f>
        <v>24.061953981251563</v>
      </c>
    </row>
    <row r="1967" spans="1:12" x14ac:dyDescent="0.3">
      <c r="A1967" s="1">
        <v>45260</v>
      </c>
      <c r="B1967" s="3">
        <f>YEAR(Tabla3[[#This Row],[Date]])</f>
        <v>2023</v>
      </c>
      <c r="C1967" s="1" t="str">
        <f>+TEXT(Tabla3[[#This Row],[Date]],"mmm")</f>
        <v>nov</v>
      </c>
      <c r="D1967" s="2">
        <v>2038.09997558593</v>
      </c>
      <c r="E1967" s="2">
        <v>2038.09997558593</v>
      </c>
      <c r="F1967" s="2">
        <v>2047.09997558593</v>
      </c>
      <c r="G1967" s="2">
        <v>2033.09997558593</v>
      </c>
      <c r="H1967" s="2">
        <v>2046.09997558593</v>
      </c>
      <c r="I1967">
        <v>2506</v>
      </c>
      <c r="J1967" s="2">
        <f ca="1">IFERROR((Tabla3[[#This Row],[Close]]-OFFSET(Tabla3[[#This Row],[Close]],-1,0))/OFFSET(Tabla3[[#This Row],[Close]],-1,0),"")</f>
        <v>-4.3964633419645172E-3</v>
      </c>
      <c r="K1967" s="2">
        <f ca="1">IFERROR(AVERAGE(OFFSET(Tabla3[[#This Row],[Close]],-6,0,7)),"")</f>
        <v>2018.514282226557</v>
      </c>
      <c r="L1967" s="2">
        <f ca="1">IFERROR(_xlfn.STDEV.S(OFFSET(Tabla3[[#This Row],[Close]],-29,0,30)),"")</f>
        <v>25.617897950744524</v>
      </c>
    </row>
    <row r="1968" spans="1:12" x14ac:dyDescent="0.3">
      <c r="A1968" s="1">
        <v>45261</v>
      </c>
      <c r="B1968" s="3">
        <f>YEAR(Tabla3[[#This Row],[Date]])</f>
        <v>2023</v>
      </c>
      <c r="C1968" s="1" t="str">
        <f>+TEXT(Tabla3[[#This Row],[Date]],"mmm")</f>
        <v>dic</v>
      </c>
      <c r="D1968" s="2">
        <v>2071</v>
      </c>
      <c r="E1968" s="2">
        <v>2071</v>
      </c>
      <c r="F1968" s="2">
        <v>2073.19995117187</v>
      </c>
      <c r="G1968" s="2">
        <v>2036</v>
      </c>
      <c r="H1968" s="2">
        <v>2038.30004882812</v>
      </c>
      <c r="I1968">
        <v>614</v>
      </c>
      <c r="J1968" s="2">
        <f ca="1">IFERROR((Tabla3[[#This Row],[Close]]-OFFSET(Tabla3[[#This Row],[Close]],-1,0))/OFFSET(Tabla3[[#This Row],[Close]],-1,0),"")</f>
        <v>1.6142497820604521E-2</v>
      </c>
      <c r="K1968" s="2">
        <f ca="1">IFERROR(AVERAGE(OFFSET(Tabla3[[#This Row],[Close]],-6,0,7)),"")</f>
        <v>2028.7571323939685</v>
      </c>
      <c r="L1968" s="2">
        <f ca="1">IFERROR(_xlfn.STDEV.S(OFFSET(Tabla3[[#This Row],[Close]],-29,0,30)),"")</f>
        <v>29.88211462431849</v>
      </c>
    </row>
    <row r="1969" spans="1:12" x14ac:dyDescent="0.3">
      <c r="A1969" s="1">
        <v>45264</v>
      </c>
      <c r="B1969" s="3">
        <f>YEAR(Tabla3[[#This Row],[Date]])</f>
        <v>2023</v>
      </c>
      <c r="C1969" s="1" t="str">
        <f>+TEXT(Tabla3[[#This Row],[Date]],"mmm")</f>
        <v>dic</v>
      </c>
      <c r="D1969" s="2">
        <v>2024.09997558593</v>
      </c>
      <c r="E1969" s="2">
        <v>2024.09997558593</v>
      </c>
      <c r="F1969" s="2">
        <v>2130.19995117187</v>
      </c>
      <c r="G1969" s="2">
        <v>2021</v>
      </c>
      <c r="H1969" s="2">
        <v>2075.30004882812</v>
      </c>
      <c r="I1969">
        <v>1071</v>
      </c>
      <c r="J1969" s="2">
        <f ca="1">IFERROR((Tabla3[[#This Row],[Close]]-OFFSET(Tabla3[[#This Row],[Close]],-1,0))/OFFSET(Tabla3[[#This Row],[Close]],-1,0),"")</f>
        <v>-2.2646076491583778E-2</v>
      </c>
      <c r="K1969" s="2">
        <f ca="1">IFERROR(AVERAGE(OFFSET(Tabla3[[#This Row],[Close]],-6,0,7)),"")</f>
        <v>2033.4285539899502</v>
      </c>
      <c r="L1969" s="2">
        <f ca="1">IFERROR(_xlfn.STDEV.S(OFFSET(Tabla3[[#This Row],[Close]],-29,0,30)),"")</f>
        <v>30.5769840781442</v>
      </c>
    </row>
    <row r="1970" spans="1:12" x14ac:dyDescent="0.3">
      <c r="A1970" s="1">
        <v>45265</v>
      </c>
      <c r="B1970" s="3">
        <f>YEAR(Tabla3[[#This Row],[Date]])</f>
        <v>2023</v>
      </c>
      <c r="C1970" s="1" t="str">
        <f>+TEXT(Tabla3[[#This Row],[Date]],"mmm")</f>
        <v>dic</v>
      </c>
      <c r="D1970" s="2">
        <v>2018.5</v>
      </c>
      <c r="E1970" s="2">
        <v>2018.5</v>
      </c>
      <c r="F1970" s="2">
        <v>2037</v>
      </c>
      <c r="G1970" s="2">
        <v>2010.19995117187</v>
      </c>
      <c r="H1970" s="2">
        <v>2035.09997558593</v>
      </c>
      <c r="I1970">
        <v>289</v>
      </c>
      <c r="J1970" s="2">
        <f ca="1">IFERROR((Tabla3[[#This Row],[Close]]-OFFSET(Tabla3[[#This Row],[Close]],-1,0))/OFFSET(Tabla3[[#This Row],[Close]],-1,0),"")</f>
        <v>-2.7666496978781562E-3</v>
      </c>
      <c r="K1970" s="2">
        <f ca="1">IFERROR(AVERAGE(OFFSET(Tabla3[[#This Row],[Close]],-6,0,7)),"")</f>
        <v>2035.7571323939685</v>
      </c>
      <c r="L1970" s="2">
        <f ca="1">IFERROR(_xlfn.STDEV.S(OFFSET(Tabla3[[#This Row],[Close]],-29,0,30)),"")</f>
        <v>30.924640030483179</v>
      </c>
    </row>
    <row r="1971" spans="1:12" x14ac:dyDescent="0.3">
      <c r="A1971" s="1">
        <v>45266</v>
      </c>
      <c r="B1971" s="3">
        <f>YEAR(Tabla3[[#This Row],[Date]])</f>
        <v>2023</v>
      </c>
      <c r="C1971" s="1" t="str">
        <f>+TEXT(Tabla3[[#This Row],[Date]],"mmm")</f>
        <v>dic</v>
      </c>
      <c r="D1971" s="2">
        <v>2030.5</v>
      </c>
      <c r="E1971" s="2">
        <v>2030.5</v>
      </c>
      <c r="F1971" s="2">
        <v>2035.80004882812</v>
      </c>
      <c r="G1971" s="2">
        <v>2019</v>
      </c>
      <c r="H1971" s="2">
        <v>2019.90002441406</v>
      </c>
      <c r="I1971">
        <v>417</v>
      </c>
      <c r="J1971" s="2">
        <f ca="1">IFERROR((Tabla3[[#This Row],[Close]]-OFFSET(Tabla3[[#This Row],[Close]],-1,0))/OFFSET(Tabla3[[#This Row],[Close]],-1,0),"")</f>
        <v>5.94500866980431E-3</v>
      </c>
      <c r="K1971" s="2">
        <f ca="1">IFERROR(AVERAGE(OFFSET(Tabla3[[#This Row],[Close]],-6,0,7)),"")</f>
        <v>2038.4285539899515</v>
      </c>
      <c r="L1971" s="2">
        <f ca="1">IFERROR(_xlfn.STDEV.S(OFFSET(Tabla3[[#This Row],[Close]],-29,0,30)),"")</f>
        <v>31.602189772130536</v>
      </c>
    </row>
    <row r="1972" spans="1:12" x14ac:dyDescent="0.3">
      <c r="A1972" s="1">
        <v>45267</v>
      </c>
      <c r="B1972" s="3">
        <f>YEAR(Tabla3[[#This Row],[Date]])</f>
        <v>2023</v>
      </c>
      <c r="C1972" s="1" t="str">
        <f>+TEXT(Tabla3[[#This Row],[Date]],"mmm")</f>
        <v>dic</v>
      </c>
      <c r="D1972" s="2">
        <v>2029.90002441406</v>
      </c>
      <c r="E1972" s="2">
        <v>2029.90002441406</v>
      </c>
      <c r="F1972" s="2">
        <v>2034.90002441406</v>
      </c>
      <c r="G1972" s="2">
        <v>2024</v>
      </c>
      <c r="H1972" s="2">
        <v>2029.19995117187</v>
      </c>
      <c r="I1972">
        <v>67</v>
      </c>
      <c r="J1972" s="2">
        <f ca="1">IFERROR((Tabla3[[#This Row],[Close]]-OFFSET(Tabla3[[#This Row],[Close]],-1,0))/OFFSET(Tabla3[[#This Row],[Close]],-1,0),"")</f>
        <v>-2.9548169708938741E-4</v>
      </c>
      <c r="K1972" s="2">
        <f ca="1">IFERROR(AVERAGE(OFFSET(Tabla3[[#This Row],[Close]],-6,0,7)),"")</f>
        <v>2037.0285644531216</v>
      </c>
      <c r="L1972" s="2">
        <f ca="1">IFERROR(_xlfn.STDEV.S(OFFSET(Tabla3[[#This Row],[Close]],-29,0,30)),"")</f>
        <v>32.276159507717708</v>
      </c>
    </row>
    <row r="1973" spans="1:12" x14ac:dyDescent="0.3">
      <c r="A1973" s="1">
        <v>45268</v>
      </c>
      <c r="B1973" s="3">
        <f>YEAR(Tabla3[[#This Row],[Date]])</f>
        <v>2023</v>
      </c>
      <c r="C1973" s="1" t="str">
        <f>+TEXT(Tabla3[[#This Row],[Date]],"mmm")</f>
        <v>dic</v>
      </c>
      <c r="D1973" s="2">
        <v>1998.30004882812</v>
      </c>
      <c r="E1973" s="2">
        <v>1998.30004882812</v>
      </c>
      <c r="F1973" s="2">
        <v>2033.09997558593</v>
      </c>
      <c r="G1973" s="2">
        <v>1995</v>
      </c>
      <c r="H1973" s="2">
        <v>2031.69995117187</v>
      </c>
      <c r="I1973">
        <v>449</v>
      </c>
      <c r="J1973" s="2">
        <f ca="1">IFERROR((Tabla3[[#This Row],[Close]]-OFFSET(Tabla3[[#This Row],[Close]],-1,0))/OFFSET(Tabla3[[#This Row],[Close]],-1,0),"")</f>
        <v>-1.5567257109158112E-2</v>
      </c>
      <c r="K1973" s="2">
        <f ca="1">IFERROR(AVERAGE(OFFSET(Tabla3[[#This Row],[Close]],-6,0,7)),"")</f>
        <v>2030.057146344863</v>
      </c>
      <c r="L1973" s="2">
        <f ca="1">IFERROR(_xlfn.STDEV.S(OFFSET(Tabla3[[#This Row],[Close]],-29,0,30)),"")</f>
        <v>32.257555406168485</v>
      </c>
    </row>
    <row r="1974" spans="1:12" x14ac:dyDescent="0.3">
      <c r="A1974" s="1">
        <v>45271</v>
      </c>
      <c r="B1974" s="3">
        <f>YEAR(Tabla3[[#This Row],[Date]])</f>
        <v>2023</v>
      </c>
      <c r="C1974" s="1" t="str">
        <f>+TEXT(Tabla3[[#This Row],[Date]],"mmm")</f>
        <v>dic</v>
      </c>
      <c r="D1974" s="2">
        <v>1978</v>
      </c>
      <c r="E1974" s="2">
        <v>1978</v>
      </c>
      <c r="F1974" s="2">
        <v>2004.19995117187</v>
      </c>
      <c r="G1974" s="2">
        <v>1977.19995117187</v>
      </c>
      <c r="H1974" s="2">
        <v>2004.09997558593</v>
      </c>
      <c r="I1974">
        <v>651</v>
      </c>
      <c r="J1974" s="2">
        <f ca="1">IFERROR((Tabla3[[#This Row],[Close]]-OFFSET(Tabla3[[#This Row],[Close]],-1,0))/OFFSET(Tabla3[[#This Row],[Close]],-1,0),"")</f>
        <v>-1.0158659026218174E-2</v>
      </c>
      <c r="K1974" s="2">
        <f ca="1">IFERROR(AVERAGE(OFFSET(Tabla3[[#This Row],[Close]],-6,0,7)),"")</f>
        <v>2021.471435546873</v>
      </c>
      <c r="L1974" s="2">
        <f ca="1">IFERROR(_xlfn.STDEV.S(OFFSET(Tabla3[[#This Row],[Close]],-29,0,30)),"")</f>
        <v>32.382259671478018</v>
      </c>
    </row>
    <row r="1975" spans="1:12" x14ac:dyDescent="0.3">
      <c r="A1975" s="1">
        <v>45272</v>
      </c>
      <c r="B1975" s="3">
        <f>YEAR(Tabla3[[#This Row],[Date]])</f>
        <v>2023</v>
      </c>
      <c r="C1975" s="1" t="str">
        <f>+TEXT(Tabla3[[#This Row],[Date]],"mmm")</f>
        <v>dic</v>
      </c>
      <c r="D1975" s="2">
        <v>1977.80004882812</v>
      </c>
      <c r="E1975" s="2">
        <v>1977.80004882812</v>
      </c>
      <c r="F1975" s="2">
        <v>1994.19995117187</v>
      </c>
      <c r="G1975" s="2">
        <v>1977.80004882812</v>
      </c>
      <c r="H1975" s="2">
        <v>1984.19995117187</v>
      </c>
      <c r="I1975">
        <v>95</v>
      </c>
      <c r="J1975" s="2">
        <f ca="1">IFERROR((Tabla3[[#This Row],[Close]]-OFFSET(Tabla3[[#This Row],[Close]],-1,0))/OFFSET(Tabla3[[#This Row],[Close]],-1,0),"")</f>
        <v>-1.0108754897876756E-4</v>
      </c>
      <c r="K1975" s="2">
        <f ca="1">IFERROR(AVERAGE(OFFSET(Tabla3[[#This Row],[Close]],-6,0,7)),"")</f>
        <v>2008.1571568080328</v>
      </c>
      <c r="L1975" s="2">
        <f ca="1">IFERROR(_xlfn.STDEV.S(OFFSET(Tabla3[[#This Row],[Close]],-29,0,30)),"")</f>
        <v>32.516067509259436</v>
      </c>
    </row>
    <row r="1976" spans="1:12" x14ac:dyDescent="0.3">
      <c r="A1976" s="1">
        <v>45273</v>
      </c>
      <c r="B1976" s="3">
        <f>YEAR(Tabla3[[#This Row],[Date]])</f>
        <v>2023</v>
      </c>
      <c r="C1976" s="1" t="str">
        <f>+TEXT(Tabla3[[#This Row],[Date]],"mmm")</f>
        <v>dic</v>
      </c>
      <c r="D1976" s="2">
        <v>1982.30004882812</v>
      </c>
      <c r="E1976" s="2">
        <v>1982.30004882812</v>
      </c>
      <c r="F1976" s="2">
        <v>2024.80004882812</v>
      </c>
      <c r="G1976" s="2">
        <v>1975</v>
      </c>
      <c r="H1976" s="2">
        <v>1978.5</v>
      </c>
      <c r="I1976">
        <v>2252</v>
      </c>
      <c r="J1976" s="2">
        <f ca="1">IFERROR((Tabla3[[#This Row],[Close]]-OFFSET(Tabla3[[#This Row],[Close]],-1,0))/OFFSET(Tabla3[[#This Row],[Close]],-1,0),"")</f>
        <v>2.2752552780380031E-3</v>
      </c>
      <c r="K1976" s="2">
        <f ca="1">IFERROR(AVERAGE(OFFSET(Tabla3[[#This Row],[Close]],-6,0,7)),"")</f>
        <v>2002.1857386997742</v>
      </c>
      <c r="L1976" s="2">
        <f ca="1">IFERROR(_xlfn.STDEV.S(OFFSET(Tabla3[[#This Row],[Close]],-29,0,30)),"")</f>
        <v>32.546002020360397</v>
      </c>
    </row>
    <row r="1977" spans="1:12" x14ac:dyDescent="0.3">
      <c r="A1977" s="1">
        <v>45274</v>
      </c>
      <c r="B1977" s="3">
        <f>YEAR(Tabla3[[#This Row],[Date]])</f>
        <v>2023</v>
      </c>
      <c r="C1977" s="1" t="str">
        <f>+TEXT(Tabla3[[#This Row],[Date]],"mmm")</f>
        <v>dic</v>
      </c>
      <c r="D1977" s="2">
        <v>2030.19995117187</v>
      </c>
      <c r="E1977" s="2">
        <v>2030.19995117187</v>
      </c>
      <c r="F1977" s="2">
        <v>2040.09997558593</v>
      </c>
      <c r="G1977" s="2">
        <v>2024.30004882812</v>
      </c>
      <c r="H1977" s="2">
        <v>2024.69995117187</v>
      </c>
      <c r="I1977">
        <v>236</v>
      </c>
      <c r="J1977" s="2">
        <f ca="1">IFERROR((Tabla3[[#This Row],[Close]]-OFFSET(Tabla3[[#This Row],[Close]],-1,0))/OFFSET(Tabla3[[#This Row],[Close]],-1,0),"")</f>
        <v>2.4163800213830935E-2</v>
      </c>
      <c r="K1977" s="2">
        <f ca="1">IFERROR(AVERAGE(OFFSET(Tabla3[[#This Row],[Close]],-6,0,7)),"")</f>
        <v>2003.8571602957556</v>
      </c>
      <c r="L1977" s="2">
        <f ca="1">IFERROR(_xlfn.STDEV.S(OFFSET(Tabla3[[#This Row],[Close]],-29,0,30)),"")</f>
        <v>33.096997346847225</v>
      </c>
    </row>
    <row r="1978" spans="1:12" x14ac:dyDescent="0.3">
      <c r="A1978" s="1">
        <v>45275</v>
      </c>
      <c r="B1978" s="3">
        <f>YEAR(Tabla3[[#This Row],[Date]])</f>
        <v>2023</v>
      </c>
      <c r="C1978" s="1" t="str">
        <f>+TEXT(Tabla3[[#This Row],[Date]],"mmm")</f>
        <v>dic</v>
      </c>
      <c r="D1978" s="2">
        <v>2021.09997558593</v>
      </c>
      <c r="E1978" s="2">
        <v>2021.09997558593</v>
      </c>
      <c r="F1978" s="2">
        <v>2043.40002441406</v>
      </c>
      <c r="G1978" s="2">
        <v>2018.30004882812</v>
      </c>
      <c r="H1978" s="2">
        <v>2032.59997558593</v>
      </c>
      <c r="I1978">
        <v>261</v>
      </c>
      <c r="J1978" s="2">
        <f ca="1">IFERROR((Tabla3[[#This Row],[Close]]-OFFSET(Tabla3[[#This Row],[Close]],-1,0))/OFFSET(Tabla3[[#This Row],[Close]],-1,0),"")</f>
        <v>-4.4823050954598447E-3</v>
      </c>
      <c r="K1978" s="2">
        <f ca="1">IFERROR(AVERAGE(OFFSET(Tabla3[[#This Row],[Close]],-6,0,7)),"")</f>
        <v>2002.5142996651741</v>
      </c>
      <c r="L1978" s="2">
        <f ca="1">IFERROR(_xlfn.STDEV.S(OFFSET(Tabla3[[#This Row],[Close]],-29,0,30)),"")</f>
        <v>33.377092646428785</v>
      </c>
    </row>
    <row r="1979" spans="1:12" x14ac:dyDescent="0.3">
      <c r="A1979" s="1">
        <v>45278</v>
      </c>
      <c r="B1979" s="3">
        <f>YEAR(Tabla3[[#This Row],[Date]])</f>
        <v>2023</v>
      </c>
      <c r="C1979" s="1" t="str">
        <f>+TEXT(Tabla3[[#This Row],[Date]],"mmm")</f>
        <v>dic</v>
      </c>
      <c r="D1979" s="2">
        <v>2026.30004882812</v>
      </c>
      <c r="E1979" s="2">
        <v>2026.30004882812</v>
      </c>
      <c r="F1979" s="2">
        <v>2032.80004882812</v>
      </c>
      <c r="G1979" s="2">
        <v>2024</v>
      </c>
      <c r="H1979" s="2">
        <v>2024.30004882812</v>
      </c>
      <c r="I1979">
        <v>100</v>
      </c>
      <c r="J1979" s="2">
        <f ca="1">IFERROR((Tabla3[[#This Row],[Close]]-OFFSET(Tabla3[[#This Row],[Close]],-1,0))/OFFSET(Tabla3[[#This Row],[Close]],-1,0),"")</f>
        <v>2.5728926352010201E-3</v>
      </c>
      <c r="K1979" s="2">
        <f ca="1">IFERROR(AVERAGE(OFFSET(Tabla3[[#This Row],[Close]],-6,0,7)),"")</f>
        <v>2002.0000174386114</v>
      </c>
      <c r="L1979" s="2">
        <f ca="1">IFERROR(_xlfn.STDEV.S(OFFSET(Tabla3[[#This Row],[Close]],-29,0,30)),"")</f>
        <v>33.805183219078721</v>
      </c>
    </row>
    <row r="1980" spans="1:12" x14ac:dyDescent="0.3">
      <c r="A1980" s="1">
        <v>45279</v>
      </c>
      <c r="B1980" s="3">
        <f>YEAR(Tabla3[[#This Row],[Date]])</f>
        <v>2023</v>
      </c>
      <c r="C1980" s="1" t="str">
        <f>+TEXT(Tabla3[[#This Row],[Date]],"mmm")</f>
        <v>dic</v>
      </c>
      <c r="D1980" s="2">
        <v>2038.40002441406</v>
      </c>
      <c r="E1980" s="2">
        <v>2038.40002441406</v>
      </c>
      <c r="F1980" s="2">
        <v>2042.69995117187</v>
      </c>
      <c r="G1980" s="2">
        <v>2025.19995117187</v>
      </c>
      <c r="H1980" s="2">
        <v>2025.19995117187</v>
      </c>
      <c r="I1980">
        <v>498</v>
      </c>
      <c r="J1980" s="2">
        <f ca="1">IFERROR((Tabla3[[#This Row],[Close]]-OFFSET(Tabla3[[#This Row],[Close]],-1,0))/OFFSET(Tabla3[[#This Row],[Close]],-1,0),"")</f>
        <v>5.971462909916939E-3</v>
      </c>
      <c r="K1980" s="2">
        <f ca="1">IFERROR(AVERAGE(OFFSET(Tabla3[[#This Row],[Close]],-6,0,7)),"")</f>
        <v>2007.7285853794601</v>
      </c>
      <c r="L1980" s="2">
        <f ca="1">IFERROR(_xlfn.STDEV.S(OFFSET(Tabla3[[#This Row],[Close]],-29,0,30)),"")</f>
        <v>34.46825638018116</v>
      </c>
    </row>
    <row r="1981" spans="1:12" x14ac:dyDescent="0.3">
      <c r="A1981" s="1">
        <v>45280</v>
      </c>
      <c r="B1981" s="3">
        <f>YEAR(Tabla3[[#This Row],[Date]])</f>
        <v>2023</v>
      </c>
      <c r="C1981" s="1" t="str">
        <f>+TEXT(Tabla3[[#This Row],[Date]],"mmm")</f>
        <v>dic</v>
      </c>
      <c r="D1981" s="2">
        <v>2034.5</v>
      </c>
      <c r="E1981" s="2">
        <v>2034.5</v>
      </c>
      <c r="F1981" s="2">
        <v>2037.09997558593</v>
      </c>
      <c r="G1981" s="2">
        <v>2030.30004882812</v>
      </c>
      <c r="H1981" s="2">
        <v>2037.09997558593</v>
      </c>
      <c r="I1981">
        <v>258</v>
      </c>
      <c r="J1981" s="2">
        <f ca="1">IFERROR((Tabla3[[#This Row],[Close]]-OFFSET(Tabla3[[#This Row],[Close]],-1,0))/OFFSET(Tabla3[[#This Row],[Close]],-1,0),"")</f>
        <v>-1.9132772602772435E-3</v>
      </c>
      <c r="K1981" s="2">
        <f ca="1">IFERROR(AVERAGE(OFFSET(Tabla3[[#This Row],[Close]],-6,0,7)),"")</f>
        <v>2015.8000139508888</v>
      </c>
      <c r="L1981" s="2">
        <f ca="1">IFERROR(_xlfn.STDEV.S(OFFSET(Tabla3[[#This Row],[Close]],-29,0,30)),"")</f>
        <v>34.477174347125285</v>
      </c>
    </row>
    <row r="1982" spans="1:12" x14ac:dyDescent="0.3">
      <c r="A1982" s="1">
        <v>45281</v>
      </c>
      <c r="B1982" s="3">
        <f>YEAR(Tabla3[[#This Row],[Date]])</f>
        <v>2023</v>
      </c>
      <c r="C1982" s="1" t="str">
        <f>+TEXT(Tabla3[[#This Row],[Date]],"mmm")</f>
        <v>dic</v>
      </c>
      <c r="D1982" s="2">
        <v>2039.09997558593</v>
      </c>
      <c r="E1982" s="2">
        <v>2039.09997558593</v>
      </c>
      <c r="F1982" s="2">
        <v>2044.5</v>
      </c>
      <c r="G1982" s="2">
        <v>2033</v>
      </c>
      <c r="H1982" s="2">
        <v>2035.80004882812</v>
      </c>
      <c r="I1982">
        <v>228</v>
      </c>
      <c r="J1982" s="2">
        <f ca="1">IFERROR((Tabla3[[#This Row],[Close]]-OFFSET(Tabla3[[#This Row],[Close]],-1,0))/OFFSET(Tabla3[[#This Row],[Close]],-1,0),"")</f>
        <v>2.2609857881199296E-3</v>
      </c>
      <c r="K1982" s="2">
        <f ca="1">IFERROR(AVERAGE(OFFSET(Tabla3[[#This Row],[Close]],-6,0,7)),"")</f>
        <v>2024.5571463448616</v>
      </c>
      <c r="L1982" s="2">
        <f ca="1">IFERROR(_xlfn.STDEV.S(OFFSET(Tabla3[[#This Row],[Close]],-29,0,30)),"")</f>
        <v>33.786276110546723</v>
      </c>
    </row>
    <row r="1983" spans="1:12" x14ac:dyDescent="0.3">
      <c r="A1983" s="1">
        <v>45282</v>
      </c>
      <c r="B1983" s="3">
        <f>YEAR(Tabla3[[#This Row],[Date]])</f>
        <v>2023</v>
      </c>
      <c r="C1983" s="1" t="str">
        <f>+TEXT(Tabla3[[#This Row],[Date]],"mmm")</f>
        <v>dic</v>
      </c>
      <c r="D1983" s="2">
        <v>2057.10009765625</v>
      </c>
      <c r="E1983" s="2">
        <v>2057.10009765625</v>
      </c>
      <c r="F1983" s="2">
        <v>2068.69995117187</v>
      </c>
      <c r="G1983" s="2">
        <v>2052.19995117187</v>
      </c>
      <c r="H1983" s="2">
        <v>2055.69995117187</v>
      </c>
      <c r="I1983">
        <v>202</v>
      </c>
      <c r="J1983" s="2">
        <f ca="1">IFERROR((Tabla3[[#This Row],[Close]]-OFFSET(Tabla3[[#This Row],[Close]],-1,0))/OFFSET(Tabla3[[#This Row],[Close]],-1,0),"")</f>
        <v>8.8274838339634214E-3</v>
      </c>
      <c r="K1983" s="2">
        <f ca="1">IFERROR(AVERAGE(OFFSET(Tabla3[[#This Row],[Close]],-6,0,7)),"")</f>
        <v>2035.2428676060226</v>
      </c>
      <c r="L1983" s="2">
        <f ca="1">IFERROR(_xlfn.STDEV.S(OFFSET(Tabla3[[#This Row],[Close]],-29,0,30)),"")</f>
        <v>34.213563331976843</v>
      </c>
    </row>
    <row r="1984" spans="1:12" x14ac:dyDescent="0.3">
      <c r="A1984" s="1">
        <v>45286</v>
      </c>
      <c r="B1984" s="3">
        <f>YEAR(Tabla3[[#This Row],[Date]])</f>
        <v>2023</v>
      </c>
      <c r="C1984" s="1" t="str">
        <f>+TEXT(Tabla3[[#This Row],[Date]],"mmm")</f>
        <v>dic</v>
      </c>
      <c r="D1984" s="2">
        <v>2058.19995117187</v>
      </c>
      <c r="E1984" s="2">
        <v>2058.19995117187</v>
      </c>
      <c r="F1984" s="2">
        <v>2060.80004882812</v>
      </c>
      <c r="G1984" s="2">
        <v>2054.19995117187</v>
      </c>
      <c r="H1984" s="2">
        <v>2060</v>
      </c>
      <c r="I1984">
        <v>64</v>
      </c>
      <c r="J1984" s="2">
        <f ca="1">IFERROR((Tabla3[[#This Row],[Close]]-OFFSET(Tabla3[[#This Row],[Close]],-1,0))/OFFSET(Tabla3[[#This Row],[Close]],-1,0),"")</f>
        <v>5.346621279504639E-4</v>
      </c>
      <c r="K1984" s="2">
        <f ca="1">IFERROR(AVERAGE(OFFSET(Tabla3[[#This Row],[Close]],-6,0,7)),"")</f>
        <v>2039.2428676060226</v>
      </c>
      <c r="L1984" s="2">
        <f ca="1">IFERROR(_xlfn.STDEV.S(OFFSET(Tabla3[[#This Row],[Close]],-29,0,30)),"")</f>
        <v>32.345156473222758</v>
      </c>
    </row>
    <row r="1985" spans="1:12" x14ac:dyDescent="0.3">
      <c r="A1985" s="1">
        <v>45287</v>
      </c>
      <c r="B1985" s="3">
        <f>YEAR(Tabla3[[#This Row],[Date]])</f>
        <v>2023</v>
      </c>
      <c r="C1985" s="1" t="str">
        <f>+TEXT(Tabla3[[#This Row],[Date]],"mmm")</f>
        <v>dic</v>
      </c>
      <c r="D1985" s="2">
        <v>2081.89990234375</v>
      </c>
      <c r="E1985" s="2">
        <v>2081.89990234375</v>
      </c>
      <c r="F1985" s="2">
        <v>2081.89990234375</v>
      </c>
      <c r="G1985" s="2">
        <v>2064.80004882812</v>
      </c>
      <c r="H1985" s="2">
        <v>2067.30004882812</v>
      </c>
      <c r="I1985">
        <v>586</v>
      </c>
      <c r="J1985" s="2">
        <f ca="1">IFERROR((Tabla3[[#This Row],[Close]]-OFFSET(Tabla3[[#This Row],[Close]],-1,0))/OFFSET(Tabla3[[#This Row],[Close]],-1,0),"")</f>
        <v>1.1514892495447803E-2</v>
      </c>
      <c r="K1985" s="2">
        <f ca="1">IFERROR(AVERAGE(OFFSET(Tabla3[[#This Row],[Close]],-6,0,7)),"")</f>
        <v>2047.9285714285686</v>
      </c>
      <c r="L1985" s="2">
        <f ca="1">IFERROR(_xlfn.STDEV.S(OFFSET(Tabla3[[#This Row],[Close]],-29,0,30)),"")</f>
        <v>32.283531637167911</v>
      </c>
    </row>
    <row r="1986" spans="1:12" x14ac:dyDescent="0.3">
      <c r="A1986" s="1">
        <v>45288</v>
      </c>
      <c r="B1986" s="3">
        <f>YEAR(Tabla3[[#This Row],[Date]])</f>
        <v>2023</v>
      </c>
      <c r="C1986" s="1" t="str">
        <f>+TEXT(Tabla3[[#This Row],[Date]],"mmm")</f>
        <v>dic</v>
      </c>
      <c r="D1986" s="2">
        <v>2073.89990234375</v>
      </c>
      <c r="E1986" s="2">
        <v>2073.89990234375</v>
      </c>
      <c r="F1986" s="2">
        <v>2087.30004882812</v>
      </c>
      <c r="G1986" s="2">
        <v>2066.5</v>
      </c>
      <c r="H1986" s="2">
        <v>2081.60009765625</v>
      </c>
      <c r="I1986">
        <v>338</v>
      </c>
      <c r="J1986" s="2">
        <f ca="1">IFERROR((Tabla3[[#This Row],[Close]]-OFFSET(Tabla3[[#This Row],[Close]],-1,0))/OFFSET(Tabla3[[#This Row],[Close]],-1,0),"")</f>
        <v>-3.8426439191403023E-3</v>
      </c>
      <c r="K1986" s="2">
        <f ca="1">IFERROR(AVERAGE(OFFSET(Tabla3[[#This Row],[Close]],-6,0,7)),"")</f>
        <v>2054.7285505022301</v>
      </c>
      <c r="L1986" s="2">
        <f ca="1">IFERROR(_xlfn.STDEV.S(OFFSET(Tabla3[[#This Row],[Close]],-29,0,30)),"")</f>
        <v>32.233800019350909</v>
      </c>
    </row>
    <row r="1987" spans="1:12" x14ac:dyDescent="0.3">
      <c r="A1987" s="1">
        <v>45289</v>
      </c>
      <c r="B1987" s="3">
        <f>YEAR(Tabla3[[#This Row],[Date]])</f>
        <v>2023</v>
      </c>
      <c r="C1987" s="1" t="str">
        <f>+TEXT(Tabla3[[#This Row],[Date]],"mmm")</f>
        <v>dic</v>
      </c>
      <c r="D1987" s="2">
        <v>2062.39990234375</v>
      </c>
      <c r="E1987" s="2">
        <v>2062.39990234375</v>
      </c>
      <c r="F1987" s="2">
        <v>2068.89990234375</v>
      </c>
      <c r="G1987" s="2">
        <v>2062.10009765625</v>
      </c>
      <c r="H1987" s="2">
        <v>2068</v>
      </c>
      <c r="I1987">
        <v>47</v>
      </c>
      <c r="J1987" s="2">
        <f ca="1">IFERROR((Tabla3[[#This Row],[Close]]-OFFSET(Tabla3[[#This Row],[Close]],-1,0))/OFFSET(Tabla3[[#This Row],[Close]],-1,0),"")</f>
        <v>-5.545108511265974E-3</v>
      </c>
      <c r="K1987" s="2">
        <f ca="1">IFERROR(AVERAGE(OFFSET(Tabla3[[#This Row],[Close]],-6,0,7)),"")</f>
        <v>2058.1571044921857</v>
      </c>
      <c r="L1987" s="2">
        <f ca="1">IFERROR(_xlfn.STDEV.S(OFFSET(Tabla3[[#This Row],[Close]],-29,0,30)),"")</f>
        <v>31.053421818478053</v>
      </c>
    </row>
    <row r="1988" spans="1:12" x14ac:dyDescent="0.3">
      <c r="A1988" s="1">
        <v>45293</v>
      </c>
      <c r="B1988" s="3">
        <f>YEAR(Tabla3[[#This Row],[Date]])</f>
        <v>2024</v>
      </c>
      <c r="C1988" s="1" t="str">
        <f>+TEXT(Tabla3[[#This Row],[Date]],"mmm")</f>
        <v>ene</v>
      </c>
      <c r="D1988" s="2">
        <v>2064.39990234375</v>
      </c>
      <c r="E1988" s="2">
        <v>2064.39990234375</v>
      </c>
      <c r="F1988" s="2">
        <v>2073.69995117187</v>
      </c>
      <c r="G1988" s="2">
        <v>2057.10009765625</v>
      </c>
      <c r="H1988" s="2">
        <v>2063.5</v>
      </c>
      <c r="I1988">
        <v>61</v>
      </c>
      <c r="J1988" s="2">
        <f ca="1">IFERROR((Tabla3[[#This Row],[Close]]-OFFSET(Tabla3[[#This Row],[Close]],-1,0))/OFFSET(Tabla3[[#This Row],[Close]],-1,0),"")</f>
        <v>9.6974403350541397E-4</v>
      </c>
      <c r="K1988" s="2">
        <f ca="1">IFERROR(AVERAGE(OFFSET(Tabla3[[#This Row],[Close]],-6,0,7)),"")</f>
        <v>2062.4285191127215</v>
      </c>
      <c r="L1988" s="2">
        <f ca="1">IFERROR(_xlfn.STDEV.S(OFFSET(Tabla3[[#This Row],[Close]],-29,0,30)),"")</f>
        <v>30.98764817974639</v>
      </c>
    </row>
    <row r="1989" spans="1:12" x14ac:dyDescent="0.3">
      <c r="A1989" s="1">
        <v>45294</v>
      </c>
      <c r="B1989" s="3">
        <f>YEAR(Tabla3[[#This Row],[Date]])</f>
        <v>2024</v>
      </c>
      <c r="C1989" s="1" t="str">
        <f>+TEXT(Tabla3[[#This Row],[Date]],"mmm")</f>
        <v>ene</v>
      </c>
      <c r="D1989" s="2">
        <v>2034.19995117187</v>
      </c>
      <c r="E1989" s="2">
        <v>2034.19995117187</v>
      </c>
      <c r="F1989" s="2">
        <v>2044</v>
      </c>
      <c r="G1989" s="2">
        <v>2034.19995117187</v>
      </c>
      <c r="H1989" s="2">
        <v>2034.19995117187</v>
      </c>
      <c r="I1989">
        <v>54</v>
      </c>
      <c r="J1989" s="2">
        <f ca="1">IFERROR((Tabla3[[#This Row],[Close]]-OFFSET(Tabla3[[#This Row],[Close]],-1,0))/OFFSET(Tabla3[[#This Row],[Close]],-1,0),"")</f>
        <v>-1.4628924917887014E-2</v>
      </c>
      <c r="K1989" s="2">
        <f ca="1">IFERROR(AVERAGE(OFFSET(Tabla3[[#This Row],[Close]],-6,0,7)),"")</f>
        <v>2061.7285156249986</v>
      </c>
      <c r="L1989" s="2">
        <f ca="1">IFERROR(_xlfn.STDEV.S(OFFSET(Tabla3[[#This Row],[Close]],-29,0,30)),"")</f>
        <v>29.842461894525552</v>
      </c>
    </row>
    <row r="1990" spans="1:12" x14ac:dyDescent="0.3">
      <c r="A1990" s="1">
        <v>45295</v>
      </c>
      <c r="B1990" s="3">
        <f>YEAR(Tabla3[[#This Row],[Date]])</f>
        <v>2024</v>
      </c>
      <c r="C1990" s="1" t="str">
        <f>+TEXT(Tabla3[[#This Row],[Date]],"mmm")</f>
        <v>ene</v>
      </c>
      <c r="D1990" s="2">
        <v>2042.30004882812</v>
      </c>
      <c r="E1990" s="2">
        <v>2042.30004882812</v>
      </c>
      <c r="F1990" s="2">
        <v>2044.5</v>
      </c>
      <c r="G1990" s="2">
        <v>2038</v>
      </c>
      <c r="H1990" s="2">
        <v>2041.59997558593</v>
      </c>
      <c r="I1990">
        <v>88</v>
      </c>
      <c r="J1990" s="2">
        <f ca="1">IFERROR((Tabla3[[#This Row],[Close]]-OFFSET(Tabla3[[#This Row],[Close]],-1,0))/OFFSET(Tabla3[[#This Row],[Close]],-1,0),"")</f>
        <v>3.9819574528962426E-3</v>
      </c>
      <c r="K1990" s="2">
        <f ca="1">IFERROR(AVERAGE(OFFSET(Tabla3[[#This Row],[Close]],-6,0,7)),"")</f>
        <v>2059.6142229352654</v>
      </c>
      <c r="L1990" s="2">
        <f ca="1">IFERROR(_xlfn.STDEV.S(OFFSET(Tabla3[[#This Row],[Close]],-29,0,30)),"")</f>
        <v>28.384356808929464</v>
      </c>
    </row>
    <row r="1991" spans="1:12" x14ac:dyDescent="0.3">
      <c r="A1991" s="1">
        <v>45296</v>
      </c>
      <c r="B1991" s="3">
        <f>YEAR(Tabla3[[#This Row],[Date]])</f>
        <v>2024</v>
      </c>
      <c r="C1991" s="1" t="str">
        <f>+TEXT(Tabla3[[#This Row],[Date]],"mmm")</f>
        <v>ene</v>
      </c>
      <c r="D1991" s="2">
        <v>2042.40002441406</v>
      </c>
      <c r="E1991" s="2">
        <v>2042.40002441406</v>
      </c>
      <c r="F1991" s="2">
        <v>2048.10009765625</v>
      </c>
      <c r="G1991" s="2">
        <v>2042.40002441406</v>
      </c>
      <c r="H1991" s="2">
        <v>2044.5</v>
      </c>
      <c r="I1991">
        <v>12</v>
      </c>
      <c r="J1991" s="2">
        <f ca="1">IFERROR((Tabla3[[#This Row],[Close]]-OFFSET(Tabla3[[#This Row],[Close]],-1,0))/OFFSET(Tabla3[[#This Row],[Close]],-1,0),"")</f>
        <v>4.8952447510035317E-5</v>
      </c>
      <c r="K1991" s="2">
        <f ca="1">IFERROR(AVERAGE(OFFSET(Tabla3[[#This Row],[Close]],-6,0,7)),"")</f>
        <v>2057.357090541293</v>
      </c>
      <c r="L1991" s="2">
        <f ca="1">IFERROR(_xlfn.STDEV.S(OFFSET(Tabla3[[#This Row],[Close]],-29,0,30)),"")</f>
        <v>27.855749327467343</v>
      </c>
    </row>
    <row r="1992" spans="1:12" x14ac:dyDescent="0.3">
      <c r="A1992" s="1">
        <v>45299</v>
      </c>
      <c r="B1992" s="3">
        <f>YEAR(Tabla3[[#This Row],[Date]])</f>
        <v>2024</v>
      </c>
      <c r="C1992" s="1" t="str">
        <f>+TEXT(Tabla3[[#This Row],[Date]],"mmm")</f>
        <v>ene</v>
      </c>
      <c r="D1992" s="2">
        <v>2026.59997558593</v>
      </c>
      <c r="E1992" s="2">
        <v>2026.59997558593</v>
      </c>
      <c r="F1992" s="2">
        <v>2033.69995117187</v>
      </c>
      <c r="G1992" s="2">
        <v>2019.09997558593</v>
      </c>
      <c r="H1992" s="2">
        <v>2019.09997558593</v>
      </c>
      <c r="I1992">
        <v>10</v>
      </c>
      <c r="J1992" s="2">
        <f ca="1">IFERROR((Tabla3[[#This Row],[Close]]-OFFSET(Tabla3[[#This Row],[Close]],-1,0))/OFFSET(Tabla3[[#This Row],[Close]],-1,0),"")</f>
        <v>-7.7360206811899375E-3</v>
      </c>
      <c r="K1992" s="2">
        <f ca="1">IFERROR(AVERAGE(OFFSET(Tabla3[[#This Row],[Close]],-6,0,7)),"")</f>
        <v>2049.4571010044615</v>
      </c>
      <c r="L1992" s="2">
        <f ca="1">IFERROR(_xlfn.STDEV.S(OFFSET(Tabla3[[#This Row],[Close]],-29,0,30)),"")</f>
        <v>26.827748091909264</v>
      </c>
    </row>
    <row r="1993" spans="1:12" x14ac:dyDescent="0.3">
      <c r="A1993" s="1">
        <v>45300</v>
      </c>
      <c r="B1993" s="3">
        <f>YEAR(Tabla3[[#This Row],[Date]])</f>
        <v>2024</v>
      </c>
      <c r="C1993" s="1" t="str">
        <f>+TEXT(Tabla3[[#This Row],[Date]],"mmm")</f>
        <v>ene</v>
      </c>
      <c r="D1993" s="2">
        <v>2026.40002441406</v>
      </c>
      <c r="E1993" s="2">
        <v>2026.40002441406</v>
      </c>
      <c r="F1993" s="2">
        <v>2035.80004882812</v>
      </c>
      <c r="G1993" s="2">
        <v>2026.40002441406</v>
      </c>
      <c r="H1993" s="2">
        <v>2035.80004882812</v>
      </c>
      <c r="I1993">
        <v>27</v>
      </c>
      <c r="J1993" s="2">
        <f ca="1">IFERROR((Tabla3[[#This Row],[Close]]-OFFSET(Tabla3[[#This Row],[Close]],-1,0))/OFFSET(Tabla3[[#This Row],[Close]],-1,0),"")</f>
        <v>-9.8663364392959668E-5</v>
      </c>
      <c r="K1993" s="2">
        <f ca="1">IFERROR(AVERAGE(OFFSET(Tabla3[[#This Row],[Close]],-6,0,7)),"")</f>
        <v>2042.671404157363</v>
      </c>
      <c r="L1993" s="2">
        <f ca="1">IFERROR(_xlfn.STDEV.S(OFFSET(Tabla3[[#This Row],[Close]],-29,0,30)),"")</f>
        <v>26.234967713903917</v>
      </c>
    </row>
    <row r="1994" spans="1:12" x14ac:dyDescent="0.3">
      <c r="A1994" s="1">
        <v>45301</v>
      </c>
      <c r="B1994" s="3">
        <f>YEAR(Tabla3[[#This Row],[Date]])</f>
        <v>2024</v>
      </c>
      <c r="C1994" s="1" t="str">
        <f>+TEXT(Tabla3[[#This Row],[Date]],"mmm")</f>
        <v>ene</v>
      </c>
      <c r="D1994" s="2">
        <v>2021.69995117187</v>
      </c>
      <c r="E1994" s="2">
        <v>2021.69995117187</v>
      </c>
      <c r="F1994" s="2">
        <v>2035.59997558593</v>
      </c>
      <c r="G1994" s="2">
        <v>2021.69995117187</v>
      </c>
      <c r="H1994" s="2">
        <v>2029</v>
      </c>
      <c r="I1994">
        <v>538</v>
      </c>
      <c r="J1994" s="2">
        <f ca="1">IFERROR((Tabla3[[#This Row],[Close]]-OFFSET(Tabla3[[#This Row],[Close]],-1,0))/OFFSET(Tabla3[[#This Row],[Close]],-1,0),"")</f>
        <v>-2.3194202455406317E-3</v>
      </c>
      <c r="K1994" s="2">
        <f ca="1">IFERROR(AVERAGE(OFFSET(Tabla3[[#This Row],[Close]],-6,0,7)),"")</f>
        <v>2036.8571254185226</v>
      </c>
      <c r="L1994" s="2">
        <f ca="1">IFERROR(_xlfn.STDEV.S(OFFSET(Tabla3[[#This Row],[Close]],-29,0,30)),"")</f>
        <v>26.013278376146502</v>
      </c>
    </row>
    <row r="1995" spans="1:12" x14ac:dyDescent="0.3">
      <c r="A1995" s="1">
        <v>45302</v>
      </c>
      <c r="B1995" s="3">
        <f>YEAR(Tabla3[[#This Row],[Date]])</f>
        <v>2024</v>
      </c>
      <c r="C1995" s="1" t="str">
        <f>+TEXT(Tabla3[[#This Row],[Date]],"mmm")</f>
        <v>ene</v>
      </c>
      <c r="D1995" s="2">
        <v>2014.30004882812</v>
      </c>
      <c r="E1995" s="2">
        <v>2014.30004882812</v>
      </c>
      <c r="F1995" s="2">
        <v>2025.09997558593</v>
      </c>
      <c r="G1995" s="2">
        <v>2014.30004882812</v>
      </c>
      <c r="H1995" s="2">
        <v>2025.09997558593</v>
      </c>
      <c r="I1995">
        <v>97</v>
      </c>
      <c r="J1995" s="2">
        <f ca="1">IFERROR((Tabla3[[#This Row],[Close]]-OFFSET(Tabla3[[#This Row],[Close]],-1,0))/OFFSET(Tabla3[[#This Row],[Close]],-1,0),"")</f>
        <v>-3.6602376823824312E-3</v>
      </c>
      <c r="K1995" s="2">
        <f ca="1">IFERROR(AVERAGE(OFFSET(Tabla3[[#This Row],[Close]],-6,0,7)),"")</f>
        <v>2029.7000034877185</v>
      </c>
      <c r="L1995" s="2">
        <f ca="1">IFERROR(_xlfn.STDEV.S(OFFSET(Tabla3[[#This Row],[Close]],-29,0,30)),"")</f>
        <v>26.229771065218237</v>
      </c>
    </row>
    <row r="1996" spans="1:12" x14ac:dyDescent="0.3">
      <c r="A1996" s="1">
        <v>45303</v>
      </c>
      <c r="B1996" s="3">
        <f>YEAR(Tabla3[[#This Row],[Date]])</f>
        <v>2024</v>
      </c>
      <c r="C1996" s="1" t="str">
        <f>+TEXT(Tabla3[[#This Row],[Date]],"mmm")</f>
        <v>ene</v>
      </c>
      <c r="D1996" s="2">
        <v>2046.69995117187</v>
      </c>
      <c r="E1996" s="2">
        <v>2046.69995117187</v>
      </c>
      <c r="F1996" s="2">
        <v>2057</v>
      </c>
      <c r="G1996" s="2">
        <v>2031.09997558593</v>
      </c>
      <c r="H1996" s="2">
        <v>2031.09997558593</v>
      </c>
      <c r="I1996">
        <v>390</v>
      </c>
      <c r="J1996" s="2">
        <f ca="1">IFERROR((Tabla3[[#This Row],[Close]]-OFFSET(Tabla3[[#This Row],[Close]],-1,0))/OFFSET(Tabla3[[#This Row],[Close]],-1,0),"")</f>
        <v>1.6084943433625803E-2</v>
      </c>
      <c r="K1996" s="2">
        <f ca="1">IFERROR(AVERAGE(OFFSET(Tabla3[[#This Row],[Close]],-6,0,7)),"")</f>
        <v>2031.4857177734327</v>
      </c>
      <c r="L1996" s="2">
        <f ca="1">IFERROR(_xlfn.STDEV.S(OFFSET(Tabla3[[#This Row],[Close]],-29,0,30)),"")</f>
        <v>26.222474233102421</v>
      </c>
    </row>
    <row r="1997" spans="1:12" x14ac:dyDescent="0.3">
      <c r="A1997" s="1">
        <v>45307</v>
      </c>
      <c r="B1997" s="3">
        <f>YEAR(Tabla3[[#This Row],[Date]])</f>
        <v>2024</v>
      </c>
      <c r="C1997" s="1" t="str">
        <f>+TEXT(Tabla3[[#This Row],[Date]],"mmm")</f>
        <v>ene</v>
      </c>
      <c r="D1997" s="2">
        <v>2026</v>
      </c>
      <c r="E1997" s="2">
        <v>2026</v>
      </c>
      <c r="F1997" s="2">
        <v>2054.80004882812</v>
      </c>
      <c r="G1997" s="2">
        <v>2026</v>
      </c>
      <c r="H1997" s="2">
        <v>2051.69995117187</v>
      </c>
      <c r="I1997">
        <v>46</v>
      </c>
      <c r="J1997" s="2">
        <f ca="1">IFERROR((Tabla3[[#This Row],[Close]]-OFFSET(Tabla3[[#This Row],[Close]],-1,0))/OFFSET(Tabla3[[#This Row],[Close]],-1,0),"")</f>
        <v>-1.0113818178389029E-2</v>
      </c>
      <c r="K1997" s="2">
        <f ca="1">IFERROR(AVERAGE(OFFSET(Tabla3[[#This Row],[Close]],-6,0,7)),"")</f>
        <v>2029.1571393694155</v>
      </c>
      <c r="L1997" s="2">
        <f ca="1">IFERROR(_xlfn.STDEV.S(OFFSET(Tabla3[[#This Row],[Close]],-29,0,30)),"")</f>
        <v>26.234696826675105</v>
      </c>
    </row>
    <row r="1998" spans="1:12" x14ac:dyDescent="0.3">
      <c r="A1998" s="1">
        <v>45308</v>
      </c>
      <c r="B1998" s="3">
        <f>YEAR(Tabla3[[#This Row],[Date]])</f>
        <v>2024</v>
      </c>
      <c r="C1998" s="1" t="str">
        <f>+TEXT(Tabla3[[#This Row],[Date]],"mmm")</f>
        <v>ene</v>
      </c>
      <c r="D1998" s="2">
        <v>2002.59997558593</v>
      </c>
      <c r="E1998" s="2">
        <v>2002.59997558593</v>
      </c>
      <c r="F1998" s="2">
        <v>2026.5</v>
      </c>
      <c r="G1998" s="2">
        <v>2002.59997558593</v>
      </c>
      <c r="H1998" s="2">
        <v>2026.5</v>
      </c>
      <c r="I1998">
        <v>764</v>
      </c>
      <c r="J1998" s="2">
        <f ca="1">IFERROR((Tabla3[[#This Row],[Close]]-OFFSET(Tabla3[[#This Row],[Close]],-1,0))/OFFSET(Tabla3[[#This Row],[Close]],-1,0),"")</f>
        <v>-1.1549863975355382E-2</v>
      </c>
      <c r="K1998" s="2">
        <f ca="1">IFERROR(AVERAGE(OFFSET(Tabla3[[#This Row],[Close]],-6,0,7)),"")</f>
        <v>2023.4714181082543</v>
      </c>
      <c r="L1998" s="2">
        <f ca="1">IFERROR(_xlfn.STDEV.S(OFFSET(Tabla3[[#This Row],[Close]],-29,0,30)),"")</f>
        <v>25.751657764573267</v>
      </c>
    </row>
    <row r="1999" spans="1:12" x14ac:dyDescent="0.3">
      <c r="A1999" s="1">
        <v>45309</v>
      </c>
      <c r="B1999" s="3">
        <f>YEAR(Tabla3[[#This Row],[Date]])</f>
        <v>2024</v>
      </c>
      <c r="C1999" s="1" t="str">
        <f>+TEXT(Tabla3[[#This Row],[Date]],"mmm")</f>
        <v>ene</v>
      </c>
      <c r="D1999" s="2">
        <v>2018.59997558593</v>
      </c>
      <c r="E1999" s="2">
        <v>2018.59997558593</v>
      </c>
      <c r="F1999" s="2">
        <v>2018.59997558593</v>
      </c>
      <c r="G1999" s="2">
        <v>2009.5</v>
      </c>
      <c r="H1999" s="2">
        <v>2012.80004882812</v>
      </c>
      <c r="I1999">
        <v>1474</v>
      </c>
      <c r="J1999" s="2">
        <f ca="1">IFERROR((Tabla3[[#This Row],[Close]]-OFFSET(Tabla3[[#This Row],[Close]],-1,0))/OFFSET(Tabla3[[#This Row],[Close]],-1,0),"")</f>
        <v>7.9896135998496886E-3</v>
      </c>
      <c r="K1999" s="2">
        <f ca="1">IFERROR(AVERAGE(OFFSET(Tabla3[[#This Row],[Close]],-6,0,7)),"")</f>
        <v>2022.3285609653972</v>
      </c>
      <c r="L1999" s="2">
        <f ca="1">IFERROR(_xlfn.STDEV.S(OFFSET(Tabla3[[#This Row],[Close]],-29,0,30)),"")</f>
        <v>25.817084440461844</v>
      </c>
    </row>
    <row r="2000" spans="1:12" x14ac:dyDescent="0.3">
      <c r="A2000" s="1">
        <v>45310</v>
      </c>
      <c r="B2000" s="3">
        <f>YEAR(Tabla3[[#This Row],[Date]])</f>
        <v>2024</v>
      </c>
      <c r="C2000" s="1" t="str">
        <f>+TEXT(Tabla3[[#This Row],[Date]],"mmm")</f>
        <v>ene</v>
      </c>
      <c r="D2000" s="2">
        <v>2026.5</v>
      </c>
      <c r="E2000" s="2">
        <v>2026.5</v>
      </c>
      <c r="F2000" s="2">
        <v>2036</v>
      </c>
      <c r="G2000" s="2">
        <v>2019.5</v>
      </c>
      <c r="H2000" s="2">
        <v>2023.19995117187</v>
      </c>
      <c r="I2000">
        <v>50</v>
      </c>
      <c r="J2000" s="2">
        <f ca="1">IFERROR((Tabla3[[#This Row],[Close]]-OFFSET(Tabla3[[#This Row],[Close]],-1,0))/OFFSET(Tabla3[[#This Row],[Close]],-1,0),"")</f>
        <v>3.9136156294547154E-3</v>
      </c>
      <c r="K2000" s="2">
        <f ca="1">IFERROR(AVERAGE(OFFSET(Tabla3[[#This Row],[Close]],-6,0,7)),"")</f>
        <v>2022.3428431919601</v>
      </c>
      <c r="L2000" s="2">
        <f ca="1">IFERROR(_xlfn.STDEV.S(OFFSET(Tabla3[[#This Row],[Close]],-29,0,30)),"")</f>
        <v>25.733747531031163</v>
      </c>
    </row>
    <row r="2001" spans="1:12" x14ac:dyDescent="0.3">
      <c r="A2001" s="1">
        <v>45313</v>
      </c>
      <c r="B2001" s="3">
        <f>YEAR(Tabla3[[#This Row],[Date]])</f>
        <v>2024</v>
      </c>
      <c r="C2001" s="1" t="str">
        <f>+TEXT(Tabla3[[#This Row],[Date]],"mmm")</f>
        <v>ene</v>
      </c>
      <c r="D2001" s="2">
        <v>2019.80004882812</v>
      </c>
      <c r="E2001" s="2">
        <v>2019.80004882812</v>
      </c>
      <c r="F2001" s="2">
        <v>2021.30004882812</v>
      </c>
      <c r="G2001" s="2">
        <v>2019.80004882812</v>
      </c>
      <c r="H2001" s="2">
        <v>2021.30004882812</v>
      </c>
      <c r="I2001">
        <v>12</v>
      </c>
      <c r="J2001" s="2">
        <f ca="1">IFERROR((Tabla3[[#This Row],[Close]]-OFFSET(Tabla3[[#This Row],[Close]],-1,0))/OFFSET(Tabla3[[#This Row],[Close]],-1,0),"")</f>
        <v>-3.306168848694795E-3</v>
      </c>
      <c r="K2001" s="2">
        <f ca="1">IFERROR(AVERAGE(OFFSET(Tabla3[[#This Row],[Close]],-6,0,7)),"")</f>
        <v>2022.0714285714241</v>
      </c>
      <c r="L2001" s="2">
        <f ca="1">IFERROR(_xlfn.STDEV.S(OFFSET(Tabla3[[#This Row],[Close]],-29,0,30)),"")</f>
        <v>25.806646811904432</v>
      </c>
    </row>
    <row r="2002" spans="1:12" x14ac:dyDescent="0.3">
      <c r="A2002" s="1">
        <v>45314</v>
      </c>
      <c r="B2002" s="3">
        <f>YEAR(Tabla3[[#This Row],[Date]])</f>
        <v>2024</v>
      </c>
      <c r="C2002" s="1" t="str">
        <f>+TEXT(Tabla3[[#This Row],[Date]],"mmm")</f>
        <v>ene</v>
      </c>
      <c r="D2002" s="2">
        <v>2023.69995117187</v>
      </c>
      <c r="E2002" s="2">
        <v>2023.69995117187</v>
      </c>
      <c r="F2002" s="2">
        <v>2030.30004882812</v>
      </c>
      <c r="G2002" s="2">
        <v>2022.5</v>
      </c>
      <c r="H2002" s="2">
        <v>2030.30004882812</v>
      </c>
      <c r="I2002">
        <v>15</v>
      </c>
      <c r="J2002" s="2">
        <f ca="1">IFERROR((Tabla3[[#This Row],[Close]]-OFFSET(Tabla3[[#This Row],[Close]],-1,0))/OFFSET(Tabla3[[#This Row],[Close]],-1,0),"")</f>
        <v>1.9308358498222177E-3</v>
      </c>
      <c r="K2002" s="2">
        <f ca="1">IFERROR(AVERAGE(OFFSET(Tabla3[[#This Row],[Close]],-6,0,7)),"")</f>
        <v>2023.4142717633883</v>
      </c>
      <c r="L2002" s="2">
        <f ca="1">IFERROR(_xlfn.STDEV.S(OFFSET(Tabla3[[#This Row],[Close]],-29,0,30)),"")</f>
        <v>25.832812653983368</v>
      </c>
    </row>
    <row r="2003" spans="1:12" x14ac:dyDescent="0.3">
      <c r="A2003" s="1">
        <v>45315</v>
      </c>
      <c r="B2003" s="3">
        <f>YEAR(Tabla3[[#This Row],[Date]])</f>
        <v>2024</v>
      </c>
      <c r="C2003" s="1" t="str">
        <f>+TEXT(Tabla3[[#This Row],[Date]],"mmm")</f>
        <v>ene</v>
      </c>
      <c r="D2003" s="2">
        <v>2013.90002441406</v>
      </c>
      <c r="E2003" s="2">
        <v>2013.90002441406</v>
      </c>
      <c r="F2003" s="2">
        <v>2033.19995117187</v>
      </c>
      <c r="G2003" s="2">
        <v>2013.90002441406</v>
      </c>
      <c r="H2003" s="2">
        <v>2023.19995117187</v>
      </c>
      <c r="I2003">
        <v>253</v>
      </c>
      <c r="J2003" s="2">
        <f ca="1">IFERROR((Tabla3[[#This Row],[Close]]-OFFSET(Tabla3[[#This Row],[Close]],-1,0))/OFFSET(Tabla3[[#This Row],[Close]],-1,0),"")</f>
        <v>-4.8425789367317652E-3</v>
      </c>
      <c r="K2003" s="2">
        <f ca="1">IFERROR(AVERAGE(OFFSET(Tabla3[[#This Row],[Close]],-6,0,7)),"")</f>
        <v>2018.7285679408444</v>
      </c>
      <c r="L2003" s="2">
        <f ca="1">IFERROR(_xlfn.STDEV.S(OFFSET(Tabla3[[#This Row],[Close]],-29,0,30)),"")</f>
        <v>25.327764996285993</v>
      </c>
    </row>
    <row r="2004" spans="1:12" x14ac:dyDescent="0.3">
      <c r="A2004" s="1">
        <v>45316</v>
      </c>
      <c r="B2004" s="3">
        <f>YEAR(Tabla3[[#This Row],[Date]])</f>
        <v>2024</v>
      </c>
      <c r="C2004" s="1" t="str">
        <f>+TEXT(Tabla3[[#This Row],[Date]],"mmm")</f>
        <v>ene</v>
      </c>
      <c r="D2004" s="2">
        <v>2016.90002441406</v>
      </c>
      <c r="E2004" s="2">
        <v>2016.90002441406</v>
      </c>
      <c r="F2004" s="2">
        <v>2022.40002441406</v>
      </c>
      <c r="G2004" s="2">
        <v>2012.09997558593</v>
      </c>
      <c r="H2004" s="2">
        <v>2012.09997558593</v>
      </c>
      <c r="I2004">
        <v>548</v>
      </c>
      <c r="J2004" s="2">
        <f ca="1">IFERROR((Tabla3[[#This Row],[Close]]-OFFSET(Tabla3[[#This Row],[Close]],-1,0))/OFFSET(Tabla3[[#This Row],[Close]],-1,0),"")</f>
        <v>1.4896469356133226E-3</v>
      </c>
      <c r="K2004" s="2">
        <f ca="1">IFERROR(AVERAGE(OFFSET(Tabla3[[#This Row],[Close]],-6,0,7)),"")</f>
        <v>2017.4285714285672</v>
      </c>
      <c r="L2004" s="2">
        <f ca="1">IFERROR(_xlfn.STDEV.S(OFFSET(Tabla3[[#This Row],[Close]],-29,0,30)),"")</f>
        <v>23.482377701699043</v>
      </c>
    </row>
    <row r="2005" spans="1:12" x14ac:dyDescent="0.3">
      <c r="A2005" s="1">
        <v>45317</v>
      </c>
      <c r="B2005" s="3">
        <f>YEAR(Tabla3[[#This Row],[Date]])</f>
        <v>2024</v>
      </c>
      <c r="C2005" s="1" t="str">
        <f>+TEXT(Tabla3[[#This Row],[Date]],"mmm")</f>
        <v>ene</v>
      </c>
      <c r="D2005" s="2">
        <v>2016.80004882812</v>
      </c>
      <c r="E2005" s="2">
        <v>2016.80004882812</v>
      </c>
      <c r="F2005" s="2">
        <v>2022.40002441406</v>
      </c>
      <c r="G2005" s="2">
        <v>2016.80004882812</v>
      </c>
      <c r="H2005" s="2">
        <v>2021.69995117187</v>
      </c>
      <c r="I2005">
        <v>49</v>
      </c>
      <c r="J2005" s="2">
        <f ca="1">IFERROR((Tabla3[[#This Row],[Close]]-OFFSET(Tabla3[[#This Row],[Close]],-1,0))/OFFSET(Tabla3[[#This Row],[Close]],-1,0),"")</f>
        <v>-4.95689348652993E-5</v>
      </c>
      <c r="K2005" s="2">
        <f ca="1">IFERROR(AVERAGE(OFFSET(Tabla3[[#This Row],[Close]],-6,0,7)),"")</f>
        <v>2019.4571533203086</v>
      </c>
      <c r="L2005" s="2">
        <f ca="1">IFERROR(_xlfn.STDEV.S(OFFSET(Tabla3[[#This Row],[Close]],-29,0,30)),"")</f>
        <v>21.38273907774818</v>
      </c>
    </row>
    <row r="2006" spans="1:12" x14ac:dyDescent="0.3">
      <c r="A2006" s="1">
        <v>45320</v>
      </c>
      <c r="B2006" s="3">
        <f>YEAR(Tabla3[[#This Row],[Date]])</f>
        <v>2024</v>
      </c>
      <c r="C2006" s="1" t="str">
        <f>+TEXT(Tabla3[[#This Row],[Date]],"mmm")</f>
        <v>ene</v>
      </c>
      <c r="D2006" s="2">
        <v>2025.19995117187</v>
      </c>
      <c r="E2006" s="2">
        <v>2025.19995117187</v>
      </c>
      <c r="F2006" s="2">
        <v>2025.19995117187</v>
      </c>
      <c r="G2006" s="2">
        <v>2025.19995117187</v>
      </c>
      <c r="H2006" s="2">
        <v>2025.19995117187</v>
      </c>
      <c r="I2006">
        <v>150708</v>
      </c>
      <c r="J2006" s="2">
        <f ca="1">IFERROR((Tabla3[[#This Row],[Close]]-OFFSET(Tabla3[[#This Row],[Close]],-1,0))/OFFSET(Tabla3[[#This Row],[Close]],-1,0),"")</f>
        <v>4.1649653611575618E-3</v>
      </c>
      <c r="K2006" s="2">
        <f ca="1">IFERROR(AVERAGE(OFFSET(Tabla3[[#This Row],[Close]],-6,0,7)),"")</f>
        <v>2020.4000069754427</v>
      </c>
      <c r="L2006" s="2">
        <f ca="1">IFERROR(_xlfn.STDEV.S(OFFSET(Tabla3[[#This Row],[Close]],-29,0,30)),"")</f>
        <v>19.200145660737132</v>
      </c>
    </row>
    <row r="2007" spans="1:12" x14ac:dyDescent="0.3">
      <c r="A2007" s="1">
        <v>45321</v>
      </c>
      <c r="B2007" s="3">
        <f>YEAR(Tabla3[[#This Row],[Date]])</f>
        <v>2024</v>
      </c>
      <c r="C2007" s="1" t="str">
        <f>+TEXT(Tabla3[[#This Row],[Date]],"mmm")</f>
        <v>ene</v>
      </c>
      <c r="D2007" s="2">
        <v>2031.5</v>
      </c>
      <c r="E2007" s="2">
        <v>2031.5</v>
      </c>
      <c r="F2007" s="2">
        <v>2048.5</v>
      </c>
      <c r="G2007" s="2">
        <v>2028.09997558593</v>
      </c>
      <c r="H2007" s="2">
        <v>2032.5</v>
      </c>
      <c r="I2007">
        <v>26907</v>
      </c>
      <c r="J2007" s="2">
        <f ca="1">IFERROR((Tabla3[[#This Row],[Close]]-OFFSET(Tabla3[[#This Row],[Close]],-1,0))/OFFSET(Tabla3[[#This Row],[Close]],-1,0),"")</f>
        <v>3.1108280565010464E-3</v>
      </c>
      <c r="K2007" s="2">
        <f ca="1">IFERROR(AVERAGE(OFFSET(Tabla3[[#This Row],[Close]],-6,0,7)),"")</f>
        <v>2021.1142926897285</v>
      </c>
      <c r="L2007" s="2">
        <f ca="1">IFERROR(_xlfn.STDEV.S(OFFSET(Tabla3[[#This Row],[Close]],-29,0,30)),"")</f>
        <v>19.191796763696189</v>
      </c>
    </row>
    <row r="2008" spans="1:12" x14ac:dyDescent="0.3">
      <c r="A2008" s="1">
        <v>45322</v>
      </c>
      <c r="B2008" s="3">
        <f>YEAR(Tabla3[[#This Row],[Date]])</f>
        <v>2024</v>
      </c>
      <c r="C2008" s="1" t="str">
        <f>+TEXT(Tabla3[[#This Row],[Date]],"mmm")</f>
        <v>ene</v>
      </c>
      <c r="D2008" s="2">
        <v>2048.39990234375</v>
      </c>
      <c r="E2008" s="2">
        <v>2048.39990234375</v>
      </c>
      <c r="F2008" s="2">
        <v>2055</v>
      </c>
      <c r="G2008" s="2">
        <v>2030</v>
      </c>
      <c r="H2008" s="2">
        <v>2035.40002441406</v>
      </c>
      <c r="I2008">
        <v>2007</v>
      </c>
      <c r="J2008" s="2">
        <f ca="1">IFERROR((Tabla3[[#This Row],[Close]]-OFFSET(Tabla3[[#This Row],[Close]],-1,0))/OFFSET(Tabla3[[#This Row],[Close]],-1,0),"")</f>
        <v>8.3189280550086137E-3</v>
      </c>
      <c r="K2008" s="2">
        <f ca="1">IFERROR(AVERAGE(OFFSET(Tabla3[[#This Row],[Close]],-6,0,7)),"")</f>
        <v>2025.1999860491044</v>
      </c>
      <c r="L2008" s="2">
        <f ca="1">IFERROR(_xlfn.STDEV.S(OFFSET(Tabla3[[#This Row],[Close]],-29,0,30)),"")</f>
        <v>19.184353543858212</v>
      </c>
    </row>
    <row r="2009" spans="1:12" x14ac:dyDescent="0.3">
      <c r="A2009" s="1">
        <v>45323</v>
      </c>
      <c r="B2009" s="3">
        <f>YEAR(Tabla3[[#This Row],[Date]])</f>
        <v>2024</v>
      </c>
      <c r="C2009" s="1" t="str">
        <f>+TEXT(Tabla3[[#This Row],[Date]],"mmm")</f>
        <v>feb</v>
      </c>
      <c r="D2009" s="2">
        <v>2053</v>
      </c>
      <c r="E2009" s="2">
        <v>2053</v>
      </c>
      <c r="F2009" s="2">
        <v>2064.5</v>
      </c>
      <c r="G2009" s="2">
        <v>2029</v>
      </c>
      <c r="H2009" s="2">
        <v>2040.19995117187</v>
      </c>
      <c r="I2009">
        <v>947</v>
      </c>
      <c r="J2009" s="2">
        <f ca="1">IFERROR((Tabla3[[#This Row],[Close]]-OFFSET(Tabla3[[#This Row],[Close]],-1,0))/OFFSET(Tabla3[[#This Row],[Close]],-1,0),"")</f>
        <v>2.2457029269463613E-3</v>
      </c>
      <c r="K2009" s="2">
        <f ca="1">IFERROR(AVERAGE(OFFSET(Tabla3[[#This Row],[Close]],-6,0,7)),"")</f>
        <v>2029.3857073102658</v>
      </c>
      <c r="L2009" s="2">
        <f ca="1">IFERROR(_xlfn.STDEV.S(OFFSET(Tabla3[[#This Row],[Close]],-29,0,30)),"")</f>
        <v>19.368162567592961</v>
      </c>
    </row>
    <row r="2010" spans="1:12" x14ac:dyDescent="0.3">
      <c r="A2010" s="1">
        <v>45324</v>
      </c>
      <c r="B2010" s="3">
        <f>YEAR(Tabla3[[#This Row],[Date]])</f>
        <v>2024</v>
      </c>
      <c r="C2010" s="1" t="str">
        <f>+TEXT(Tabla3[[#This Row],[Date]],"mmm")</f>
        <v>feb</v>
      </c>
      <c r="D2010" s="2">
        <v>2036.09997558593</v>
      </c>
      <c r="E2010" s="2">
        <v>2036.09997558593</v>
      </c>
      <c r="F2010" s="2">
        <v>2055.89990234375</v>
      </c>
      <c r="G2010" s="2">
        <v>2027.69995117187</v>
      </c>
      <c r="H2010" s="2">
        <v>2054.80004882812</v>
      </c>
      <c r="I2010">
        <v>888</v>
      </c>
      <c r="J2010" s="2">
        <f ca="1">IFERROR((Tabla3[[#This Row],[Close]]-OFFSET(Tabla3[[#This Row],[Close]],-1,0))/OFFSET(Tabla3[[#This Row],[Close]],-1,0),"")</f>
        <v>-8.2318677126497833E-3</v>
      </c>
      <c r="K2010" s="2">
        <f ca="1">IFERROR(AVERAGE(OFFSET(Tabla3[[#This Row],[Close]],-6,0,7)),"")</f>
        <v>2032.557128906247</v>
      </c>
      <c r="L2010" s="2">
        <f ca="1">IFERROR(_xlfn.STDEV.S(OFFSET(Tabla3[[#This Row],[Close]],-29,0,30)),"")</f>
        <v>19.363896438220078</v>
      </c>
    </row>
    <row r="2011" spans="1:12" x14ac:dyDescent="0.3">
      <c r="A2011" s="1">
        <v>45327</v>
      </c>
      <c r="B2011" s="3">
        <f>YEAR(Tabla3[[#This Row],[Date]])</f>
        <v>2024</v>
      </c>
      <c r="C2011" s="1" t="str">
        <f>+TEXT(Tabla3[[#This Row],[Date]],"mmm")</f>
        <v>feb</v>
      </c>
      <c r="D2011" s="2">
        <v>2025.69995117187</v>
      </c>
      <c r="E2011" s="2">
        <v>2025.69995117187</v>
      </c>
      <c r="F2011" s="2">
        <v>2040.80004882812</v>
      </c>
      <c r="G2011" s="2">
        <v>2013.80004882812</v>
      </c>
      <c r="H2011" s="2">
        <v>2038.90002441406</v>
      </c>
      <c r="I2011">
        <v>412</v>
      </c>
      <c r="J2011" s="2">
        <f ca="1">IFERROR((Tabla3[[#This Row],[Close]]-OFFSET(Tabla3[[#This Row],[Close]],-1,0))/OFFSET(Tabla3[[#This Row],[Close]],-1,0),"")</f>
        <v>-5.1078161872022895E-3</v>
      </c>
      <c r="K2011" s="2">
        <f ca="1">IFERROR(AVERAGE(OFFSET(Tabla3[[#This Row],[Close]],-6,0,7)),"")</f>
        <v>2033.8142613002199</v>
      </c>
      <c r="L2011" s="2">
        <f ca="1">IFERROR(_xlfn.STDEV.S(OFFSET(Tabla3[[#This Row],[Close]],-29,0,30)),"")</f>
        <v>19.456499164612509</v>
      </c>
    </row>
    <row r="2012" spans="1:12" x14ac:dyDescent="0.3">
      <c r="A2012" s="1">
        <v>45328</v>
      </c>
      <c r="B2012" s="3">
        <f>YEAR(Tabla3[[#This Row],[Date]])</f>
        <v>2024</v>
      </c>
      <c r="C2012" s="1" t="str">
        <f>+TEXT(Tabla3[[#This Row],[Date]],"mmm")</f>
        <v>feb</v>
      </c>
      <c r="D2012" s="2">
        <v>2034.5</v>
      </c>
      <c r="E2012" s="2">
        <v>2034.5</v>
      </c>
      <c r="F2012" s="2">
        <v>2037.30004882812</v>
      </c>
      <c r="G2012" s="2">
        <v>2025.90002441406</v>
      </c>
      <c r="H2012" s="2">
        <v>2025.90002441406</v>
      </c>
      <c r="I2012">
        <v>249</v>
      </c>
      <c r="J2012" s="2">
        <f ca="1">IFERROR((Tabla3[[#This Row],[Close]]-OFFSET(Tabla3[[#This Row],[Close]],-1,0))/OFFSET(Tabla3[[#This Row],[Close]],-1,0),"")</f>
        <v>4.344201530458231E-3</v>
      </c>
      <c r="K2012" s="2">
        <f ca="1">IFERROR(AVERAGE(OFFSET(Tabla3[[#This Row],[Close]],-6,0,7)),"")</f>
        <v>2036.3428257533456</v>
      </c>
      <c r="L2012" s="2">
        <f ca="1">IFERROR(_xlfn.STDEV.S(OFFSET(Tabla3[[#This Row],[Close]],-29,0,30)),"")</f>
        <v>19.448344868155456</v>
      </c>
    </row>
    <row r="2013" spans="1:12" x14ac:dyDescent="0.3">
      <c r="A2013" s="1">
        <v>45329</v>
      </c>
      <c r="B2013" s="3">
        <f>YEAR(Tabla3[[#This Row],[Date]])</f>
        <v>2024</v>
      </c>
      <c r="C2013" s="1" t="str">
        <f>+TEXT(Tabla3[[#This Row],[Date]],"mmm")</f>
        <v>feb</v>
      </c>
      <c r="D2013" s="2">
        <v>2035.19995117187</v>
      </c>
      <c r="E2013" s="2">
        <v>2035.19995117187</v>
      </c>
      <c r="F2013" s="2">
        <v>2039.5</v>
      </c>
      <c r="G2013" s="2">
        <v>2032.69995117187</v>
      </c>
      <c r="H2013" s="2">
        <v>2032.80004882812</v>
      </c>
      <c r="I2013">
        <v>71</v>
      </c>
      <c r="J2013" s="2">
        <f ca="1">IFERROR((Tabla3[[#This Row],[Close]]-OFFSET(Tabla3[[#This Row],[Close]],-1,0))/OFFSET(Tabla3[[#This Row],[Close]],-1,0),"")</f>
        <v>3.4404088074219602E-4</v>
      </c>
      <c r="K2013" s="2">
        <f ca="1">IFERROR(AVERAGE(OFFSET(Tabla3[[#This Row],[Close]],-6,0,7)),"")</f>
        <v>2037.7713971819171</v>
      </c>
      <c r="L2013" s="2">
        <f ca="1">IFERROR(_xlfn.STDEV.S(OFFSET(Tabla3[[#This Row],[Close]],-29,0,30)),"")</f>
        <v>19.02468931562623</v>
      </c>
    </row>
    <row r="2014" spans="1:12" x14ac:dyDescent="0.3">
      <c r="A2014" s="1">
        <v>45330</v>
      </c>
      <c r="B2014" s="3">
        <f>YEAR(Tabla3[[#This Row],[Date]])</f>
        <v>2024</v>
      </c>
      <c r="C2014" s="1" t="str">
        <f>+TEXT(Tabla3[[#This Row],[Date]],"mmm")</f>
        <v>feb</v>
      </c>
      <c r="D2014" s="2">
        <v>2032.19995117187</v>
      </c>
      <c r="E2014" s="2">
        <v>2032.19995117187</v>
      </c>
      <c r="F2014" s="2">
        <v>2036.69995117187</v>
      </c>
      <c r="G2014" s="2">
        <v>2020.30004882812</v>
      </c>
      <c r="H2014" s="2">
        <v>2028</v>
      </c>
      <c r="I2014">
        <v>341</v>
      </c>
      <c r="J2014" s="2">
        <f ca="1">IFERROR((Tabla3[[#This Row],[Close]]-OFFSET(Tabla3[[#This Row],[Close]],-1,0))/OFFSET(Tabla3[[#This Row],[Close]],-1,0),"")</f>
        <v>-1.4740566391388706E-3</v>
      </c>
      <c r="K2014" s="2">
        <f ca="1">IFERROR(AVERAGE(OFFSET(Tabla3[[#This Row],[Close]],-6,0,7)),"")</f>
        <v>2037.8713902064699</v>
      </c>
      <c r="L2014" s="2">
        <f ca="1">IFERROR(_xlfn.STDEV.S(OFFSET(Tabla3[[#This Row],[Close]],-29,0,30)),"")</f>
        <v>18.516485345816928</v>
      </c>
    </row>
    <row r="2015" spans="1:12" x14ac:dyDescent="0.3">
      <c r="A2015" s="1">
        <v>45331</v>
      </c>
      <c r="B2015" s="3">
        <f>YEAR(Tabla3[[#This Row],[Date]])</f>
        <v>2024</v>
      </c>
      <c r="C2015" s="1" t="str">
        <f>+TEXT(Tabla3[[#This Row],[Date]],"mmm")</f>
        <v>feb</v>
      </c>
      <c r="D2015" s="2">
        <v>2023.30004882812</v>
      </c>
      <c r="E2015" s="2">
        <v>2023.30004882812</v>
      </c>
      <c r="F2015" s="2">
        <v>2032</v>
      </c>
      <c r="G2015" s="2">
        <v>2020</v>
      </c>
      <c r="H2015" s="2">
        <v>2032</v>
      </c>
      <c r="I2015">
        <v>62</v>
      </c>
      <c r="J2015" s="2">
        <f ca="1">IFERROR((Tabla3[[#This Row],[Close]]-OFFSET(Tabla3[[#This Row],[Close]],-1,0))/OFFSET(Tabla3[[#This Row],[Close]],-1,0),"")</f>
        <v>-4.3794422584341975E-3</v>
      </c>
      <c r="K2015" s="2">
        <f ca="1">IFERROR(AVERAGE(OFFSET(Tabla3[[#This Row],[Close]],-6,0,7)),"")</f>
        <v>2034.285696847094</v>
      </c>
      <c r="L2015" s="2">
        <f ca="1">IFERROR(_xlfn.STDEV.S(OFFSET(Tabla3[[#This Row],[Close]],-29,0,30)),"")</f>
        <v>16.255940911282838</v>
      </c>
    </row>
    <row r="2016" spans="1:12" x14ac:dyDescent="0.3">
      <c r="A2016" s="1">
        <v>45334</v>
      </c>
      <c r="B2016" s="3">
        <f>YEAR(Tabla3[[#This Row],[Date]])</f>
        <v>2024</v>
      </c>
      <c r="C2016" s="1" t="str">
        <f>+TEXT(Tabla3[[#This Row],[Date]],"mmm")</f>
        <v>feb</v>
      </c>
      <c r="D2016" s="2">
        <v>2018.19995117187</v>
      </c>
      <c r="E2016" s="2">
        <v>2018.19995117187</v>
      </c>
      <c r="F2016" s="2">
        <v>2025.5</v>
      </c>
      <c r="G2016" s="2">
        <v>2011.59997558593</v>
      </c>
      <c r="H2016" s="2">
        <v>2025.5</v>
      </c>
      <c r="I2016">
        <v>317</v>
      </c>
      <c r="J2016" s="2">
        <f ca="1">IFERROR((Tabla3[[#This Row],[Close]]-OFFSET(Tabla3[[#This Row],[Close]],-1,0))/OFFSET(Tabla3[[#This Row],[Close]],-1,0),"")</f>
        <v>-2.5206828118271127E-3</v>
      </c>
      <c r="K2016" s="2">
        <f ca="1">IFERROR(AVERAGE(OFFSET(Tabla3[[#This Row],[Close]],-6,0,7)),"")</f>
        <v>2029.3142613002183</v>
      </c>
      <c r="L2016" s="2">
        <f ca="1">IFERROR(_xlfn.STDEV.S(OFFSET(Tabla3[[#This Row],[Close]],-29,0,30)),"")</f>
        <v>14.400842328798566</v>
      </c>
    </row>
    <row r="2017" spans="1:12" x14ac:dyDescent="0.3">
      <c r="A2017" s="1">
        <v>45335</v>
      </c>
      <c r="B2017" s="3">
        <f>YEAR(Tabla3[[#This Row],[Date]])</f>
        <v>2024</v>
      </c>
      <c r="C2017" s="1" t="str">
        <f>+TEXT(Tabla3[[#This Row],[Date]],"mmm")</f>
        <v>feb</v>
      </c>
      <c r="D2017" s="2">
        <v>1992.90002441406</v>
      </c>
      <c r="E2017" s="2">
        <v>1992.90002441406</v>
      </c>
      <c r="F2017" s="2">
        <v>2025.80004882812</v>
      </c>
      <c r="G2017" s="2">
        <v>1990</v>
      </c>
      <c r="H2017" s="2">
        <v>2025.09997558593</v>
      </c>
      <c r="I2017">
        <v>198</v>
      </c>
      <c r="J2017" s="2">
        <f ca="1">IFERROR((Tabla3[[#This Row],[Close]]-OFFSET(Tabla3[[#This Row],[Close]],-1,0))/OFFSET(Tabla3[[#This Row],[Close]],-1,0),"")</f>
        <v>-1.2535887112235617E-2</v>
      </c>
      <c r="K2017" s="2">
        <f ca="1">IFERROR(AVERAGE(OFFSET(Tabla3[[#This Row],[Close]],-6,0,7)),"")</f>
        <v>2023.1428397042371</v>
      </c>
      <c r="L2017" s="2">
        <f ca="1">IFERROR(_xlfn.STDEV.S(OFFSET(Tabla3[[#This Row],[Close]],-29,0,30)),"")</f>
        <v>14.649708258162701</v>
      </c>
    </row>
    <row r="2018" spans="1:12" x14ac:dyDescent="0.3">
      <c r="A2018" s="1">
        <v>45336</v>
      </c>
      <c r="B2018" s="3">
        <f>YEAR(Tabla3[[#This Row],[Date]])</f>
        <v>2024</v>
      </c>
      <c r="C2018" s="1" t="str">
        <f>+TEXT(Tabla3[[#This Row],[Date]],"mmm")</f>
        <v>feb</v>
      </c>
      <c r="D2018" s="2">
        <v>1990.30004882812</v>
      </c>
      <c r="E2018" s="2">
        <v>1990.30004882812</v>
      </c>
      <c r="F2018" s="2">
        <v>1993.5</v>
      </c>
      <c r="G2018" s="2">
        <v>1984.80004882812</v>
      </c>
      <c r="H2018" s="2">
        <v>1990.30004882812</v>
      </c>
      <c r="I2018">
        <v>1916</v>
      </c>
      <c r="J2018" s="2">
        <f ca="1">IFERROR((Tabla3[[#This Row],[Close]]-OFFSET(Tabla3[[#This Row],[Close]],-1,0))/OFFSET(Tabla3[[#This Row],[Close]],-1,0),"")</f>
        <v>-1.3046191751161374E-3</v>
      </c>
      <c r="K2018" s="2">
        <f ca="1">IFERROR(AVERAGE(OFFSET(Tabla3[[#This Row],[Close]],-6,0,7)),"")</f>
        <v>2018.0857107979871</v>
      </c>
      <c r="L2018" s="2">
        <f ca="1">IFERROR(_xlfn.STDEV.S(OFFSET(Tabla3[[#This Row],[Close]],-29,0,30)),"")</f>
        <v>14.54731869085988</v>
      </c>
    </row>
    <row r="2019" spans="1:12" x14ac:dyDescent="0.3">
      <c r="A2019" s="1">
        <v>45337</v>
      </c>
      <c r="B2019" s="3">
        <f>YEAR(Tabla3[[#This Row],[Date]])</f>
        <v>2024</v>
      </c>
      <c r="C2019" s="1" t="str">
        <f>+TEXT(Tabla3[[#This Row],[Date]],"mmm")</f>
        <v>feb</v>
      </c>
      <c r="D2019" s="2">
        <v>2002.09997558593</v>
      </c>
      <c r="E2019" s="2">
        <v>2002.09997558593</v>
      </c>
      <c r="F2019" s="2">
        <v>2007.19995117187</v>
      </c>
      <c r="G2019" s="2">
        <v>1993.59997558593</v>
      </c>
      <c r="H2019" s="2">
        <v>1993.59997558593</v>
      </c>
      <c r="I2019">
        <v>286</v>
      </c>
      <c r="J2019" s="2">
        <f ca="1">IFERROR((Tabla3[[#This Row],[Close]]-OFFSET(Tabla3[[#This Row],[Close]],-1,0))/OFFSET(Tabla3[[#This Row],[Close]],-1,0),"")</f>
        <v>5.9287175141043407E-3</v>
      </c>
      <c r="K2019" s="2">
        <f ca="1">IFERROR(AVERAGE(OFFSET(Tabla3[[#This Row],[Close]],-6,0,7)),"")</f>
        <v>2013.4571358816916</v>
      </c>
      <c r="L2019" s="2">
        <f ca="1">IFERROR(_xlfn.STDEV.S(OFFSET(Tabla3[[#This Row],[Close]],-29,0,30)),"")</f>
        <v>15.059148353057493</v>
      </c>
    </row>
    <row r="2020" spans="1:12" x14ac:dyDescent="0.3">
      <c r="A2020" s="1">
        <v>45338</v>
      </c>
      <c r="B2020" s="3">
        <f>YEAR(Tabla3[[#This Row],[Date]])</f>
        <v>2024</v>
      </c>
      <c r="C2020" s="1" t="str">
        <f>+TEXT(Tabla3[[#This Row],[Date]],"mmm")</f>
        <v>feb</v>
      </c>
      <c r="D2020" s="2">
        <v>2011.5</v>
      </c>
      <c r="E2020" s="2">
        <v>2011.5</v>
      </c>
      <c r="F2020" s="2">
        <v>2011.5</v>
      </c>
      <c r="G2020" s="2">
        <v>1996.5</v>
      </c>
      <c r="H2020" s="2">
        <v>2005</v>
      </c>
      <c r="I2020">
        <v>32</v>
      </c>
      <c r="J2020" s="2">
        <f ca="1">IFERROR((Tabla3[[#This Row],[Close]]-OFFSET(Tabla3[[#This Row],[Close]],-1,0))/OFFSET(Tabla3[[#This Row],[Close]],-1,0),"")</f>
        <v>4.6950824277988482E-3</v>
      </c>
      <c r="K2020" s="2">
        <f ca="1">IFERROR(AVERAGE(OFFSET(Tabla3[[#This Row],[Close]],-6,0,7)),"")</f>
        <v>2010.0714285714243</v>
      </c>
      <c r="L2020" s="2">
        <f ca="1">IFERROR(_xlfn.STDEV.S(OFFSET(Tabla3[[#This Row],[Close]],-29,0,30)),"")</f>
        <v>14.849396768934881</v>
      </c>
    </row>
    <row r="2021" spans="1:12" x14ac:dyDescent="0.3">
      <c r="A2021" s="1">
        <v>45342</v>
      </c>
      <c r="B2021" s="3">
        <f>YEAR(Tabla3[[#This Row],[Date]])</f>
        <v>2024</v>
      </c>
      <c r="C2021" s="1" t="str">
        <f>+TEXT(Tabla3[[#This Row],[Date]],"mmm")</f>
        <v>feb</v>
      </c>
      <c r="D2021" s="2">
        <v>2027.5</v>
      </c>
      <c r="E2021" s="2">
        <v>2027.5</v>
      </c>
      <c r="F2021" s="2">
        <v>2029</v>
      </c>
      <c r="G2021" s="2">
        <v>2015.59997558593</v>
      </c>
      <c r="H2021" s="2">
        <v>2015.59997558593</v>
      </c>
      <c r="I2021">
        <v>1326</v>
      </c>
      <c r="J2021" s="2">
        <f ca="1">IFERROR((Tabla3[[#This Row],[Close]]-OFFSET(Tabla3[[#This Row],[Close]],-1,0))/OFFSET(Tabla3[[#This Row],[Close]],-1,0),"")</f>
        <v>7.9542629878200342E-3</v>
      </c>
      <c r="K2021" s="2">
        <f ca="1">IFERROR(AVERAGE(OFFSET(Tabla3[[#This Row],[Close]],-6,0,7)),"")</f>
        <v>2009.4000069754427</v>
      </c>
      <c r="L2021" s="2">
        <f ca="1">IFERROR(_xlfn.STDEV.S(OFFSET(Tabla3[[#This Row],[Close]],-29,0,30)),"")</f>
        <v>14.436585175989309</v>
      </c>
    </row>
    <row r="2022" spans="1:12" x14ac:dyDescent="0.3">
      <c r="A2022" s="1">
        <v>45343</v>
      </c>
      <c r="B2022" s="3">
        <f>YEAR(Tabla3[[#This Row],[Date]])</f>
        <v>2024</v>
      </c>
      <c r="C2022" s="1" t="str">
        <f>+TEXT(Tabla3[[#This Row],[Date]],"mmm")</f>
        <v>feb</v>
      </c>
      <c r="D2022" s="2">
        <v>2022.30004882812</v>
      </c>
      <c r="E2022" s="2">
        <v>2022.30004882812</v>
      </c>
      <c r="F2022" s="2">
        <v>2028.19995117187</v>
      </c>
      <c r="G2022" s="2">
        <v>2022.30004882812</v>
      </c>
      <c r="H2022" s="2">
        <v>2028.19995117187</v>
      </c>
      <c r="I2022">
        <v>15</v>
      </c>
      <c r="J2022" s="2">
        <f ca="1">IFERROR((Tabla3[[#This Row],[Close]]-OFFSET(Tabla3[[#This Row],[Close]],-1,0))/OFFSET(Tabla3[[#This Row],[Close]],-1,0),"")</f>
        <v>-2.5647108122712711E-3</v>
      </c>
      <c r="K2022" s="2">
        <f ca="1">IFERROR(AVERAGE(OFFSET(Tabla3[[#This Row],[Close]],-6,0,7)),"")</f>
        <v>2009.2571498325856</v>
      </c>
      <c r="L2022" s="2">
        <f ca="1">IFERROR(_xlfn.STDEV.S(OFFSET(Tabla3[[#This Row],[Close]],-29,0,30)),"")</f>
        <v>14.420296777610824</v>
      </c>
    </row>
    <row r="2023" spans="1:12" x14ac:dyDescent="0.3">
      <c r="A2023" s="1">
        <v>45344</v>
      </c>
      <c r="B2023" s="3">
        <f>YEAR(Tabla3[[#This Row],[Date]])</f>
        <v>2024</v>
      </c>
      <c r="C2023" s="1" t="str">
        <f>+TEXT(Tabla3[[#This Row],[Date]],"mmm")</f>
        <v>feb</v>
      </c>
      <c r="D2023" s="2">
        <v>2019.69995117187</v>
      </c>
      <c r="E2023" s="2">
        <v>2019.69995117187</v>
      </c>
      <c r="F2023" s="2">
        <v>2033.19995117187</v>
      </c>
      <c r="G2023" s="2">
        <v>2019.69995117187</v>
      </c>
      <c r="H2023" s="2">
        <v>2033.19995117187</v>
      </c>
      <c r="I2023">
        <v>964</v>
      </c>
      <c r="J2023" s="2">
        <f ca="1">IFERROR((Tabla3[[#This Row],[Close]]-OFFSET(Tabla3[[#This Row],[Close]],-1,0))/OFFSET(Tabla3[[#This Row],[Close]],-1,0),"")</f>
        <v>-1.2857130957182647E-3</v>
      </c>
      <c r="K2023" s="2">
        <f ca="1">IFERROR(AVERAGE(OFFSET(Tabla3[[#This Row],[Close]],-6,0,7)),"")</f>
        <v>2009.4714355468714</v>
      </c>
      <c r="L2023" s="2">
        <f ca="1">IFERROR(_xlfn.STDEV.S(OFFSET(Tabla3[[#This Row],[Close]],-29,0,30)),"")</f>
        <v>14.414394332047276</v>
      </c>
    </row>
    <row r="2024" spans="1:12" x14ac:dyDescent="0.3">
      <c r="A2024" s="1">
        <v>45345</v>
      </c>
      <c r="B2024" s="3">
        <f>YEAR(Tabla3[[#This Row],[Date]])</f>
        <v>2024</v>
      </c>
      <c r="C2024" s="1" t="str">
        <f>+TEXT(Tabla3[[#This Row],[Date]],"mmm")</f>
        <v>feb</v>
      </c>
      <c r="D2024" s="2">
        <v>2038.59997558593</v>
      </c>
      <c r="E2024" s="2">
        <v>2038.59997558593</v>
      </c>
      <c r="F2024" s="2">
        <v>2038.59997558593</v>
      </c>
      <c r="G2024" s="2">
        <v>2014.90002441406</v>
      </c>
      <c r="H2024" s="2">
        <v>2026</v>
      </c>
      <c r="I2024">
        <v>22</v>
      </c>
      <c r="J2024" s="2">
        <f ca="1">IFERROR((Tabla3[[#This Row],[Close]]-OFFSET(Tabla3[[#This Row],[Close]],-1,0))/OFFSET(Tabla3[[#This Row],[Close]],-1,0),"")</f>
        <v>9.3578377338147823E-3</v>
      </c>
      <c r="K2024" s="2">
        <f ca="1">IFERROR(AVERAGE(OFFSET(Tabla3[[#This Row],[Close]],-6,0,7)),"")</f>
        <v>2015.9999999999957</v>
      </c>
      <c r="L2024" s="2">
        <f ca="1">IFERROR(_xlfn.STDEV.S(OFFSET(Tabla3[[#This Row],[Close]],-29,0,30)),"")</f>
        <v>14.706497776771586</v>
      </c>
    </row>
    <row r="2025" spans="1:12" x14ac:dyDescent="0.3">
      <c r="A2025" s="1">
        <v>45348</v>
      </c>
      <c r="B2025" s="3">
        <f>YEAR(Tabla3[[#This Row],[Date]])</f>
        <v>2024</v>
      </c>
      <c r="C2025" s="1" t="str">
        <f>+TEXT(Tabla3[[#This Row],[Date]],"mmm")</f>
        <v>feb</v>
      </c>
      <c r="D2025" s="2">
        <v>2028.5</v>
      </c>
      <c r="E2025" s="2">
        <v>2028.5</v>
      </c>
      <c r="F2025" s="2">
        <v>2035.40002441406</v>
      </c>
      <c r="G2025" s="2">
        <v>2024.80004882812</v>
      </c>
      <c r="H2025" s="2">
        <v>2034.09997558593</v>
      </c>
      <c r="I2025">
        <v>143</v>
      </c>
      <c r="J2025" s="2">
        <f ca="1">IFERROR((Tabla3[[#This Row],[Close]]-OFFSET(Tabla3[[#This Row],[Close]],-1,0))/OFFSET(Tabla3[[#This Row],[Close]],-1,0),"")</f>
        <v>-4.9543685406093878E-3</v>
      </c>
      <c r="K2025" s="2">
        <f ca="1">IFERROR(AVERAGE(OFFSET(Tabla3[[#This Row],[Close]],-6,0,7)),"")</f>
        <v>2021.4571358816927</v>
      </c>
      <c r="L2025" s="2">
        <f ca="1">IFERROR(_xlfn.STDEV.S(OFFSET(Tabla3[[#This Row],[Close]],-29,0,30)),"")</f>
        <v>14.640760731198784</v>
      </c>
    </row>
    <row r="2026" spans="1:12" x14ac:dyDescent="0.3">
      <c r="A2026" s="1">
        <v>45349</v>
      </c>
      <c r="B2026" s="3">
        <f>YEAR(Tabla3[[#This Row],[Date]])</f>
        <v>2024</v>
      </c>
      <c r="C2026" s="1" t="str">
        <f>+TEXT(Tabla3[[#This Row],[Date]],"mmm")</f>
        <v>feb</v>
      </c>
      <c r="D2026" s="2">
        <v>2034</v>
      </c>
      <c r="E2026" s="2">
        <v>2034</v>
      </c>
      <c r="F2026" s="2">
        <v>2035.90002441406</v>
      </c>
      <c r="G2026" s="2">
        <v>2034</v>
      </c>
      <c r="H2026" s="2">
        <v>2035.90002441406</v>
      </c>
      <c r="I2026">
        <v>964</v>
      </c>
      <c r="J2026" s="2">
        <f ca="1">IFERROR((Tabla3[[#This Row],[Close]]-OFFSET(Tabla3[[#This Row],[Close]],-1,0))/OFFSET(Tabla3[[#This Row],[Close]],-1,0),"")</f>
        <v>2.7113630761646536E-3</v>
      </c>
      <c r="K2026" s="2">
        <f ca="1">IFERROR(AVERAGE(OFFSET(Tabla3[[#This Row],[Close]],-6,0,7)),"")</f>
        <v>2026.01428222656</v>
      </c>
      <c r="L2026" s="2">
        <f ca="1">IFERROR(_xlfn.STDEV.S(OFFSET(Tabla3[[#This Row],[Close]],-29,0,30)),"")</f>
        <v>14.124507214302225</v>
      </c>
    </row>
    <row r="2027" spans="1:12" x14ac:dyDescent="0.3">
      <c r="A2027" s="1">
        <v>45350</v>
      </c>
      <c r="B2027" s="3">
        <f>YEAR(Tabla3[[#This Row],[Date]])</f>
        <v>2024</v>
      </c>
      <c r="C2027" s="1" t="str">
        <f>+TEXT(Tabla3[[#This Row],[Date]],"mmm")</f>
        <v>feb</v>
      </c>
      <c r="D2027" s="2">
        <v>2033</v>
      </c>
      <c r="E2027" s="2">
        <v>2033</v>
      </c>
      <c r="F2027" s="2">
        <v>2037</v>
      </c>
      <c r="G2027" s="2">
        <v>2024.80004882812</v>
      </c>
      <c r="H2027" s="2">
        <v>2029.5</v>
      </c>
      <c r="I2027">
        <v>581</v>
      </c>
      <c r="J2027" s="2">
        <f ca="1">IFERROR((Tabla3[[#This Row],[Close]]-OFFSET(Tabla3[[#This Row],[Close]],-1,0))/OFFSET(Tabla3[[#This Row],[Close]],-1,0),"")</f>
        <v>-4.9164208456243857E-4</v>
      </c>
      <c r="K2027" s="2">
        <f ca="1">IFERROR(AVERAGE(OFFSET(Tabla3[[#This Row],[Close]],-6,0,7)),"")</f>
        <v>2029.0857107979884</v>
      </c>
      <c r="L2027" s="2">
        <f ca="1">IFERROR(_xlfn.STDEV.S(OFFSET(Tabla3[[#This Row],[Close]],-29,0,30)),"")</f>
        <v>14.230067161607245</v>
      </c>
    </row>
    <row r="2028" spans="1:12" x14ac:dyDescent="0.3">
      <c r="A2028" s="1">
        <v>45351</v>
      </c>
      <c r="B2028" s="3">
        <f>YEAR(Tabla3[[#This Row],[Date]])</f>
        <v>2024</v>
      </c>
      <c r="C2028" s="1" t="str">
        <f>+TEXT(Tabla3[[#This Row],[Date]],"mmm")</f>
        <v>feb</v>
      </c>
      <c r="D2028" s="2">
        <v>2045.69995117187</v>
      </c>
      <c r="E2028" s="2">
        <v>2045.69995117187</v>
      </c>
      <c r="F2028" s="2">
        <v>2049.80004882812</v>
      </c>
      <c r="G2028" s="2">
        <v>2034.30004882812</v>
      </c>
      <c r="H2028" s="2">
        <v>2034.30004882812</v>
      </c>
      <c r="I2028">
        <v>706</v>
      </c>
      <c r="J2028" s="2">
        <f ca="1">IFERROR((Tabla3[[#This Row],[Close]]-OFFSET(Tabla3[[#This Row],[Close]],-1,0))/OFFSET(Tabla3[[#This Row],[Close]],-1,0),"")</f>
        <v>6.2469017077570084E-3</v>
      </c>
      <c r="K2028" s="2">
        <f ca="1">IFERROR(AVERAGE(OFFSET(Tabla3[[#This Row],[Close]],-6,0,7)),"")</f>
        <v>2031.6857038225412</v>
      </c>
      <c r="L2028" s="2">
        <f ca="1">IFERROR(_xlfn.STDEV.S(OFFSET(Tabla3[[#This Row],[Close]],-29,0,30)),"")</f>
        <v>14.2316307621977</v>
      </c>
    </row>
    <row r="2029" spans="1:12" x14ac:dyDescent="0.3">
      <c r="A2029" s="1">
        <v>45352</v>
      </c>
      <c r="B2029" s="3">
        <f>YEAR(Tabla3[[#This Row],[Date]])</f>
        <v>2024</v>
      </c>
      <c r="C2029" s="1" t="str">
        <f>+TEXT(Tabla3[[#This Row],[Date]],"mmm")</f>
        <v>mar</v>
      </c>
      <c r="D2029" s="2">
        <v>2086.89990234375</v>
      </c>
      <c r="E2029" s="2">
        <v>2086.89990234375</v>
      </c>
      <c r="F2029" s="2">
        <v>2086.89990234375</v>
      </c>
      <c r="G2029" s="2">
        <v>2041.80004882812</v>
      </c>
      <c r="H2029" s="2">
        <v>2043.09997558593</v>
      </c>
      <c r="I2029">
        <v>1210</v>
      </c>
      <c r="J2029" s="2">
        <f ca="1">IFERROR((Tabla3[[#This Row],[Close]]-OFFSET(Tabla3[[#This Row],[Close]],-1,0))/OFFSET(Tabla3[[#This Row],[Close]],-1,0),"")</f>
        <v>2.0139782057617392E-2</v>
      </c>
      <c r="K2029" s="2">
        <f ca="1">IFERROR(AVERAGE(OFFSET(Tabla3[[#This Row],[Close]],-6,0,7)),"")</f>
        <v>2040.9142543247742</v>
      </c>
      <c r="L2029" s="2">
        <f ca="1">IFERROR(_xlfn.STDEV.S(OFFSET(Tabla3[[#This Row],[Close]],-29,0,30)),"")</f>
        <v>18.126773469690256</v>
      </c>
    </row>
    <row r="2030" spans="1:12" x14ac:dyDescent="0.3">
      <c r="A2030" s="1">
        <v>45355</v>
      </c>
      <c r="B2030" s="3">
        <f>YEAR(Tabla3[[#This Row],[Date]])</f>
        <v>2024</v>
      </c>
      <c r="C2030" s="1" t="str">
        <f>+TEXT(Tabla3[[#This Row],[Date]],"mmm")</f>
        <v>mar</v>
      </c>
      <c r="D2030" s="2">
        <v>2117.69995117187</v>
      </c>
      <c r="E2030" s="2">
        <v>2117.69995117187</v>
      </c>
      <c r="F2030" s="2">
        <v>2119.80004882812</v>
      </c>
      <c r="G2030" s="2">
        <v>2080.69995117187</v>
      </c>
      <c r="H2030" s="2">
        <v>2083.60009765625</v>
      </c>
      <c r="I2030">
        <v>805</v>
      </c>
      <c r="J2030" s="2">
        <f ca="1">IFERROR((Tabla3[[#This Row],[Close]]-OFFSET(Tabla3[[#This Row],[Close]],-1,0))/OFFSET(Tabla3[[#This Row],[Close]],-1,0),"")</f>
        <v>1.4758757137095633E-2</v>
      </c>
      <c r="K2030" s="2">
        <f ca="1">IFERROR(AVERAGE(OFFSET(Tabla3[[#This Row],[Close]],-6,0,7)),"")</f>
        <v>2054.914254324774</v>
      </c>
      <c r="L2030" s="2">
        <f ca="1">IFERROR(_xlfn.STDEV.S(OFFSET(Tabla3[[#This Row],[Close]],-29,0,30)),"")</f>
        <v>24.532941335454606</v>
      </c>
    </row>
    <row r="2031" spans="1:12" x14ac:dyDescent="0.3">
      <c r="A2031" s="1">
        <v>45356</v>
      </c>
      <c r="B2031" s="3">
        <f>YEAR(Tabla3[[#This Row],[Date]])</f>
        <v>2024</v>
      </c>
      <c r="C2031" s="1" t="str">
        <f>+TEXT(Tabla3[[#This Row],[Date]],"mmm")</f>
        <v>mar</v>
      </c>
      <c r="D2031" s="2">
        <v>2133.5</v>
      </c>
      <c r="E2031" s="2">
        <v>2133.5</v>
      </c>
      <c r="F2031" s="2">
        <v>2133.5</v>
      </c>
      <c r="G2031" s="2">
        <v>2111.39990234375</v>
      </c>
      <c r="H2031" s="2">
        <v>2114.89990234375</v>
      </c>
      <c r="I2031">
        <v>1287</v>
      </c>
      <c r="J2031" s="2">
        <f ca="1">IFERROR((Tabla3[[#This Row],[Close]]-OFFSET(Tabla3[[#This Row],[Close]],-1,0))/OFFSET(Tabla3[[#This Row],[Close]],-1,0),"")</f>
        <v>7.4609478171762441E-3</v>
      </c>
      <c r="K2031" s="2">
        <f ca="1">IFERROR(AVERAGE(OFFSET(Tabla3[[#This Row],[Close]],-6,0,7)),"")</f>
        <v>2068.4714006696413</v>
      </c>
      <c r="L2031" s="2">
        <f ca="1">IFERROR(_xlfn.STDEV.S(OFFSET(Tabla3[[#This Row],[Close]],-29,0,30)),"")</f>
        <v>30.84596013913259</v>
      </c>
    </row>
    <row r="2032" spans="1:12" x14ac:dyDescent="0.3">
      <c r="A2032" s="1">
        <v>45357</v>
      </c>
      <c r="B2032" s="3">
        <f>YEAR(Tabla3[[#This Row],[Date]])</f>
        <v>2024</v>
      </c>
      <c r="C2032" s="1" t="str">
        <f>+TEXT(Tabla3[[#This Row],[Date]],"mmm")</f>
        <v>mar</v>
      </c>
      <c r="D2032" s="2">
        <v>2150.30004882812</v>
      </c>
      <c r="E2032" s="2">
        <v>2150.30004882812</v>
      </c>
      <c r="F2032" s="2">
        <v>2150.30004882812</v>
      </c>
      <c r="G2032" s="2">
        <v>2125.5</v>
      </c>
      <c r="H2032" s="2">
        <v>2125.5</v>
      </c>
      <c r="I2032">
        <v>443</v>
      </c>
      <c r="J2032" s="2">
        <f ca="1">IFERROR((Tabla3[[#This Row],[Close]]-OFFSET(Tabla3[[#This Row],[Close]],-1,0))/OFFSET(Tabla3[[#This Row],[Close]],-1,0),"")</f>
        <v>7.8744077000796799E-3</v>
      </c>
      <c r="K2032" s="2">
        <f ca="1">IFERROR(AVERAGE(OFFSET(Tabla3[[#This Row],[Close]],-6,0,7)),"")</f>
        <v>2085.8714076450869</v>
      </c>
      <c r="L2032" s="2">
        <f ca="1">IFERROR(_xlfn.STDEV.S(OFFSET(Tabla3[[#This Row],[Close]],-29,0,30)),"")</f>
        <v>37.365027764025939</v>
      </c>
    </row>
    <row r="2033" spans="1:12" x14ac:dyDescent="0.3">
      <c r="A2033" s="1">
        <v>45358</v>
      </c>
      <c r="B2033" s="3">
        <f>YEAR(Tabla3[[#This Row],[Date]])</f>
        <v>2024</v>
      </c>
      <c r="C2033" s="1" t="str">
        <f>+TEXT(Tabla3[[#This Row],[Date]],"mmm")</f>
        <v>mar</v>
      </c>
      <c r="D2033" s="2">
        <v>2158</v>
      </c>
      <c r="E2033" s="2">
        <v>2158</v>
      </c>
      <c r="F2033" s="2">
        <v>2163</v>
      </c>
      <c r="G2033" s="2">
        <v>2147</v>
      </c>
      <c r="H2033" s="2">
        <v>2147</v>
      </c>
      <c r="I2033">
        <v>152</v>
      </c>
      <c r="J2033" s="2">
        <f ca="1">IFERROR((Tabla3[[#This Row],[Close]]-OFFSET(Tabla3[[#This Row],[Close]],-1,0))/OFFSET(Tabla3[[#This Row],[Close]],-1,0),"")</f>
        <v>3.5808729000756686E-3</v>
      </c>
      <c r="K2033" s="2">
        <f ca="1">IFERROR(AVERAGE(OFFSET(Tabla3[[#This Row],[Close]],-6,0,7)),"")</f>
        <v>2103.5856933593727</v>
      </c>
      <c r="L2033" s="2">
        <f ca="1">IFERROR(_xlfn.STDEV.S(OFFSET(Tabla3[[#This Row],[Close]],-29,0,30)),"")</f>
        <v>42.976887158286239</v>
      </c>
    </row>
    <row r="2034" spans="1:12" x14ac:dyDescent="0.3">
      <c r="A2034" s="1">
        <v>45359</v>
      </c>
      <c r="B2034" s="3">
        <f>YEAR(Tabla3[[#This Row],[Date]])</f>
        <v>2024</v>
      </c>
      <c r="C2034" s="1" t="str">
        <f>+TEXT(Tabla3[[#This Row],[Date]],"mmm")</f>
        <v>mar</v>
      </c>
      <c r="D2034" s="2">
        <v>2178.60009765625</v>
      </c>
      <c r="E2034" s="2">
        <v>2178.60009765625</v>
      </c>
      <c r="F2034" s="2">
        <v>2194.89990234375</v>
      </c>
      <c r="G2034" s="2">
        <v>2166.30004882812</v>
      </c>
      <c r="H2034" s="2">
        <v>2167.30004882812</v>
      </c>
      <c r="I2034">
        <v>259</v>
      </c>
      <c r="J2034" s="2">
        <f ca="1">IFERROR((Tabla3[[#This Row],[Close]]-OFFSET(Tabla3[[#This Row],[Close]],-1,0))/OFFSET(Tabla3[[#This Row],[Close]],-1,0),"")</f>
        <v>9.5459210640639475E-3</v>
      </c>
      <c r="K2034" s="2">
        <f ca="1">IFERROR(AVERAGE(OFFSET(Tabla3[[#This Row],[Close]],-6,0,7)),"")</f>
        <v>2124.3857073102654</v>
      </c>
      <c r="L2034" s="2">
        <f ca="1">IFERROR(_xlfn.STDEV.S(OFFSET(Tabla3[[#This Row],[Close]],-29,0,30)),"")</f>
        <v>49.271723717288317</v>
      </c>
    </row>
    <row r="2035" spans="1:12" x14ac:dyDescent="0.3">
      <c r="A2035" s="1">
        <v>45362</v>
      </c>
      <c r="B2035" s="3">
        <f>YEAR(Tabla3[[#This Row],[Date]])</f>
        <v>2024</v>
      </c>
      <c r="C2035" s="1" t="str">
        <f>+TEXT(Tabla3[[#This Row],[Date]],"mmm")</f>
        <v>mar</v>
      </c>
      <c r="D2035" s="2">
        <v>2182.5</v>
      </c>
      <c r="E2035" s="2">
        <v>2182.5</v>
      </c>
      <c r="F2035" s="2">
        <v>2184</v>
      </c>
      <c r="G2035" s="2">
        <v>2177.19995117187</v>
      </c>
      <c r="H2035" s="2">
        <v>2181</v>
      </c>
      <c r="I2035">
        <v>738</v>
      </c>
      <c r="J2035" s="2">
        <f ca="1">IFERROR((Tabla3[[#This Row],[Close]]-OFFSET(Tabla3[[#This Row],[Close]],-1,0))/OFFSET(Tabla3[[#This Row],[Close]],-1,0),"")</f>
        <v>1.7900955517010839E-3</v>
      </c>
      <c r="K2035" s="2">
        <f ca="1">IFERROR(AVERAGE(OFFSET(Tabla3[[#This Row],[Close]],-6,0,7)),"")</f>
        <v>2143.9285714285697</v>
      </c>
      <c r="L2035" s="2">
        <f ca="1">IFERROR(_xlfn.STDEV.S(OFFSET(Tabla3[[#This Row],[Close]],-29,0,30)),"")</f>
        <v>54.608720360572718</v>
      </c>
    </row>
    <row r="2036" spans="1:12" x14ac:dyDescent="0.3">
      <c r="A2036" s="1">
        <v>45363</v>
      </c>
      <c r="B2036" s="3">
        <f>YEAR(Tabla3[[#This Row],[Date]])</f>
        <v>2024</v>
      </c>
      <c r="C2036" s="1" t="str">
        <f>+TEXT(Tabla3[[#This Row],[Date]],"mmm")</f>
        <v>mar</v>
      </c>
      <c r="D2036" s="2">
        <v>2160.39990234375</v>
      </c>
      <c r="E2036" s="2">
        <v>2160.39990234375</v>
      </c>
      <c r="F2036" s="2">
        <v>2182.69995117187</v>
      </c>
      <c r="G2036" s="2">
        <v>2160.39990234375</v>
      </c>
      <c r="H2036" s="2">
        <v>2182.5</v>
      </c>
      <c r="I2036">
        <v>550</v>
      </c>
      <c r="J2036" s="2">
        <f ca="1">IFERROR((Tabla3[[#This Row],[Close]]-OFFSET(Tabla3[[#This Row],[Close]],-1,0))/OFFSET(Tabla3[[#This Row],[Close]],-1,0),"")</f>
        <v>-1.0126047036082475E-2</v>
      </c>
      <c r="K2036" s="2">
        <f ca="1">IFERROR(AVERAGE(OFFSET(Tabla3[[#This Row],[Close]],-6,0,7)),"")</f>
        <v>2154.4285714285697</v>
      </c>
      <c r="L2036" s="2">
        <f ca="1">IFERROR(_xlfn.STDEV.S(OFFSET(Tabla3[[#This Row],[Close]],-29,0,30)),"")</f>
        <v>57.652764912659251</v>
      </c>
    </row>
    <row r="2037" spans="1:12" x14ac:dyDescent="0.3">
      <c r="A2037" s="1">
        <v>45364</v>
      </c>
      <c r="B2037" s="3">
        <f>YEAR(Tabla3[[#This Row],[Date]])</f>
        <v>2024</v>
      </c>
      <c r="C2037" s="1" t="str">
        <f>+TEXT(Tabla3[[#This Row],[Date]],"mmm")</f>
        <v>mar</v>
      </c>
      <c r="D2037" s="2">
        <v>2175.39990234375</v>
      </c>
      <c r="E2037" s="2">
        <v>2175.39990234375</v>
      </c>
      <c r="F2037" s="2">
        <v>2175.39990234375</v>
      </c>
      <c r="G2037" s="2">
        <v>2162.5</v>
      </c>
      <c r="H2037" s="2">
        <v>2162.5</v>
      </c>
      <c r="I2037">
        <v>20</v>
      </c>
      <c r="J2037" s="2">
        <f ca="1">IFERROR((Tabla3[[#This Row],[Close]]-OFFSET(Tabla3[[#This Row],[Close]],-1,0))/OFFSET(Tabla3[[#This Row],[Close]],-1,0),"")</f>
        <v>6.9431589881701859E-3</v>
      </c>
      <c r="K2037" s="2">
        <f ca="1">IFERROR(AVERAGE(OFFSET(Tabla3[[#This Row],[Close]],-6,0,7)),"")</f>
        <v>2162.6714215959814</v>
      </c>
      <c r="L2037" s="2">
        <f ca="1">IFERROR(_xlfn.STDEV.S(OFFSET(Tabla3[[#This Row],[Close]],-29,0,30)),"")</f>
        <v>61.213467620831317</v>
      </c>
    </row>
    <row r="2038" spans="1:12" x14ac:dyDescent="0.3">
      <c r="A2038" s="1">
        <v>45365</v>
      </c>
      <c r="B2038" s="3">
        <f>YEAR(Tabla3[[#This Row],[Date]])</f>
        <v>2024</v>
      </c>
      <c r="C2038" s="1" t="str">
        <f>+TEXT(Tabla3[[#This Row],[Date]],"mmm")</f>
        <v>mar</v>
      </c>
      <c r="D2038" s="2">
        <v>2163</v>
      </c>
      <c r="E2038" s="2">
        <v>2163</v>
      </c>
      <c r="F2038" s="2">
        <v>2163</v>
      </c>
      <c r="G2038" s="2">
        <v>2162.30004882812</v>
      </c>
      <c r="H2038" s="2">
        <v>2163</v>
      </c>
      <c r="I2038">
        <v>515</v>
      </c>
      <c r="J2038" s="2">
        <f ca="1">IFERROR((Tabla3[[#This Row],[Close]]-OFFSET(Tabla3[[#This Row],[Close]],-1,0))/OFFSET(Tabla3[[#This Row],[Close]],-1,0),"")</f>
        <v>-5.7000564955392765E-3</v>
      </c>
      <c r="K2038" s="2">
        <f ca="1">IFERROR(AVERAGE(OFFSET(Tabla3[[#This Row],[Close]],-6,0,7)),"")</f>
        <v>2166.8857073102672</v>
      </c>
      <c r="L2038" s="2">
        <f ca="1">IFERROR(_xlfn.STDEV.S(OFFSET(Tabla3[[#This Row],[Close]],-29,0,30)),"")</f>
        <v>63.780009304768484</v>
      </c>
    </row>
    <row r="2039" spans="1:12" x14ac:dyDescent="0.3">
      <c r="A2039" s="1">
        <v>45366</v>
      </c>
      <c r="B2039" s="3">
        <f>YEAR(Tabla3[[#This Row],[Date]])</f>
        <v>2024</v>
      </c>
      <c r="C2039" s="1" t="str">
        <f>+TEXT(Tabla3[[#This Row],[Date]],"mmm")</f>
        <v>mar</v>
      </c>
      <c r="D2039" s="2">
        <v>2157.30004882812</v>
      </c>
      <c r="E2039" s="2">
        <v>2157.30004882812</v>
      </c>
      <c r="F2039" s="2">
        <v>2161.69995117187</v>
      </c>
      <c r="G2039" s="2">
        <v>2157.30004882812</v>
      </c>
      <c r="H2039" s="2">
        <v>2161.69995117187</v>
      </c>
      <c r="I2039">
        <v>100</v>
      </c>
      <c r="J2039" s="2">
        <f ca="1">IFERROR((Tabla3[[#This Row],[Close]]-OFFSET(Tabla3[[#This Row],[Close]],-1,0))/OFFSET(Tabla3[[#This Row],[Close]],-1,0),"")</f>
        <v>-2.6352062745631077E-3</v>
      </c>
      <c r="K2039" s="2">
        <f ca="1">IFERROR(AVERAGE(OFFSET(Tabla3[[#This Row],[Close]],-6,0,7)),"")</f>
        <v>2167.8857073102672</v>
      </c>
      <c r="L2039" s="2">
        <f ca="1">IFERROR(_xlfn.STDEV.S(OFFSET(Tabla3[[#This Row],[Close]],-29,0,30)),"")</f>
        <v>65.800144345370981</v>
      </c>
    </row>
    <row r="2040" spans="1:12" x14ac:dyDescent="0.3">
      <c r="A2040" s="1">
        <v>45369</v>
      </c>
      <c r="B2040" s="3">
        <f>YEAR(Tabla3[[#This Row],[Date]])</f>
        <v>2024</v>
      </c>
      <c r="C2040" s="1" t="str">
        <f>+TEXT(Tabla3[[#This Row],[Date]],"mmm")</f>
        <v>mar</v>
      </c>
      <c r="D2040" s="2">
        <v>2160.69995117187</v>
      </c>
      <c r="E2040" s="2">
        <v>2160.69995117187</v>
      </c>
      <c r="F2040" s="2">
        <v>2160.69995117187</v>
      </c>
      <c r="G2040" s="2">
        <v>2146.19995117187</v>
      </c>
      <c r="H2040" s="2">
        <v>2146.19995117187</v>
      </c>
      <c r="I2040">
        <v>21</v>
      </c>
      <c r="J2040" s="2">
        <f ca="1">IFERROR((Tabla3[[#This Row],[Close]]-OFFSET(Tabla3[[#This Row],[Close]],-1,0))/OFFSET(Tabla3[[#This Row],[Close]],-1,0),"")</f>
        <v>1.5759988257529969E-3</v>
      </c>
      <c r="K2040" s="2">
        <f ca="1">IFERROR(AVERAGE(OFFSET(Tabla3[[#This Row],[Close]],-6,0,7)),"")</f>
        <v>2168.271414620534</v>
      </c>
      <c r="L2040" s="2">
        <f ca="1">IFERROR(_xlfn.STDEV.S(OFFSET(Tabla3[[#This Row],[Close]],-29,0,30)),"")</f>
        <v>67.465472335767998</v>
      </c>
    </row>
    <row r="2041" spans="1:12" x14ac:dyDescent="0.3">
      <c r="A2041" s="1">
        <v>45370</v>
      </c>
      <c r="B2041" s="3">
        <f>YEAR(Tabla3[[#This Row],[Date]])</f>
        <v>2024</v>
      </c>
      <c r="C2041" s="1" t="str">
        <f>+TEXT(Tabla3[[#This Row],[Date]],"mmm")</f>
        <v>mar</v>
      </c>
      <c r="D2041" s="2">
        <v>2156.30004882812</v>
      </c>
      <c r="E2041" s="2">
        <v>2156.30004882812</v>
      </c>
      <c r="F2041" s="2">
        <v>2156.30004882812</v>
      </c>
      <c r="G2041" s="2">
        <v>2156.10009765625</v>
      </c>
      <c r="H2041" s="2">
        <v>2156.10009765625</v>
      </c>
      <c r="I2041">
        <v>12</v>
      </c>
      <c r="J2041" s="2">
        <f ca="1">IFERROR((Tabla3[[#This Row],[Close]]-OFFSET(Tabla3[[#This Row],[Close]],-1,0))/OFFSET(Tabla3[[#This Row],[Close]],-1,0),"")</f>
        <v>-2.0363319494516967E-3</v>
      </c>
      <c r="K2041" s="2">
        <f ca="1">IFERROR(AVERAGE(OFFSET(Tabla3[[#This Row],[Close]],-6,0,7)),"")</f>
        <v>2165.0856933593727</v>
      </c>
      <c r="L2041" s="2">
        <f ca="1">IFERROR(_xlfn.STDEV.S(OFFSET(Tabla3[[#This Row],[Close]],-29,0,30)),"")</f>
        <v>68.405028290022287</v>
      </c>
    </row>
    <row r="2042" spans="1:12" x14ac:dyDescent="0.3">
      <c r="A2042" s="1">
        <v>45371</v>
      </c>
      <c r="B2042" s="3">
        <f>YEAR(Tabla3[[#This Row],[Date]])</f>
        <v>2024</v>
      </c>
      <c r="C2042" s="1" t="str">
        <f>+TEXT(Tabla3[[#This Row],[Date]],"mmm")</f>
        <v>mar</v>
      </c>
      <c r="D2042" s="2">
        <v>2157.89990234375</v>
      </c>
      <c r="E2042" s="2">
        <v>2157.89990234375</v>
      </c>
      <c r="F2042" s="2">
        <v>2185.89990234375</v>
      </c>
      <c r="G2042" s="2">
        <v>2150.89990234375</v>
      </c>
      <c r="H2042" s="2">
        <v>2157.30004882812</v>
      </c>
      <c r="I2042">
        <v>17</v>
      </c>
      <c r="J2042" s="2">
        <f ca="1">IFERROR((Tabla3[[#This Row],[Close]]-OFFSET(Tabla3[[#This Row],[Close]],-1,0))/OFFSET(Tabla3[[#This Row],[Close]],-1,0),"")</f>
        <v>7.4194382943109955E-4</v>
      </c>
      <c r="K2042" s="2">
        <f ca="1">IFERROR(AVERAGE(OFFSET(Tabla3[[#This Row],[Close]],-6,0,7)),"")</f>
        <v>2161.5713936941943</v>
      </c>
      <c r="L2042" s="2">
        <f ca="1">IFERROR(_xlfn.STDEV.S(OFFSET(Tabla3[[#This Row],[Close]],-29,0,30)),"")</f>
        <v>69.340421750754317</v>
      </c>
    </row>
    <row r="2043" spans="1:12" x14ac:dyDescent="0.3">
      <c r="A2043" s="1">
        <v>45372</v>
      </c>
      <c r="B2043" s="3">
        <f>YEAR(Tabla3[[#This Row],[Date]])</f>
        <v>2024</v>
      </c>
      <c r="C2043" s="1" t="str">
        <f>+TEXT(Tabla3[[#This Row],[Date]],"mmm")</f>
        <v>mar</v>
      </c>
      <c r="D2043" s="2">
        <v>2182.39990234375</v>
      </c>
      <c r="E2043" s="2">
        <v>2182.39990234375</v>
      </c>
      <c r="F2043" s="2">
        <v>2211.60009765625</v>
      </c>
      <c r="G2043" s="2">
        <v>2182.39990234375</v>
      </c>
      <c r="H2043" s="2">
        <v>2207</v>
      </c>
      <c r="I2043">
        <v>63</v>
      </c>
      <c r="J2043" s="2">
        <f ca="1">IFERROR((Tabla3[[#This Row],[Close]]-OFFSET(Tabla3[[#This Row],[Close]],-1,0))/OFFSET(Tabla3[[#This Row],[Close]],-1,0),"")</f>
        <v>1.1353631358613959E-2</v>
      </c>
      <c r="K2043" s="2">
        <f ca="1">IFERROR(AVERAGE(OFFSET(Tabla3[[#This Row],[Close]],-6,0,7)),"")</f>
        <v>2164.7142508370512</v>
      </c>
      <c r="L2043" s="2">
        <f ca="1">IFERROR(_xlfn.STDEV.S(OFFSET(Tabla3[[#This Row],[Close]],-29,0,30)),"")</f>
        <v>71.020545975937367</v>
      </c>
    </row>
    <row r="2044" spans="1:12" x14ac:dyDescent="0.3">
      <c r="A2044" s="1">
        <v>45373</v>
      </c>
      <c r="B2044" s="3">
        <f>YEAR(Tabla3[[#This Row],[Date]])</f>
        <v>2024</v>
      </c>
      <c r="C2044" s="1" t="str">
        <f>+TEXT(Tabla3[[#This Row],[Date]],"mmm")</f>
        <v>mar</v>
      </c>
      <c r="D2044" s="2">
        <v>2158.10009765625</v>
      </c>
      <c r="E2044" s="2">
        <v>2158.10009765625</v>
      </c>
      <c r="F2044" s="2">
        <v>2179.60009765625</v>
      </c>
      <c r="G2044" s="2">
        <v>2157.5</v>
      </c>
      <c r="H2044" s="2">
        <v>2179.19995117187</v>
      </c>
      <c r="I2044">
        <v>19</v>
      </c>
      <c r="J2044" s="2">
        <f ca="1">IFERROR((Tabla3[[#This Row],[Close]]-OFFSET(Tabla3[[#This Row],[Close]],-1,0))/OFFSET(Tabla3[[#This Row],[Close]],-1,0),"")</f>
        <v>-1.1134441795659747E-2</v>
      </c>
      <c r="K2044" s="2">
        <f ca="1">IFERROR(AVERAGE(OFFSET(Tabla3[[#This Row],[Close]],-6,0,7)),"")</f>
        <v>2162.2428501674085</v>
      </c>
      <c r="L2044" s="2">
        <f ca="1">IFERROR(_xlfn.STDEV.S(OFFSET(Tabla3[[#This Row],[Close]],-29,0,30)),"")</f>
        <v>71.327260686377528</v>
      </c>
    </row>
    <row r="2045" spans="1:12" x14ac:dyDescent="0.3">
      <c r="A2045" s="1">
        <v>45376</v>
      </c>
      <c r="B2045" s="3">
        <f>YEAR(Tabla3[[#This Row],[Date]])</f>
        <v>2024</v>
      </c>
      <c r="C2045" s="1" t="str">
        <f>+TEXT(Tabla3[[#This Row],[Date]],"mmm")</f>
        <v>mar</v>
      </c>
      <c r="D2045" s="2">
        <v>2174.80004882812</v>
      </c>
      <c r="E2045" s="2">
        <v>2174.80004882812</v>
      </c>
      <c r="F2045" s="2">
        <v>2179.39990234375</v>
      </c>
      <c r="G2045" s="2">
        <v>2166.19995117187</v>
      </c>
      <c r="H2045" s="2">
        <v>2166.19995117187</v>
      </c>
      <c r="I2045">
        <v>79</v>
      </c>
      <c r="J2045" s="2">
        <f ca="1">IFERROR((Tabla3[[#This Row],[Close]]-OFFSET(Tabla3[[#This Row],[Close]],-1,0))/OFFSET(Tabla3[[#This Row],[Close]],-1,0),"")</f>
        <v>7.7382653334785341E-3</v>
      </c>
      <c r="K2045" s="2">
        <f ca="1">IFERROR(AVERAGE(OFFSET(Tabla3[[#This Row],[Close]],-6,0,7)),"")</f>
        <v>2163.9285714285684</v>
      </c>
      <c r="L2045" s="2">
        <f ca="1">IFERROR(_xlfn.STDEV.S(OFFSET(Tabla3[[#This Row],[Close]],-29,0,30)),"")</f>
        <v>71.641877057412955</v>
      </c>
    </row>
    <row r="2046" spans="1:12" x14ac:dyDescent="0.3">
      <c r="A2046" s="1">
        <v>45377</v>
      </c>
      <c r="B2046" s="3">
        <f>YEAR(Tabla3[[#This Row],[Date]])</f>
        <v>2024</v>
      </c>
      <c r="C2046" s="1" t="str">
        <f>+TEXT(Tabla3[[#This Row],[Date]],"mmm")</f>
        <v>mar</v>
      </c>
      <c r="D2046" s="2">
        <v>2175.60009765625</v>
      </c>
      <c r="E2046" s="2">
        <v>2175.60009765625</v>
      </c>
      <c r="F2046" s="2">
        <v>2182.69995117187</v>
      </c>
      <c r="G2046" s="2">
        <v>2175.60009765625</v>
      </c>
      <c r="H2046" s="2">
        <v>2182.69995117187</v>
      </c>
      <c r="I2046">
        <v>202373</v>
      </c>
      <c r="J2046" s="2">
        <f ca="1">IFERROR((Tabla3[[#This Row],[Close]]-OFFSET(Tabla3[[#This Row],[Close]],-1,0))/OFFSET(Tabla3[[#This Row],[Close]],-1,0),"")</f>
        <v>3.6787236075385619E-4</v>
      </c>
      <c r="K2046" s="2">
        <f ca="1">IFERROR(AVERAGE(OFFSET(Tabla3[[#This Row],[Close]],-6,0,7)),"")</f>
        <v>2166.5428641183012</v>
      </c>
      <c r="L2046" s="2">
        <f ca="1">IFERROR(_xlfn.STDEV.S(OFFSET(Tabla3[[#This Row],[Close]],-29,0,30)),"")</f>
        <v>71.414744306307512</v>
      </c>
    </row>
    <row r="2047" spans="1:12" x14ac:dyDescent="0.3">
      <c r="A2047" s="1">
        <v>45378</v>
      </c>
      <c r="B2047" s="3">
        <f>YEAR(Tabla3[[#This Row],[Date]])</f>
        <v>2024</v>
      </c>
      <c r="C2047" s="1" t="str">
        <f>+TEXT(Tabla3[[#This Row],[Date]],"mmm")</f>
        <v>mar</v>
      </c>
      <c r="D2047" s="2">
        <v>2190.60009765625</v>
      </c>
      <c r="E2047" s="2">
        <v>2190.60009765625</v>
      </c>
      <c r="F2047" s="2">
        <v>2196.19995117187</v>
      </c>
      <c r="G2047" s="2">
        <v>2172.10009765625</v>
      </c>
      <c r="H2047" s="2">
        <v>2179.39990234375</v>
      </c>
      <c r="I2047">
        <v>31200</v>
      </c>
      <c r="J2047" s="2">
        <f ca="1">IFERROR((Tabla3[[#This Row],[Close]]-OFFSET(Tabla3[[#This Row],[Close]],-1,0))/OFFSET(Tabla3[[#This Row],[Close]],-1,0),"")</f>
        <v>6.8946494423121852E-3</v>
      </c>
      <c r="K2047" s="2">
        <f ca="1">IFERROR(AVERAGE(OFFSET(Tabla3[[#This Row],[Close]],-6,0,7)),"")</f>
        <v>2170.8143136160697</v>
      </c>
      <c r="L2047" s="2">
        <f ca="1">IFERROR(_xlfn.STDEV.S(OFFSET(Tabla3[[#This Row],[Close]],-29,0,30)),"")</f>
        <v>70.059567173951166</v>
      </c>
    </row>
    <row r="2048" spans="1:12" x14ac:dyDescent="0.3">
      <c r="A2048" s="1">
        <v>45379</v>
      </c>
      <c r="B2048" s="3">
        <f>YEAR(Tabla3[[#This Row],[Date]])</f>
        <v>2024</v>
      </c>
      <c r="C2048" s="1" t="str">
        <f>+TEXT(Tabla3[[#This Row],[Date]],"mmm")</f>
        <v>mar</v>
      </c>
      <c r="D2048" s="2">
        <v>2217.39990234375</v>
      </c>
      <c r="E2048" s="2">
        <v>2217.39990234375</v>
      </c>
      <c r="F2048" s="2">
        <v>2234.10009765625</v>
      </c>
      <c r="G2048" s="2">
        <v>2187.10009765625</v>
      </c>
      <c r="H2048" s="2">
        <v>2193.60009765625</v>
      </c>
      <c r="I2048">
        <v>2040</v>
      </c>
      <c r="J2048" s="2">
        <f ca="1">IFERROR((Tabla3[[#This Row],[Close]]-OFFSET(Tabla3[[#This Row],[Close]],-1,0))/OFFSET(Tabla3[[#This Row],[Close]],-1,0),"")</f>
        <v>1.2234001411838447E-2</v>
      </c>
      <c r="K2048" s="2">
        <f ca="1">IFERROR(AVERAGE(OFFSET(Tabla3[[#This Row],[Close]],-6,0,7)),"")</f>
        <v>2179.542864118303</v>
      </c>
      <c r="L2048" s="2">
        <f ca="1">IFERROR(_xlfn.STDEV.S(OFFSET(Tabla3[[#This Row],[Close]],-29,0,30)),"")</f>
        <v>69.041520249786501</v>
      </c>
    </row>
    <row r="2049" spans="1:12" x14ac:dyDescent="0.3">
      <c r="A2049" s="1">
        <v>45383</v>
      </c>
      <c r="B2049" s="3">
        <f>YEAR(Tabla3[[#This Row],[Date]])</f>
        <v>2024</v>
      </c>
      <c r="C2049" s="1" t="str">
        <f>+TEXT(Tabla3[[#This Row],[Date]],"mmm")</f>
        <v>abr</v>
      </c>
      <c r="D2049" s="2">
        <v>2236.5</v>
      </c>
      <c r="E2049" s="2">
        <v>2236.5</v>
      </c>
      <c r="F2049" s="2">
        <v>2264.19995117187</v>
      </c>
      <c r="G2049" s="2">
        <v>2230</v>
      </c>
      <c r="H2049" s="2">
        <v>2235.69995117187</v>
      </c>
      <c r="I2049">
        <v>400</v>
      </c>
      <c r="J2049" s="2">
        <f ca="1">IFERROR((Tabla3[[#This Row],[Close]]-OFFSET(Tabla3[[#This Row],[Close]],-1,0))/OFFSET(Tabla3[[#This Row],[Close]],-1,0),"")</f>
        <v>8.6137361312506391E-3</v>
      </c>
      <c r="K2049" s="2">
        <f ca="1">IFERROR(AVERAGE(OFFSET(Tabla3[[#This Row],[Close]],-6,0,7)),"")</f>
        <v>2190.7714494977672</v>
      </c>
      <c r="L2049" s="2">
        <f ca="1">IFERROR(_xlfn.STDEV.S(OFFSET(Tabla3[[#This Row],[Close]],-29,0,30)),"")</f>
        <v>68.891114597224586</v>
      </c>
    </row>
    <row r="2050" spans="1:12" x14ac:dyDescent="0.3">
      <c r="A2050" s="1">
        <v>45384</v>
      </c>
      <c r="B2050" s="3">
        <f>YEAR(Tabla3[[#This Row],[Date]])</f>
        <v>2024</v>
      </c>
      <c r="C2050" s="1" t="str">
        <f>+TEXT(Tabla3[[#This Row],[Date]],"mmm")</f>
        <v>abr</v>
      </c>
      <c r="D2050" s="2">
        <v>2261</v>
      </c>
      <c r="E2050" s="2">
        <v>2261</v>
      </c>
      <c r="F2050" s="2">
        <v>2279.19995117187</v>
      </c>
      <c r="G2050" s="2">
        <v>2247.60009765625</v>
      </c>
      <c r="H2050" s="2">
        <v>2252</v>
      </c>
      <c r="I2050">
        <v>435</v>
      </c>
      <c r="J2050" s="2">
        <f ca="1">IFERROR((Tabla3[[#This Row],[Close]]-OFFSET(Tabla3[[#This Row],[Close]],-1,0))/OFFSET(Tabla3[[#This Row],[Close]],-1,0),"")</f>
        <v>1.0954616588419406E-2</v>
      </c>
      <c r="K2050" s="2">
        <f ca="1">IFERROR(AVERAGE(OFFSET(Tabla3[[#This Row],[Close]],-6,0,7)),"")</f>
        <v>2202.0000348772314</v>
      </c>
      <c r="L2050" s="2">
        <f ca="1">IFERROR(_xlfn.STDEV.S(OFFSET(Tabla3[[#This Row],[Close]],-29,0,30)),"")</f>
        <v>69.833995019782748</v>
      </c>
    </row>
    <row r="2051" spans="1:12" x14ac:dyDescent="0.3">
      <c r="A2051" s="1">
        <v>45385</v>
      </c>
      <c r="B2051" s="3">
        <f>YEAR(Tabla3[[#This Row],[Date]])</f>
        <v>2024</v>
      </c>
      <c r="C2051" s="1" t="str">
        <f>+TEXT(Tabla3[[#This Row],[Date]],"mmm")</f>
        <v>abr</v>
      </c>
      <c r="D2051" s="2">
        <v>2294.39990234375</v>
      </c>
      <c r="E2051" s="2">
        <v>2294.39990234375</v>
      </c>
      <c r="F2051" s="2">
        <v>2298.80004882812</v>
      </c>
      <c r="G2051" s="2">
        <v>2267.89990234375</v>
      </c>
      <c r="H2051" s="2">
        <v>2281.69995117187</v>
      </c>
      <c r="I2051">
        <v>285</v>
      </c>
      <c r="J2051" s="2">
        <f ca="1">IFERROR((Tabla3[[#This Row],[Close]]-OFFSET(Tabla3[[#This Row],[Close]],-1,0))/OFFSET(Tabla3[[#This Row],[Close]],-1,0),"")</f>
        <v>1.477218148772667E-2</v>
      </c>
      <c r="K2051" s="2">
        <f ca="1">IFERROR(AVERAGE(OFFSET(Tabla3[[#This Row],[Close]],-6,0,7)),"")</f>
        <v>2221.4714355468741</v>
      </c>
      <c r="L2051" s="2">
        <f ca="1">IFERROR(_xlfn.STDEV.S(OFFSET(Tabla3[[#This Row],[Close]],-29,0,30)),"")</f>
        <v>72.889898824697013</v>
      </c>
    </row>
    <row r="2052" spans="1:12" x14ac:dyDescent="0.3">
      <c r="A2052" s="1">
        <v>45386</v>
      </c>
      <c r="B2052" s="3">
        <f>YEAR(Tabla3[[#This Row],[Date]])</f>
        <v>2024</v>
      </c>
      <c r="C2052" s="1" t="str">
        <f>+TEXT(Tabla3[[#This Row],[Date]],"mmm")</f>
        <v>abr</v>
      </c>
      <c r="D2052" s="2">
        <v>2288.80004882812</v>
      </c>
      <c r="E2052" s="2">
        <v>2288.80004882812</v>
      </c>
      <c r="F2052" s="2">
        <v>2302.89990234375</v>
      </c>
      <c r="G2052" s="2">
        <v>2280</v>
      </c>
      <c r="H2052" s="2">
        <v>2301.69995117187</v>
      </c>
      <c r="I2052">
        <v>251</v>
      </c>
      <c r="J2052" s="2">
        <f ca="1">IFERROR((Tabla3[[#This Row],[Close]]-OFFSET(Tabla3[[#This Row],[Close]],-1,0))/OFFSET(Tabla3[[#This Row],[Close]],-1,0),"")</f>
        <v>-2.4406615036505633E-3</v>
      </c>
      <c r="K2052" s="2">
        <f ca="1">IFERROR(AVERAGE(OFFSET(Tabla3[[#This Row],[Close]],-6,0,7)),"")</f>
        <v>2237.7571498325883</v>
      </c>
      <c r="L2052" s="2">
        <f ca="1">IFERROR(_xlfn.STDEV.S(OFFSET(Tabla3[[#This Row],[Close]],-29,0,30)),"")</f>
        <v>74.066158442457393</v>
      </c>
    </row>
    <row r="2053" spans="1:12" x14ac:dyDescent="0.3">
      <c r="A2053" s="1">
        <v>45387</v>
      </c>
      <c r="B2053" s="3">
        <f>YEAR(Tabla3[[#This Row],[Date]])</f>
        <v>2024</v>
      </c>
      <c r="C2053" s="1" t="str">
        <f>+TEXT(Tabla3[[#This Row],[Date]],"mmm")</f>
        <v>abr</v>
      </c>
      <c r="D2053" s="2">
        <v>2325.69995117187</v>
      </c>
      <c r="E2053" s="2">
        <v>2325.69995117187</v>
      </c>
      <c r="F2053" s="2">
        <v>2328.39990234375</v>
      </c>
      <c r="G2053" s="2">
        <v>2267.39990234375</v>
      </c>
      <c r="H2053" s="2">
        <v>2289.19995117187</v>
      </c>
      <c r="I2053">
        <v>344</v>
      </c>
      <c r="J2053" s="2">
        <f ca="1">IFERROR((Tabla3[[#This Row],[Close]]-OFFSET(Tabla3[[#This Row],[Close]],-1,0))/OFFSET(Tabla3[[#This Row],[Close]],-1,0),"")</f>
        <v>1.6121942308871838E-2</v>
      </c>
      <c r="K2053" s="2">
        <f ca="1">IFERROR(AVERAGE(OFFSET(Tabla3[[#This Row],[Close]],-6,0,7)),"")</f>
        <v>2259.1999860491055</v>
      </c>
      <c r="L2053" s="2">
        <f ca="1">IFERROR(_xlfn.STDEV.S(OFFSET(Tabla3[[#This Row],[Close]],-29,0,30)),"")</f>
        <v>76.451520487794454</v>
      </c>
    </row>
    <row r="2054" spans="1:12" x14ac:dyDescent="0.3">
      <c r="A2054" s="1">
        <v>45390</v>
      </c>
      <c r="B2054" s="3">
        <f>YEAR(Tabla3[[#This Row],[Date]])</f>
        <v>2024</v>
      </c>
      <c r="C2054" s="1" t="str">
        <f>+TEXT(Tabla3[[#This Row],[Date]],"mmm")</f>
        <v>abr</v>
      </c>
      <c r="D2054" s="2">
        <v>2331.69995117187</v>
      </c>
      <c r="E2054" s="2">
        <v>2331.69995117187</v>
      </c>
      <c r="F2054" s="2">
        <v>2341.80004882812</v>
      </c>
      <c r="G2054" s="2">
        <v>2319</v>
      </c>
      <c r="H2054" s="2">
        <v>2325.60009765625</v>
      </c>
      <c r="I2054">
        <v>202</v>
      </c>
      <c r="J2054" s="2">
        <f ca="1">IFERROR((Tabla3[[#This Row],[Close]]-OFFSET(Tabla3[[#This Row],[Close]],-1,0))/OFFSET(Tabla3[[#This Row],[Close]],-1,0),"")</f>
        <v>2.5798684808746412E-3</v>
      </c>
      <c r="K2054" s="2">
        <f ca="1">IFERROR(AVERAGE(OFFSET(Tabla3[[#This Row],[Close]],-6,0,7)),"")</f>
        <v>2279.3571079799085</v>
      </c>
      <c r="L2054" s="2">
        <f ca="1">IFERROR(_xlfn.STDEV.S(OFFSET(Tabla3[[#This Row],[Close]],-29,0,30)),"")</f>
        <v>78.984589642685918</v>
      </c>
    </row>
    <row r="2055" spans="1:12" x14ac:dyDescent="0.3">
      <c r="A2055" s="1">
        <v>45391</v>
      </c>
      <c r="B2055" s="3">
        <f>YEAR(Tabla3[[#This Row],[Date]])</f>
        <v>2024</v>
      </c>
      <c r="C2055" s="1" t="str">
        <f>+TEXT(Tabla3[[#This Row],[Date]],"mmm")</f>
        <v>abr</v>
      </c>
      <c r="D2055" s="2">
        <v>2343.5</v>
      </c>
      <c r="E2055" s="2">
        <v>2343.5</v>
      </c>
      <c r="F2055" s="2">
        <v>2364.69995117187</v>
      </c>
      <c r="G2055" s="2">
        <v>2337.80004882812</v>
      </c>
      <c r="H2055" s="2">
        <v>2337.80004882812</v>
      </c>
      <c r="I2055">
        <v>211</v>
      </c>
      <c r="J2055" s="2">
        <f ca="1">IFERROR((Tabla3[[#This Row],[Close]]-OFFSET(Tabla3[[#This Row],[Close]],-1,0))/OFFSET(Tabla3[[#This Row],[Close]],-1,0),"")</f>
        <v>5.0607063838550553E-3</v>
      </c>
      <c r="K2055" s="2">
        <f ca="1">IFERROR(AVERAGE(OFFSET(Tabla3[[#This Row],[Close]],-6,0,7)),"")</f>
        <v>2297.3714076450869</v>
      </c>
      <c r="L2055" s="2">
        <f ca="1">IFERROR(_xlfn.STDEV.S(OFFSET(Tabla3[[#This Row],[Close]],-29,0,30)),"")</f>
        <v>80.37416868922287</v>
      </c>
    </row>
    <row r="2056" spans="1:12" x14ac:dyDescent="0.3">
      <c r="A2056" s="1">
        <v>45392</v>
      </c>
      <c r="B2056" s="3">
        <f>YEAR(Tabla3[[#This Row],[Date]])</f>
        <v>2024</v>
      </c>
      <c r="C2056" s="1" t="str">
        <f>+TEXT(Tabla3[[#This Row],[Date]],"mmm")</f>
        <v>abr</v>
      </c>
      <c r="D2056" s="2">
        <v>2329.60009765625</v>
      </c>
      <c r="E2056" s="2">
        <v>2329.60009765625</v>
      </c>
      <c r="F2056" s="2">
        <v>2358.10009765625</v>
      </c>
      <c r="G2056" s="2">
        <v>2327.69995117187</v>
      </c>
      <c r="H2056" s="2">
        <v>2346.60009765625</v>
      </c>
      <c r="I2056">
        <v>377</v>
      </c>
      <c r="J2056" s="2">
        <f ca="1">IFERROR((Tabla3[[#This Row],[Close]]-OFFSET(Tabla3[[#This Row],[Close]],-1,0))/OFFSET(Tabla3[[#This Row],[Close]],-1,0),"")</f>
        <v>-5.9312576674845317E-3</v>
      </c>
      <c r="K2056" s="2">
        <f ca="1">IFERROR(AVERAGE(OFFSET(Tabla3[[#This Row],[Close]],-6,0,7)),"")</f>
        <v>2310.6714215959796</v>
      </c>
      <c r="L2056" s="2">
        <f ca="1">IFERROR(_xlfn.STDEV.S(OFFSET(Tabla3[[#This Row],[Close]],-29,0,30)),"")</f>
        <v>79.841880155609701</v>
      </c>
    </row>
    <row r="2057" spans="1:12" x14ac:dyDescent="0.3">
      <c r="A2057" s="1">
        <v>45393</v>
      </c>
      <c r="B2057" s="3">
        <f>YEAR(Tabla3[[#This Row],[Date]])</f>
        <v>2024</v>
      </c>
      <c r="C2057" s="1" t="str">
        <f>+TEXT(Tabla3[[#This Row],[Date]],"mmm")</f>
        <v>abr</v>
      </c>
      <c r="D2057" s="2">
        <v>2354.80004882812</v>
      </c>
      <c r="E2057" s="2">
        <v>2354.80004882812</v>
      </c>
      <c r="F2057" s="2">
        <v>2376.30004882812</v>
      </c>
      <c r="G2057" s="2">
        <v>2330.60009765625</v>
      </c>
      <c r="H2057" s="2">
        <v>2341.5</v>
      </c>
      <c r="I2057">
        <v>283</v>
      </c>
      <c r="J2057" s="2">
        <f ca="1">IFERROR((Tabla3[[#This Row],[Close]]-OFFSET(Tabla3[[#This Row],[Close]],-1,0))/OFFSET(Tabla3[[#This Row],[Close]],-1,0),"")</f>
        <v>1.0817286278972521E-2</v>
      </c>
      <c r="K2057" s="2">
        <f ca="1">IFERROR(AVERAGE(OFFSET(Tabla3[[#This Row],[Close]],-6,0,7)),"")</f>
        <v>2324.0714285714253</v>
      </c>
      <c r="L2057" s="2">
        <f ca="1">IFERROR(_xlfn.STDEV.S(OFFSET(Tabla3[[#This Row],[Close]],-29,0,30)),"")</f>
        <v>79.511350478131064</v>
      </c>
    </row>
    <row r="2058" spans="1:12" x14ac:dyDescent="0.3">
      <c r="A2058" s="1">
        <v>45394</v>
      </c>
      <c r="B2058" s="3">
        <f>YEAR(Tabla3[[#This Row],[Date]])</f>
        <v>2024</v>
      </c>
      <c r="C2058" s="1" t="str">
        <f>+TEXT(Tabla3[[#This Row],[Date]],"mmm")</f>
        <v>abr</v>
      </c>
      <c r="D2058" s="2">
        <v>2356.19995117187</v>
      </c>
      <c r="E2058" s="2">
        <v>2356.19995117187</v>
      </c>
      <c r="F2058" s="2">
        <v>2429</v>
      </c>
      <c r="G2058" s="2">
        <v>2334.30004882812</v>
      </c>
      <c r="H2058" s="2">
        <v>2377.30004882812</v>
      </c>
      <c r="I2058">
        <v>584</v>
      </c>
      <c r="J2058" s="2">
        <f ca="1">IFERROR((Tabla3[[#This Row],[Close]]-OFFSET(Tabla3[[#This Row],[Close]],-1,0))/OFFSET(Tabla3[[#This Row],[Close]],-1,0),"")</f>
        <v>5.944888375752623E-4</v>
      </c>
      <c r="K2058" s="2">
        <f ca="1">IFERROR(AVERAGE(OFFSET(Tabla3[[#This Row],[Close]],-6,0,7)),"")</f>
        <v>2332.9000069754429</v>
      </c>
      <c r="L2058" s="2">
        <f ca="1">IFERROR(_xlfn.STDEV.S(OFFSET(Tabla3[[#This Row],[Close]],-29,0,30)),"")</f>
        <v>78.718062708497314</v>
      </c>
    </row>
    <row r="2059" spans="1:12" x14ac:dyDescent="0.3">
      <c r="A2059" s="1">
        <v>45397</v>
      </c>
      <c r="B2059" s="3">
        <f>YEAR(Tabla3[[#This Row],[Date]])</f>
        <v>2024</v>
      </c>
      <c r="C2059" s="1" t="str">
        <f>+TEXT(Tabla3[[#This Row],[Date]],"mmm")</f>
        <v>abr</v>
      </c>
      <c r="D2059" s="2">
        <v>2365.80004882812</v>
      </c>
      <c r="E2059" s="2">
        <v>2365.80004882812</v>
      </c>
      <c r="F2059" s="2">
        <v>2384.69995117187</v>
      </c>
      <c r="G2059" s="2">
        <v>2326</v>
      </c>
      <c r="H2059" s="2">
        <v>2362.10009765625</v>
      </c>
      <c r="I2059">
        <v>1801</v>
      </c>
      <c r="J2059" s="2">
        <f ca="1">IFERROR((Tabla3[[#This Row],[Close]]-OFFSET(Tabla3[[#This Row],[Close]],-1,0))/OFFSET(Tabla3[[#This Row],[Close]],-1,0),"")</f>
        <v>4.0743985464711235E-3</v>
      </c>
      <c r="K2059" s="2">
        <f ca="1">IFERROR(AVERAGE(OFFSET(Tabla3[[#This Row],[Close]],-6,0,7)),"")</f>
        <v>2343.9000069754429</v>
      </c>
      <c r="L2059" s="2">
        <f ca="1">IFERROR(_xlfn.STDEV.S(OFFSET(Tabla3[[#This Row],[Close]],-29,0,30)),"")</f>
        <v>79.896158055882353</v>
      </c>
    </row>
    <row r="2060" spans="1:12" x14ac:dyDescent="0.3">
      <c r="A2060" s="1">
        <v>45398</v>
      </c>
      <c r="B2060" s="3">
        <f>YEAR(Tabla3[[#This Row],[Date]])</f>
        <v>2024</v>
      </c>
      <c r="C2060" s="1" t="str">
        <f>+TEXT(Tabla3[[#This Row],[Date]],"mmm")</f>
        <v>abr</v>
      </c>
      <c r="D2060" s="2">
        <v>2390.80004882812</v>
      </c>
      <c r="E2060" s="2">
        <v>2390.80004882812</v>
      </c>
      <c r="F2060" s="2">
        <v>2390.80004882812</v>
      </c>
      <c r="G2060" s="2">
        <v>2371.39990234375</v>
      </c>
      <c r="H2060" s="2">
        <v>2384</v>
      </c>
      <c r="I2060">
        <v>41</v>
      </c>
      <c r="J2060" s="2">
        <f ca="1">IFERROR((Tabla3[[#This Row],[Close]]-OFFSET(Tabla3[[#This Row],[Close]],-1,0))/OFFSET(Tabla3[[#This Row],[Close]],-1,0),"")</f>
        <v>1.0567249760766362E-2</v>
      </c>
      <c r="K2060" s="2">
        <f ca="1">IFERROR(AVERAGE(OFFSET(Tabla3[[#This Row],[Close]],-6,0,7)),"")</f>
        <v>2353.2000209263356</v>
      </c>
      <c r="L2060" s="2">
        <f ca="1">IFERROR(_xlfn.STDEV.S(OFFSET(Tabla3[[#This Row],[Close]],-29,0,30)),"")</f>
        <v>83.177990240172093</v>
      </c>
    </row>
    <row r="2061" spans="1:12" x14ac:dyDescent="0.3">
      <c r="A2061" s="1">
        <v>45399</v>
      </c>
      <c r="B2061" s="3">
        <f>YEAR(Tabla3[[#This Row],[Date]])</f>
        <v>2024</v>
      </c>
      <c r="C2061" s="1" t="str">
        <f>+TEXT(Tabla3[[#This Row],[Date]],"mmm")</f>
        <v>abr</v>
      </c>
      <c r="D2061" s="2">
        <v>2371.69995117187</v>
      </c>
      <c r="E2061" s="2">
        <v>2371.69995117187</v>
      </c>
      <c r="F2061" s="2">
        <v>2391.39990234375</v>
      </c>
      <c r="G2061" s="2">
        <v>2369.30004882812</v>
      </c>
      <c r="H2061" s="2">
        <v>2384.19995117187</v>
      </c>
      <c r="I2061">
        <v>37</v>
      </c>
      <c r="J2061" s="2">
        <f ca="1">IFERROR((Tabla3[[#This Row],[Close]]-OFFSET(Tabla3[[#This Row],[Close]],-1,0))/OFFSET(Tabla3[[#This Row],[Close]],-1,0),"")</f>
        <v>-7.9889983545935375E-3</v>
      </c>
      <c r="K2061" s="2">
        <f ca="1">IFERROR(AVERAGE(OFFSET(Tabla3[[#This Row],[Close]],-6,0,7)),"")</f>
        <v>2358.9143066406214</v>
      </c>
      <c r="L2061" s="2">
        <f ca="1">IFERROR(_xlfn.STDEV.S(OFFSET(Tabla3[[#This Row],[Close]],-29,0,30)),"")</f>
        <v>84.960411303292062</v>
      </c>
    </row>
    <row r="2062" spans="1:12" x14ac:dyDescent="0.3">
      <c r="A2062" s="1">
        <v>45400</v>
      </c>
      <c r="B2062" s="3">
        <f>YEAR(Tabla3[[#This Row],[Date]])</f>
        <v>2024</v>
      </c>
      <c r="C2062" s="1" t="str">
        <f>+TEXT(Tabla3[[#This Row],[Date]],"mmm")</f>
        <v>abr</v>
      </c>
      <c r="D2062" s="2">
        <v>2382.30004882812</v>
      </c>
      <c r="E2062" s="2">
        <v>2382.30004882812</v>
      </c>
      <c r="F2062" s="2">
        <v>2384.39990234375</v>
      </c>
      <c r="G2062" s="2">
        <v>2368.39990234375</v>
      </c>
      <c r="H2062" s="2">
        <v>2368.39990234375</v>
      </c>
      <c r="I2062">
        <v>128</v>
      </c>
      <c r="J2062" s="2">
        <f ca="1">IFERROR((Tabla3[[#This Row],[Close]]-OFFSET(Tabla3[[#This Row],[Close]],-1,0))/OFFSET(Tabla3[[#This Row],[Close]],-1,0),"")</f>
        <v>4.4694092315566451E-3</v>
      </c>
      <c r="K2062" s="2">
        <f ca="1">IFERROR(AVERAGE(OFFSET(Tabla3[[#This Row],[Close]],-6,0,7)),"")</f>
        <v>2364.4571707589239</v>
      </c>
      <c r="L2062" s="2">
        <f ca="1">IFERROR(_xlfn.STDEV.S(OFFSET(Tabla3[[#This Row],[Close]],-29,0,30)),"")</f>
        <v>87.200796502666847</v>
      </c>
    </row>
    <row r="2063" spans="1:12" x14ac:dyDescent="0.3">
      <c r="A2063" s="1">
        <v>45401</v>
      </c>
      <c r="B2063" s="3">
        <f>YEAR(Tabla3[[#This Row],[Date]])</f>
        <v>2024</v>
      </c>
      <c r="C2063" s="1" t="str">
        <f>+TEXT(Tabla3[[#This Row],[Date]],"mmm")</f>
        <v>abr</v>
      </c>
      <c r="D2063" s="2">
        <v>2398.39990234375</v>
      </c>
      <c r="E2063" s="2">
        <v>2398.39990234375</v>
      </c>
      <c r="F2063" s="2">
        <v>2399.80004882812</v>
      </c>
      <c r="G2063" s="2">
        <v>2377.30004882812</v>
      </c>
      <c r="H2063" s="2">
        <v>2379.30004882812</v>
      </c>
      <c r="I2063">
        <v>160</v>
      </c>
      <c r="J2063" s="2">
        <f ca="1">IFERROR((Tabla3[[#This Row],[Close]]-OFFSET(Tabla3[[#This Row],[Close]],-1,0))/OFFSET(Tabla3[[#This Row],[Close]],-1,0),"")</f>
        <v>6.7581132458733317E-3</v>
      </c>
      <c r="K2063" s="2">
        <f ca="1">IFERROR(AVERAGE(OFFSET(Tabla3[[#This Row],[Close]],-6,0,7)),"")</f>
        <v>2374.2857142857101</v>
      </c>
      <c r="L2063" s="2">
        <f ca="1">IFERROR(_xlfn.STDEV.S(OFFSET(Tabla3[[#This Row],[Close]],-29,0,30)),"")</f>
        <v>89.835456118703377</v>
      </c>
    </row>
    <row r="2064" spans="1:12" x14ac:dyDescent="0.3">
      <c r="A2064" s="1">
        <v>45404</v>
      </c>
      <c r="B2064" s="3">
        <f>YEAR(Tabla3[[#This Row],[Date]])</f>
        <v>2024</v>
      </c>
      <c r="C2064" s="1" t="str">
        <f>+TEXT(Tabla3[[#This Row],[Date]],"mmm")</f>
        <v>abr</v>
      </c>
      <c r="D2064" s="2">
        <v>2332.19995117187</v>
      </c>
      <c r="E2064" s="2">
        <v>2332.19995117187</v>
      </c>
      <c r="F2064" s="2">
        <v>2383.30004882812</v>
      </c>
      <c r="G2064" s="2">
        <v>2326.89990234375</v>
      </c>
      <c r="H2064" s="2">
        <v>2383.30004882812</v>
      </c>
      <c r="I2064">
        <v>53</v>
      </c>
      <c r="J2064" s="2">
        <f ca="1">IFERROR((Tabla3[[#This Row],[Close]]-OFFSET(Tabla3[[#This Row],[Close]],-1,0))/OFFSET(Tabla3[[#This Row],[Close]],-1,0),"")</f>
        <v>-2.7601715254903271E-2</v>
      </c>
      <c r="K2064" s="2">
        <f ca="1">IFERROR(AVERAGE(OFFSET(Tabla3[[#This Row],[Close]],-6,0,7)),"")</f>
        <v>2371.0571289062459</v>
      </c>
      <c r="L2064" s="2">
        <f ca="1">IFERROR(_xlfn.STDEV.S(OFFSET(Tabla3[[#This Row],[Close]],-29,0,30)),"")</f>
        <v>89.7627130976594</v>
      </c>
    </row>
    <row r="2065" spans="1:12" x14ac:dyDescent="0.3">
      <c r="A2065" s="1">
        <v>45405</v>
      </c>
      <c r="B2065" s="3">
        <f>YEAR(Tabla3[[#This Row],[Date]])</f>
        <v>2024</v>
      </c>
      <c r="C2065" s="1" t="str">
        <f>+TEXT(Tabla3[[#This Row],[Date]],"mmm")</f>
        <v>abr</v>
      </c>
      <c r="D2065" s="2">
        <v>2327.69995117187</v>
      </c>
      <c r="E2065" s="2">
        <v>2327.69995117187</v>
      </c>
      <c r="F2065" s="2">
        <v>2330.80004882812</v>
      </c>
      <c r="G2065" s="2">
        <v>2294.19995117187</v>
      </c>
      <c r="H2065" s="2">
        <v>2327.69995117187</v>
      </c>
      <c r="I2065">
        <v>171</v>
      </c>
      <c r="J2065" s="2">
        <f ca="1">IFERROR((Tabla3[[#This Row],[Close]]-OFFSET(Tabla3[[#This Row],[Close]],-1,0))/OFFSET(Tabla3[[#This Row],[Close]],-1,0),"")</f>
        <v>-1.9295086588690077E-3</v>
      </c>
      <c r="K2065" s="2">
        <f ca="1">IFERROR(AVERAGE(OFFSET(Tabla3[[#This Row],[Close]],-6,0,7)),"")</f>
        <v>2366.9857003348175</v>
      </c>
      <c r="L2065" s="2">
        <f ca="1">IFERROR(_xlfn.STDEV.S(OFFSET(Tabla3[[#This Row],[Close]],-29,0,30)),"")</f>
        <v>89.398665208369792</v>
      </c>
    </row>
    <row r="2066" spans="1:12" x14ac:dyDescent="0.3">
      <c r="A2066" s="1">
        <v>45406</v>
      </c>
      <c r="B2066" s="3">
        <f>YEAR(Tabla3[[#This Row],[Date]])</f>
        <v>2024</v>
      </c>
      <c r="C2066" s="1" t="str">
        <f>+TEXT(Tabla3[[#This Row],[Date]],"mmm")</f>
        <v>abr</v>
      </c>
      <c r="D2066" s="2">
        <v>2324.5</v>
      </c>
      <c r="E2066" s="2">
        <v>2324.5</v>
      </c>
      <c r="F2066" s="2">
        <v>2328.69995117187</v>
      </c>
      <c r="G2066" s="2">
        <v>2314.60009765625</v>
      </c>
      <c r="H2066" s="2">
        <v>2321.30004882812</v>
      </c>
      <c r="I2066">
        <v>95</v>
      </c>
      <c r="J2066" s="2">
        <f ca="1">IFERROR((Tabla3[[#This Row],[Close]]-OFFSET(Tabla3[[#This Row],[Close]],-1,0))/OFFSET(Tabla3[[#This Row],[Close]],-1,0),"")</f>
        <v>-1.3747266567836619E-3</v>
      </c>
      <c r="K2066" s="2">
        <f ca="1">IFERROR(AVERAGE(OFFSET(Tabla3[[#This Row],[Close]],-6,0,7)),"")</f>
        <v>2361.0856933593714</v>
      </c>
      <c r="L2066" s="2">
        <f ca="1">IFERROR(_xlfn.STDEV.S(OFFSET(Tabla3[[#This Row],[Close]],-29,0,30)),"")</f>
        <v>87.845911971249237</v>
      </c>
    </row>
    <row r="2067" spans="1:12" x14ac:dyDescent="0.3">
      <c r="A2067" s="1">
        <v>45407</v>
      </c>
      <c r="B2067" s="3">
        <f>YEAR(Tabla3[[#This Row],[Date]])</f>
        <v>2024</v>
      </c>
      <c r="C2067" s="1" t="str">
        <f>+TEXT(Tabla3[[#This Row],[Date]],"mmm")</f>
        <v>abr</v>
      </c>
      <c r="D2067" s="2">
        <v>2329.80004882812</v>
      </c>
      <c r="E2067" s="2">
        <v>2329.80004882812</v>
      </c>
      <c r="F2067" s="2">
        <v>2329.80004882812</v>
      </c>
      <c r="G2067" s="2">
        <v>2305</v>
      </c>
      <c r="H2067" s="2">
        <v>2315</v>
      </c>
      <c r="I2067">
        <v>1024</v>
      </c>
      <c r="J2067" s="2">
        <f ca="1">IFERROR((Tabla3[[#This Row],[Close]]-OFFSET(Tabla3[[#This Row],[Close]],-1,0))/OFFSET(Tabla3[[#This Row],[Close]],-1,0),"")</f>
        <v>2.2800812338653466E-3</v>
      </c>
      <c r="K2067" s="2">
        <f ca="1">IFERROR(AVERAGE(OFFSET(Tabla3[[#This Row],[Close]],-6,0,7)),"")</f>
        <v>2352.3714076450856</v>
      </c>
      <c r="L2067" s="2">
        <f ca="1">IFERROR(_xlfn.STDEV.S(OFFSET(Tabla3[[#This Row],[Close]],-29,0,30)),"")</f>
        <v>86.657434186505981</v>
      </c>
    </row>
    <row r="2068" spans="1:12" x14ac:dyDescent="0.3">
      <c r="A2068" s="1">
        <v>45408</v>
      </c>
      <c r="B2068" s="3">
        <f>YEAR(Tabla3[[#This Row],[Date]])</f>
        <v>2024</v>
      </c>
      <c r="C2068" s="1" t="str">
        <f>+TEXT(Tabla3[[#This Row],[Date]],"mmm")</f>
        <v>abr</v>
      </c>
      <c r="D2068" s="2">
        <v>2334.80004882812</v>
      </c>
      <c r="E2068" s="2">
        <v>2334.80004882812</v>
      </c>
      <c r="F2068" s="2">
        <v>2347.89990234375</v>
      </c>
      <c r="G2068" s="2">
        <v>2332.80004882812</v>
      </c>
      <c r="H2068" s="2">
        <v>2347.89990234375</v>
      </c>
      <c r="I2068">
        <v>717</v>
      </c>
      <c r="J2068" s="2">
        <f ca="1">IFERROR((Tabla3[[#This Row],[Close]]-OFFSET(Tabla3[[#This Row],[Close]],-1,0))/OFFSET(Tabla3[[#This Row],[Close]],-1,0),"")</f>
        <v>2.1461069169927179E-3</v>
      </c>
      <c r="K2068" s="2">
        <f ca="1">IFERROR(AVERAGE(OFFSET(Tabla3[[#This Row],[Close]],-6,0,7)),"")</f>
        <v>2347.0999930245498</v>
      </c>
      <c r="L2068" s="2">
        <f ca="1">IFERROR(_xlfn.STDEV.S(OFFSET(Tabla3[[#This Row],[Close]],-29,0,30)),"")</f>
        <v>84.678760125489958</v>
      </c>
    </row>
    <row r="2069" spans="1:12" x14ac:dyDescent="0.3">
      <c r="A2069" s="1">
        <v>45411</v>
      </c>
      <c r="B2069" s="3">
        <f>YEAR(Tabla3[[#This Row],[Date]])</f>
        <v>2024</v>
      </c>
      <c r="C2069" s="1" t="str">
        <f>+TEXT(Tabla3[[#This Row],[Date]],"mmm")</f>
        <v>abr</v>
      </c>
      <c r="D2069" s="2">
        <v>2345.39990234375</v>
      </c>
      <c r="E2069" s="2">
        <v>2345.39990234375</v>
      </c>
      <c r="F2069" s="2">
        <v>2345.5</v>
      </c>
      <c r="G2069" s="2">
        <v>2327.89990234375</v>
      </c>
      <c r="H2069" s="2">
        <v>2334.80004882812</v>
      </c>
      <c r="I2069">
        <v>405</v>
      </c>
      <c r="J2069" s="2">
        <f ca="1">IFERROR((Tabla3[[#This Row],[Close]]-OFFSET(Tabla3[[#This Row],[Close]],-1,0))/OFFSET(Tabla3[[#This Row],[Close]],-1,0),"")</f>
        <v>4.5399405918936262E-3</v>
      </c>
      <c r="K2069" s="2">
        <f ca="1">IFERROR(AVERAGE(OFFSET(Tabla3[[#This Row],[Close]],-6,0,7)),"")</f>
        <v>2341.8285435267826</v>
      </c>
      <c r="L2069" s="2">
        <f ca="1">IFERROR(_xlfn.STDEV.S(OFFSET(Tabla3[[#This Row],[Close]],-29,0,30)),"")</f>
        <v>82.178330397200043</v>
      </c>
    </row>
    <row r="2070" spans="1:12" x14ac:dyDescent="0.3">
      <c r="A2070" s="1">
        <v>45412</v>
      </c>
      <c r="B2070" s="3">
        <f>YEAR(Tabla3[[#This Row],[Date]])</f>
        <v>2024</v>
      </c>
      <c r="C2070" s="1" t="str">
        <f>+TEXT(Tabla3[[#This Row],[Date]],"mmm")</f>
        <v>abr</v>
      </c>
      <c r="D2070" s="2">
        <v>2291.39990234375</v>
      </c>
      <c r="E2070" s="2">
        <v>2291.39990234375</v>
      </c>
      <c r="F2070" s="2">
        <v>2322.5</v>
      </c>
      <c r="G2070" s="2">
        <v>2291.39990234375</v>
      </c>
      <c r="H2070" s="2">
        <v>2322.5</v>
      </c>
      <c r="I2070">
        <v>113</v>
      </c>
      <c r="J2070" s="2">
        <f ca="1">IFERROR((Tabla3[[#This Row],[Close]]-OFFSET(Tabla3[[#This Row],[Close]],-1,0))/OFFSET(Tabla3[[#This Row],[Close]],-1,0),"")</f>
        <v>-2.3023792209609109E-2</v>
      </c>
      <c r="K2070" s="2">
        <f ca="1">IFERROR(AVERAGE(OFFSET(Tabla3[[#This Row],[Close]],-6,0,7)),"")</f>
        <v>2326.5428292410684</v>
      </c>
      <c r="L2070" s="2">
        <f ca="1">IFERROR(_xlfn.STDEV.S(OFFSET(Tabla3[[#This Row],[Close]],-29,0,30)),"")</f>
        <v>78.660261331132247</v>
      </c>
    </row>
    <row r="2071" spans="1:12" x14ac:dyDescent="0.3">
      <c r="A2071" s="1">
        <v>45413</v>
      </c>
      <c r="B2071" s="3">
        <f>YEAR(Tabla3[[#This Row],[Date]])</f>
        <v>2024</v>
      </c>
      <c r="C2071" s="1" t="str">
        <f>+TEXT(Tabla3[[#This Row],[Date]],"mmm")</f>
        <v>may</v>
      </c>
      <c r="D2071" s="2">
        <v>2299.89990234375</v>
      </c>
      <c r="E2071" s="2">
        <v>2299.89990234375</v>
      </c>
      <c r="F2071" s="2">
        <v>2327.30004882812</v>
      </c>
      <c r="G2071" s="2">
        <v>2283.80004882812</v>
      </c>
      <c r="H2071" s="2">
        <v>2287.69995117187</v>
      </c>
      <c r="I2071">
        <v>42</v>
      </c>
      <c r="J2071" s="2">
        <f ca="1">IFERROR((Tabla3[[#This Row],[Close]]-OFFSET(Tabla3[[#This Row],[Close]],-1,0))/OFFSET(Tabla3[[#This Row],[Close]],-1,0),"")</f>
        <v>3.709522720720118E-3</v>
      </c>
      <c r="K2071" s="2">
        <f ca="1">IFERROR(AVERAGE(OFFSET(Tabla3[[#This Row],[Close]],-6,0,7)),"")</f>
        <v>2321.9285365513369</v>
      </c>
      <c r="L2071" s="2">
        <f ca="1">IFERROR(_xlfn.STDEV.S(OFFSET(Tabla3[[#This Row],[Close]],-29,0,30)),"")</f>
        <v>74.436382516652287</v>
      </c>
    </row>
    <row r="2072" spans="1:12" x14ac:dyDescent="0.3">
      <c r="A2072" s="1">
        <v>45414</v>
      </c>
      <c r="B2072" s="3">
        <f>YEAR(Tabla3[[#This Row],[Date]])</f>
        <v>2024</v>
      </c>
      <c r="C2072" s="1" t="str">
        <f>+TEXT(Tabla3[[#This Row],[Date]],"mmm")</f>
        <v>may</v>
      </c>
      <c r="D2072" s="2">
        <v>2299.19995117187</v>
      </c>
      <c r="E2072" s="2">
        <v>2299.19995117187</v>
      </c>
      <c r="F2072" s="2">
        <v>2324.69995117187</v>
      </c>
      <c r="G2072" s="2">
        <v>2292.30004882812</v>
      </c>
      <c r="H2072" s="2">
        <v>2321.69995117187</v>
      </c>
      <c r="I2072">
        <v>56</v>
      </c>
      <c r="J2072" s="2">
        <f ca="1">IFERROR((Tabla3[[#This Row],[Close]]-OFFSET(Tabla3[[#This Row],[Close]],-1,0))/OFFSET(Tabla3[[#This Row],[Close]],-1,0),"")</f>
        <v>-3.043398415586286E-4</v>
      </c>
      <c r="K2072" s="2">
        <f ca="1">IFERROR(AVERAGE(OFFSET(Tabla3[[#This Row],[Close]],-6,0,7)),"")</f>
        <v>2317.8571079799085</v>
      </c>
      <c r="L2072" s="2">
        <f ca="1">IFERROR(_xlfn.STDEV.S(OFFSET(Tabla3[[#This Row],[Close]],-29,0,30)),"")</f>
        <v>69.732222863224678</v>
      </c>
    </row>
    <row r="2073" spans="1:12" x14ac:dyDescent="0.3">
      <c r="A2073" s="1">
        <v>45415</v>
      </c>
      <c r="B2073" s="3">
        <f>YEAR(Tabla3[[#This Row],[Date]])</f>
        <v>2024</v>
      </c>
      <c r="C2073" s="1" t="str">
        <f>+TEXT(Tabla3[[#This Row],[Date]],"mmm")</f>
        <v>may</v>
      </c>
      <c r="D2073" s="2">
        <v>2299</v>
      </c>
      <c r="E2073" s="2">
        <v>2299</v>
      </c>
      <c r="F2073" s="2">
        <v>2301</v>
      </c>
      <c r="G2073" s="2">
        <v>2277.60009765625</v>
      </c>
      <c r="H2073" s="2">
        <v>2300</v>
      </c>
      <c r="I2073">
        <v>194</v>
      </c>
      <c r="J2073" s="2">
        <f ca="1">IFERROR((Tabla3[[#This Row],[Close]]-OFFSET(Tabla3[[#This Row],[Close]],-1,0))/OFFSET(Tabla3[[#This Row],[Close]],-1,0),"")</f>
        <v>-8.6965542848104824E-5</v>
      </c>
      <c r="K2073" s="2">
        <f ca="1">IFERROR(AVERAGE(OFFSET(Tabla3[[#This Row],[Close]],-6,0,7)),"")</f>
        <v>2314.2142508370512</v>
      </c>
      <c r="L2073" s="2">
        <f ca="1">IFERROR(_xlfn.STDEV.S(OFFSET(Tabla3[[#This Row],[Close]],-29,0,30)),"")</f>
        <v>66.076323945109166</v>
      </c>
    </row>
    <row r="2074" spans="1:12" x14ac:dyDescent="0.3">
      <c r="A2074" s="1">
        <v>45418</v>
      </c>
      <c r="B2074" s="3">
        <f>YEAR(Tabla3[[#This Row],[Date]])</f>
        <v>2024</v>
      </c>
      <c r="C2074" s="1" t="str">
        <f>+TEXT(Tabla3[[#This Row],[Date]],"mmm")</f>
        <v>may</v>
      </c>
      <c r="D2074" s="2">
        <v>2321.60009765625</v>
      </c>
      <c r="E2074" s="2">
        <v>2321.60009765625</v>
      </c>
      <c r="F2074" s="2">
        <v>2325.5</v>
      </c>
      <c r="G2074" s="2">
        <v>2314.19995117187</v>
      </c>
      <c r="H2074" s="2">
        <v>2322.80004882812</v>
      </c>
      <c r="I2074">
        <v>9</v>
      </c>
      <c r="J2074" s="2">
        <f ca="1">IFERROR((Tabla3[[#This Row],[Close]]-OFFSET(Tabla3[[#This Row],[Close]],-1,0))/OFFSET(Tabla3[[#This Row],[Close]],-1,0),"")</f>
        <v>9.8304035042409751E-3</v>
      </c>
      <c r="K2074" s="2">
        <f ca="1">IFERROR(AVERAGE(OFFSET(Tabla3[[#This Row],[Close]],-6,0,7)),"")</f>
        <v>2313.0428292410697</v>
      </c>
      <c r="L2074" s="2">
        <f ca="1">IFERROR(_xlfn.STDEV.S(OFFSET(Tabla3[[#This Row],[Close]],-29,0,30)),"")</f>
        <v>60.063703402748075</v>
      </c>
    </row>
    <row r="2075" spans="1:12" x14ac:dyDescent="0.3">
      <c r="A2075" s="1">
        <v>45419</v>
      </c>
      <c r="B2075" s="3">
        <f>YEAR(Tabla3[[#This Row],[Date]])</f>
        <v>2024</v>
      </c>
      <c r="C2075" s="1" t="str">
        <f>+TEXT(Tabla3[[#This Row],[Date]],"mmm")</f>
        <v>may</v>
      </c>
      <c r="D2075" s="2">
        <v>2315.19995117187</v>
      </c>
      <c r="E2075" s="2">
        <v>2315.19995117187</v>
      </c>
      <c r="F2075" s="2">
        <v>2324.30004882812</v>
      </c>
      <c r="G2075" s="2">
        <v>2315.19995117187</v>
      </c>
      <c r="H2075" s="2">
        <v>2324.30004882812</v>
      </c>
      <c r="I2075">
        <v>25</v>
      </c>
      <c r="J2075" s="2">
        <f ca="1">IFERROR((Tabla3[[#This Row],[Close]]-OFFSET(Tabla3[[#This Row],[Close]],-1,0))/OFFSET(Tabla3[[#This Row],[Close]],-1,0),"")</f>
        <v>-2.7567824841329097E-3</v>
      </c>
      <c r="K2075" s="2">
        <f ca="1">IFERROR(AVERAGE(OFFSET(Tabla3[[#This Row],[Close]],-6,0,7)),"")</f>
        <v>2310.2428152901771</v>
      </c>
      <c r="L2075" s="2">
        <f ca="1">IFERROR(_xlfn.STDEV.S(OFFSET(Tabla3[[#This Row],[Close]],-29,0,30)),"")</f>
        <v>54.380083979755071</v>
      </c>
    </row>
    <row r="2076" spans="1:12" x14ac:dyDescent="0.3">
      <c r="A2076" s="1">
        <v>45420</v>
      </c>
      <c r="B2076" s="3">
        <f>YEAR(Tabla3[[#This Row],[Date]])</f>
        <v>2024</v>
      </c>
      <c r="C2076" s="1" t="str">
        <f>+TEXT(Tabla3[[#This Row],[Date]],"mmm")</f>
        <v>may</v>
      </c>
      <c r="D2076" s="2">
        <v>2313.60009765625</v>
      </c>
      <c r="E2076" s="2">
        <v>2313.60009765625</v>
      </c>
      <c r="F2076" s="2">
        <v>2313.60009765625</v>
      </c>
      <c r="G2076" s="2">
        <v>2313.60009765625</v>
      </c>
      <c r="H2076" s="2">
        <v>2313.60009765625</v>
      </c>
      <c r="I2076">
        <v>4</v>
      </c>
      <c r="J2076" s="2">
        <f ca="1">IFERROR((Tabla3[[#This Row],[Close]]-OFFSET(Tabla3[[#This Row],[Close]],-1,0))/OFFSET(Tabla3[[#This Row],[Close]],-1,0),"")</f>
        <v>-6.9102174730532894E-4</v>
      </c>
      <c r="K2076" s="2">
        <f ca="1">IFERROR(AVERAGE(OFFSET(Tabla3[[#This Row],[Close]],-6,0,7)),"")</f>
        <v>2305.6999860491055</v>
      </c>
      <c r="L2076" s="2">
        <f ca="1">IFERROR(_xlfn.STDEV.S(OFFSET(Tabla3[[#This Row],[Close]],-29,0,30)),"")</f>
        <v>47.643374064385767</v>
      </c>
    </row>
    <row r="2077" spans="1:12" x14ac:dyDescent="0.3">
      <c r="A2077" s="1">
        <v>45421</v>
      </c>
      <c r="B2077" s="3">
        <f>YEAR(Tabla3[[#This Row],[Date]])</f>
        <v>2024</v>
      </c>
      <c r="C2077" s="1" t="str">
        <f>+TEXT(Tabla3[[#This Row],[Date]],"mmm")</f>
        <v>may</v>
      </c>
      <c r="D2077" s="2">
        <v>2332.10009765625</v>
      </c>
      <c r="E2077" s="2">
        <v>2332.10009765625</v>
      </c>
      <c r="F2077" s="2">
        <v>2339.5</v>
      </c>
      <c r="G2077" s="2">
        <v>2310.69995117187</v>
      </c>
      <c r="H2077" s="2">
        <v>2310.69995117187</v>
      </c>
      <c r="I2077">
        <v>5</v>
      </c>
      <c r="J2077" s="2">
        <f ca="1">IFERROR((Tabla3[[#This Row],[Close]]-OFFSET(Tabla3[[#This Row],[Close]],-1,0))/OFFSET(Tabla3[[#This Row],[Close]],-1,0),"")</f>
        <v>7.9961960663561017E-3</v>
      </c>
      <c r="K2077" s="2">
        <f ca="1">IFERROR(AVERAGE(OFFSET(Tabla3[[#This Row],[Close]],-6,0,7)),"")</f>
        <v>2311.5142996651771</v>
      </c>
      <c r="L2077" s="2">
        <f ca="1">IFERROR(_xlfn.STDEV.S(OFFSET(Tabla3[[#This Row],[Close]],-29,0,30)),"")</f>
        <v>41.026272749052588</v>
      </c>
    </row>
    <row r="2078" spans="1:12" x14ac:dyDescent="0.3">
      <c r="A2078" s="1">
        <v>45422</v>
      </c>
      <c r="B2078" s="3">
        <f>YEAR(Tabla3[[#This Row],[Date]])</f>
        <v>2024</v>
      </c>
      <c r="C2078" s="1" t="str">
        <f>+TEXT(Tabla3[[#This Row],[Date]],"mmm")</f>
        <v>may</v>
      </c>
      <c r="D2078" s="2">
        <v>2367.30004882812</v>
      </c>
      <c r="E2078" s="2">
        <v>2367.30004882812</v>
      </c>
      <c r="F2078" s="2">
        <v>2367.30004882812</v>
      </c>
      <c r="G2078" s="2">
        <v>2367.30004882812</v>
      </c>
      <c r="H2078" s="2">
        <v>2367.30004882812</v>
      </c>
      <c r="I2078">
        <v>126</v>
      </c>
      <c r="J2078" s="2">
        <f ca="1">IFERROR((Tabla3[[#This Row],[Close]]-OFFSET(Tabla3[[#This Row],[Close]],-1,0))/OFFSET(Tabla3[[#This Row],[Close]],-1,0),"")</f>
        <v>1.5093670810805157E-2</v>
      </c>
      <c r="K2078" s="2">
        <f ca="1">IFERROR(AVERAGE(OFFSET(Tabla3[[#This Row],[Close]],-6,0,7)),"")</f>
        <v>2321.1428920200869</v>
      </c>
      <c r="L2078" s="2">
        <f ca="1">IFERROR(_xlfn.STDEV.S(OFFSET(Tabla3[[#This Row],[Close]],-29,0,30)),"")</f>
        <v>36.494580316091017</v>
      </c>
    </row>
    <row r="2079" spans="1:12" x14ac:dyDescent="0.3">
      <c r="A2079" s="1">
        <v>45425</v>
      </c>
      <c r="B2079" s="3">
        <f>YEAR(Tabla3[[#This Row],[Date]])</f>
        <v>2024</v>
      </c>
      <c r="C2079" s="1" t="str">
        <f>+TEXT(Tabla3[[#This Row],[Date]],"mmm")</f>
        <v>may</v>
      </c>
      <c r="D2079" s="2">
        <v>2336.10009765625</v>
      </c>
      <c r="E2079" s="2">
        <v>2336.10009765625</v>
      </c>
      <c r="F2079" s="2">
        <v>2358.30004882812</v>
      </c>
      <c r="G2079" s="2">
        <v>2336.10009765625</v>
      </c>
      <c r="H2079" s="2">
        <v>2358.30004882812</v>
      </c>
      <c r="I2079">
        <v>14</v>
      </c>
      <c r="J2079" s="2">
        <f ca="1">IFERROR((Tabla3[[#This Row],[Close]]-OFFSET(Tabla3[[#This Row],[Close]],-1,0))/OFFSET(Tabla3[[#This Row],[Close]],-1,0),"")</f>
        <v>-1.3179550765993879E-2</v>
      </c>
      <c r="K2079" s="2">
        <f ca="1">IFERROR(AVERAGE(OFFSET(Tabla3[[#This Row],[Close]],-6,0,7)),"")</f>
        <v>2326.4143415178555</v>
      </c>
      <c r="L2079" s="2">
        <f ca="1">IFERROR(_xlfn.STDEV.S(OFFSET(Tabla3[[#This Row],[Close]],-29,0,30)),"")</f>
        <v>32.067348739861586</v>
      </c>
    </row>
    <row r="2080" spans="1:12" x14ac:dyDescent="0.3">
      <c r="A2080" s="1">
        <v>45426</v>
      </c>
      <c r="B2080" s="3">
        <f>YEAR(Tabla3[[#This Row],[Date]])</f>
        <v>2024</v>
      </c>
      <c r="C2080" s="1" t="str">
        <f>+TEXT(Tabla3[[#This Row],[Date]],"mmm")</f>
        <v>may</v>
      </c>
      <c r="D2080" s="2">
        <v>2353.39990234375</v>
      </c>
      <c r="E2080" s="2">
        <v>2353.39990234375</v>
      </c>
      <c r="F2080" s="2">
        <v>2358</v>
      </c>
      <c r="G2080" s="2">
        <v>2336</v>
      </c>
      <c r="H2080" s="2">
        <v>2336</v>
      </c>
      <c r="I2080">
        <v>6</v>
      </c>
      <c r="J2080" s="2">
        <f ca="1">IFERROR((Tabla3[[#This Row],[Close]]-OFFSET(Tabla3[[#This Row],[Close]],-1,0))/OFFSET(Tabla3[[#This Row],[Close]],-1,0),"")</f>
        <v>7.4054209855375867E-3</v>
      </c>
      <c r="K2080" s="2">
        <f ca="1">IFERROR(AVERAGE(OFFSET(Tabla3[[#This Row],[Close]],-6,0,7)),"")</f>
        <v>2334.1857561383913</v>
      </c>
      <c r="L2080" s="2">
        <f ca="1">IFERROR(_xlfn.STDEV.S(OFFSET(Tabla3[[#This Row],[Close]],-29,0,30)),"")</f>
        <v>29.317392303060366</v>
      </c>
    </row>
    <row r="2081" spans="1:12" x14ac:dyDescent="0.3">
      <c r="A2081" s="1">
        <v>45427</v>
      </c>
      <c r="B2081" s="3">
        <f>YEAR(Tabla3[[#This Row],[Date]])</f>
        <v>2024</v>
      </c>
      <c r="C2081" s="1" t="str">
        <f>+TEXT(Tabla3[[#This Row],[Date]],"mmm")</f>
        <v>may</v>
      </c>
      <c r="D2081" s="2">
        <v>2388.69995117187</v>
      </c>
      <c r="E2081" s="2">
        <v>2388.69995117187</v>
      </c>
      <c r="F2081" s="2">
        <v>2388.69995117187</v>
      </c>
      <c r="G2081" s="2">
        <v>2356</v>
      </c>
      <c r="H2081" s="2">
        <v>2361.60009765625</v>
      </c>
      <c r="I2081">
        <v>29</v>
      </c>
      <c r="J2081" s="2">
        <f ca="1">IFERROR((Tabla3[[#This Row],[Close]]-OFFSET(Tabla3[[#This Row],[Close]],-1,0))/OFFSET(Tabla3[[#This Row],[Close]],-1,0),"")</f>
        <v>1.4999596453184473E-2</v>
      </c>
      <c r="K2081" s="2">
        <f ca="1">IFERROR(AVERAGE(OFFSET(Tabla3[[#This Row],[Close]],-6,0,7)),"")</f>
        <v>2343.7714494977658</v>
      </c>
      <c r="L2081" s="2">
        <f ca="1">IFERROR(_xlfn.STDEV.S(OFFSET(Tabla3[[#This Row],[Close]],-29,0,30)),"")</f>
        <v>29.839396562628057</v>
      </c>
    </row>
    <row r="2082" spans="1:12" x14ac:dyDescent="0.3">
      <c r="A2082" s="1">
        <v>45428</v>
      </c>
      <c r="B2082" s="3">
        <f>YEAR(Tabla3[[#This Row],[Date]])</f>
        <v>2024</v>
      </c>
      <c r="C2082" s="1" t="str">
        <f>+TEXT(Tabla3[[#This Row],[Date]],"mmm")</f>
        <v>may</v>
      </c>
      <c r="D2082" s="2">
        <v>2380</v>
      </c>
      <c r="E2082" s="2">
        <v>2380</v>
      </c>
      <c r="F2082" s="2">
        <v>2392.19995117187</v>
      </c>
      <c r="G2082" s="2">
        <v>2380</v>
      </c>
      <c r="H2082" s="2">
        <v>2389.5</v>
      </c>
      <c r="I2082">
        <v>7</v>
      </c>
      <c r="J2082" s="2">
        <f ca="1">IFERROR((Tabla3[[#This Row],[Close]]-OFFSET(Tabla3[[#This Row],[Close]],-1,0))/OFFSET(Tabla3[[#This Row],[Close]],-1,0),"")</f>
        <v>-3.6421280820983387E-3</v>
      </c>
      <c r="K2082" s="2">
        <f ca="1">IFERROR(AVERAGE(OFFSET(Tabla3[[#This Row],[Close]],-6,0,7)),"")</f>
        <v>2353.0285993303555</v>
      </c>
      <c r="L2082" s="2">
        <f ca="1">IFERROR(_xlfn.STDEV.S(OFFSET(Tabla3[[#This Row],[Close]],-29,0,30)),"")</f>
        <v>29.254719315318962</v>
      </c>
    </row>
    <row r="2083" spans="1:12" x14ac:dyDescent="0.3">
      <c r="A2083" s="1">
        <v>45429</v>
      </c>
      <c r="B2083" s="3">
        <f>YEAR(Tabla3[[#This Row],[Date]])</f>
        <v>2024</v>
      </c>
      <c r="C2083" s="1" t="str">
        <f>+TEXT(Tabla3[[#This Row],[Date]],"mmm")</f>
        <v>may</v>
      </c>
      <c r="D2083" s="2">
        <v>2412.19995117187</v>
      </c>
      <c r="E2083" s="2">
        <v>2412.19995117187</v>
      </c>
      <c r="F2083" s="2">
        <v>2415.80004882812</v>
      </c>
      <c r="G2083" s="2">
        <v>2380.69995117187</v>
      </c>
      <c r="H2083" s="2">
        <v>2380.69995117187</v>
      </c>
      <c r="I2083">
        <v>213</v>
      </c>
      <c r="J2083" s="2">
        <f ca="1">IFERROR((Tabla3[[#This Row],[Close]]-OFFSET(Tabla3[[#This Row],[Close]],-1,0))/OFFSET(Tabla3[[#This Row],[Close]],-1,0),"")</f>
        <v>1.3529391248684873E-2</v>
      </c>
      <c r="K2083" s="2">
        <f ca="1">IFERROR(AVERAGE(OFFSET(Tabla3[[#This Row],[Close]],-6,0,7)),"")</f>
        <v>2367.1142926897301</v>
      </c>
      <c r="L2083" s="2">
        <f ca="1">IFERROR(_xlfn.STDEV.S(OFFSET(Tabla3[[#This Row],[Close]],-29,0,30)),"")</f>
        <v>31.804221461401244</v>
      </c>
    </row>
    <row r="2084" spans="1:12" x14ac:dyDescent="0.3">
      <c r="A2084" s="1">
        <v>45432</v>
      </c>
      <c r="B2084" s="3">
        <f>YEAR(Tabla3[[#This Row],[Date]])</f>
        <v>2024</v>
      </c>
      <c r="C2084" s="1" t="str">
        <f>+TEXT(Tabla3[[#This Row],[Date]],"mmm")</f>
        <v>may</v>
      </c>
      <c r="D2084" s="2">
        <v>2433.89990234375</v>
      </c>
      <c r="E2084" s="2">
        <v>2433.89990234375</v>
      </c>
      <c r="F2084" s="2">
        <v>2435.80004882812</v>
      </c>
      <c r="G2084" s="2">
        <v>2409.69995117187</v>
      </c>
      <c r="H2084" s="2">
        <v>2415.80004882812</v>
      </c>
      <c r="I2084">
        <v>40</v>
      </c>
      <c r="J2084" s="2">
        <f ca="1">IFERROR((Tabla3[[#This Row],[Close]]-OFFSET(Tabla3[[#This Row],[Close]],-1,0))/OFFSET(Tabla3[[#This Row],[Close]],-1,0),"")</f>
        <v>8.9959172585746695E-3</v>
      </c>
      <c r="K2084" s="2">
        <f ca="1">IFERROR(AVERAGE(OFFSET(Tabla3[[#This Row],[Close]],-6,0,7)),"")</f>
        <v>2381.6571219308016</v>
      </c>
      <c r="L2084" s="2">
        <f ca="1">IFERROR(_xlfn.STDEV.S(OFFSET(Tabla3[[#This Row],[Close]],-29,0,30)),"")</f>
        <v>35.649466237465482</v>
      </c>
    </row>
    <row r="2085" spans="1:12" x14ac:dyDescent="0.3">
      <c r="A2085" s="1">
        <v>45433</v>
      </c>
      <c r="B2085" s="3">
        <f>YEAR(Tabla3[[#This Row],[Date]])</f>
        <v>2024</v>
      </c>
      <c r="C2085" s="1" t="str">
        <f>+TEXT(Tabla3[[#This Row],[Date]],"mmm")</f>
        <v>may</v>
      </c>
      <c r="D2085" s="2">
        <v>2421.69995117187</v>
      </c>
      <c r="E2085" s="2">
        <v>2421.69995117187</v>
      </c>
      <c r="F2085" s="2">
        <v>2429.5</v>
      </c>
      <c r="G2085" s="2">
        <v>2421</v>
      </c>
      <c r="H2085" s="2">
        <v>2429.5</v>
      </c>
      <c r="I2085">
        <v>6</v>
      </c>
      <c r="J2085" s="2">
        <f ca="1">IFERROR((Tabla3[[#This Row],[Close]]-OFFSET(Tabla3[[#This Row],[Close]],-1,0))/OFFSET(Tabla3[[#This Row],[Close]],-1,0),"")</f>
        <v>-5.0125114677608265E-3</v>
      </c>
      <c r="K2085" s="2">
        <f ca="1">IFERROR(AVERAGE(OFFSET(Tabla3[[#This Row],[Close]],-6,0,7)),"")</f>
        <v>2389.4285365513374</v>
      </c>
      <c r="L2085" s="2">
        <f ca="1">IFERROR(_xlfn.STDEV.S(OFFSET(Tabla3[[#This Row],[Close]],-29,0,30)),"")</f>
        <v>38.105859795917063</v>
      </c>
    </row>
    <row r="2086" spans="1:12" x14ac:dyDescent="0.3">
      <c r="A2086" s="1">
        <v>45434</v>
      </c>
      <c r="B2086" s="3">
        <f>YEAR(Tabla3[[#This Row],[Date]])</f>
        <v>2024</v>
      </c>
      <c r="C2086" s="1" t="str">
        <f>+TEXT(Tabla3[[#This Row],[Date]],"mmm")</f>
        <v>may</v>
      </c>
      <c r="D2086" s="2">
        <v>2389.19995117187</v>
      </c>
      <c r="E2086" s="2">
        <v>2389.19995117187</v>
      </c>
      <c r="F2086" s="2">
        <v>2417.60009765625</v>
      </c>
      <c r="G2086" s="2">
        <v>2375.80004882812</v>
      </c>
      <c r="H2086" s="2">
        <v>2417.5</v>
      </c>
      <c r="I2086">
        <v>180</v>
      </c>
      <c r="J2086" s="2">
        <f ca="1">IFERROR((Tabla3[[#This Row],[Close]]-OFFSET(Tabla3[[#This Row],[Close]],-1,0))/OFFSET(Tabla3[[#This Row],[Close]],-1,0),"")</f>
        <v>-1.3420324835978596E-2</v>
      </c>
      <c r="K2086" s="2">
        <f ca="1">IFERROR(AVERAGE(OFFSET(Tabla3[[#This Row],[Close]],-6,0,7)),"")</f>
        <v>2397.014229910711</v>
      </c>
      <c r="L2086" s="2">
        <f ca="1">IFERROR(_xlfn.STDEV.S(OFFSET(Tabla3[[#This Row],[Close]],-29,0,30)),"")</f>
        <v>38.540066140181175</v>
      </c>
    </row>
    <row r="2087" spans="1:12" x14ac:dyDescent="0.3">
      <c r="A2087" s="1">
        <v>45435</v>
      </c>
      <c r="B2087" s="3">
        <f>YEAR(Tabla3[[#This Row],[Date]])</f>
        <v>2024</v>
      </c>
      <c r="C2087" s="1" t="str">
        <f>+TEXT(Tabla3[[#This Row],[Date]],"mmm")</f>
        <v>may</v>
      </c>
      <c r="D2087" s="2">
        <v>2335</v>
      </c>
      <c r="E2087" s="2">
        <v>2335</v>
      </c>
      <c r="F2087" s="2">
        <v>2371.19995117187</v>
      </c>
      <c r="G2087" s="2">
        <v>2335</v>
      </c>
      <c r="H2087" s="2">
        <v>2371.19995117187</v>
      </c>
      <c r="I2087">
        <v>365</v>
      </c>
      <c r="J2087" s="2">
        <f ca="1">IFERROR((Tabla3[[#This Row],[Close]]-OFFSET(Tabla3[[#This Row],[Close]],-1,0))/OFFSET(Tabla3[[#This Row],[Close]],-1,0),"")</f>
        <v>-2.2685397739643207E-2</v>
      </c>
      <c r="K2087" s="2">
        <f ca="1">IFERROR(AVERAGE(OFFSET(Tabla3[[#This Row],[Close]],-6,0,7)),"")</f>
        <v>2394.3856724330326</v>
      </c>
      <c r="L2087" s="2">
        <f ca="1">IFERROR(_xlfn.STDEV.S(OFFSET(Tabla3[[#This Row],[Close]],-29,0,30)),"")</f>
        <v>38.665053046023196</v>
      </c>
    </row>
    <row r="2088" spans="1:12" x14ac:dyDescent="0.3">
      <c r="A2088" s="1">
        <v>45436</v>
      </c>
      <c r="B2088" s="3">
        <f>YEAR(Tabla3[[#This Row],[Date]])</f>
        <v>2024</v>
      </c>
      <c r="C2088" s="1" t="str">
        <f>+TEXT(Tabla3[[#This Row],[Date]],"mmm")</f>
        <v>may</v>
      </c>
      <c r="D2088" s="2">
        <v>2332.5</v>
      </c>
      <c r="E2088" s="2">
        <v>2332.5</v>
      </c>
      <c r="F2088" s="2">
        <v>2345.39990234375</v>
      </c>
      <c r="G2088" s="2">
        <v>2332.5</v>
      </c>
      <c r="H2088" s="2">
        <v>2342.60009765625</v>
      </c>
      <c r="I2088">
        <v>25</v>
      </c>
      <c r="J2088" s="2">
        <f ca="1">IFERROR((Tabla3[[#This Row],[Close]]-OFFSET(Tabla3[[#This Row],[Close]],-1,0))/OFFSET(Tabla3[[#This Row],[Close]],-1,0),"")</f>
        <v>-1.0706638115631692E-3</v>
      </c>
      <c r="K2088" s="2">
        <f ca="1">IFERROR(AVERAGE(OFFSET(Tabla3[[#This Row],[Close]],-6,0,7)),"")</f>
        <v>2386.3571079799085</v>
      </c>
      <c r="L2088" s="2">
        <f ca="1">IFERROR(_xlfn.STDEV.S(OFFSET(Tabla3[[#This Row],[Close]],-29,0,30)),"")</f>
        <v>38.810444910376425</v>
      </c>
    </row>
    <row r="2089" spans="1:12" x14ac:dyDescent="0.3">
      <c r="A2089" s="1">
        <v>45440</v>
      </c>
      <c r="B2089" s="3">
        <f>YEAR(Tabla3[[#This Row],[Date]])</f>
        <v>2024</v>
      </c>
      <c r="C2089" s="1" t="str">
        <f>+TEXT(Tabla3[[#This Row],[Date]],"mmm")</f>
        <v>may</v>
      </c>
      <c r="D2089" s="2">
        <v>2355.19995117187</v>
      </c>
      <c r="E2089" s="2">
        <v>2355.19995117187</v>
      </c>
      <c r="F2089" s="2">
        <v>2359.69995117187</v>
      </c>
      <c r="G2089" s="2">
        <v>2336.89990234375</v>
      </c>
      <c r="H2089" s="2">
        <v>2336.89990234375</v>
      </c>
      <c r="I2089">
        <v>26</v>
      </c>
      <c r="J2089" s="2">
        <f ca="1">IFERROR((Tabla3[[#This Row],[Close]]-OFFSET(Tabla3[[#This Row],[Close]],-1,0))/OFFSET(Tabla3[[#This Row],[Close]],-1,0),"")</f>
        <v>9.732026225882099E-3</v>
      </c>
      <c r="K2089" s="2">
        <f ca="1">IFERROR(AVERAGE(OFFSET(Tabla3[[#This Row],[Close]],-6,0,7)),"")</f>
        <v>2382.8142438616042</v>
      </c>
      <c r="L2089" s="2">
        <f ca="1">IFERROR(_xlfn.STDEV.S(OFFSET(Tabla3[[#This Row],[Close]],-29,0,30)),"")</f>
        <v>38.717754189168559</v>
      </c>
    </row>
    <row r="2090" spans="1:12" x14ac:dyDescent="0.3">
      <c r="A2090" s="1">
        <v>45441</v>
      </c>
      <c r="B2090" s="3">
        <f>YEAR(Tabla3[[#This Row],[Date]])</f>
        <v>2024</v>
      </c>
      <c r="C2090" s="1" t="str">
        <f>+TEXT(Tabla3[[#This Row],[Date]],"mmm")</f>
        <v>may</v>
      </c>
      <c r="D2090" s="2">
        <v>2340.30004882812</v>
      </c>
      <c r="E2090" s="2">
        <v>2340.30004882812</v>
      </c>
      <c r="F2090" s="2">
        <v>2340.30004882812</v>
      </c>
      <c r="G2090" s="2">
        <v>2340.30004882812</v>
      </c>
      <c r="H2090" s="2">
        <v>2340.30004882812</v>
      </c>
      <c r="I2090">
        <v>119317</v>
      </c>
      <c r="J2090" s="2">
        <f ca="1">IFERROR((Tabla3[[#This Row],[Close]]-OFFSET(Tabla3[[#This Row],[Close]],-1,0))/OFFSET(Tabla3[[#This Row],[Close]],-1,0),"")</f>
        <v>-6.326385297493021E-3</v>
      </c>
      <c r="K2090" s="2">
        <f ca="1">IFERROR(AVERAGE(OFFSET(Tabla3[[#This Row],[Close]],-6,0,7)),"")</f>
        <v>2372.5428292410684</v>
      </c>
      <c r="L2090" s="2">
        <f ca="1">IFERROR(_xlfn.STDEV.S(OFFSET(Tabla3[[#This Row],[Close]],-29,0,30)),"")</f>
        <v>37.995976246282687</v>
      </c>
    </row>
    <row r="2091" spans="1:12" x14ac:dyDescent="0.3">
      <c r="A2091" s="1">
        <v>45442</v>
      </c>
      <c r="B2091" s="3">
        <f>YEAR(Tabla3[[#This Row],[Date]])</f>
        <v>2024</v>
      </c>
      <c r="C2091" s="1" t="str">
        <f>+TEXT(Tabla3[[#This Row],[Date]],"mmm")</f>
        <v>may</v>
      </c>
      <c r="D2091" s="2">
        <v>2342.89990234375</v>
      </c>
      <c r="E2091" s="2">
        <v>2342.89990234375</v>
      </c>
      <c r="F2091" s="2">
        <v>2349.5</v>
      </c>
      <c r="G2091" s="2">
        <v>2320.80004882812</v>
      </c>
      <c r="H2091" s="2">
        <v>2336.89990234375</v>
      </c>
      <c r="I2091">
        <v>32587</v>
      </c>
      <c r="J2091" s="2">
        <f ca="1">IFERROR((Tabla3[[#This Row],[Close]]-OFFSET(Tabla3[[#This Row],[Close]],-1,0))/OFFSET(Tabla3[[#This Row],[Close]],-1,0),"")</f>
        <v>1.1109060639176804E-3</v>
      </c>
      <c r="K2091" s="2">
        <f ca="1">IFERROR(AVERAGE(OFFSET(Tabla3[[#This Row],[Close]],-6,0,7)),"")</f>
        <v>2359.5428292410684</v>
      </c>
      <c r="L2091" s="2">
        <f ca="1">IFERROR(_xlfn.STDEV.S(OFFSET(Tabla3[[#This Row],[Close]],-29,0,30)),"")</f>
        <v>37.760800039234475</v>
      </c>
    </row>
    <row r="2092" spans="1:12" x14ac:dyDescent="0.3">
      <c r="A2092" s="1">
        <v>45443</v>
      </c>
      <c r="B2092" s="3">
        <f>YEAR(Tabla3[[#This Row],[Date]])</f>
        <v>2024</v>
      </c>
      <c r="C2092" s="1" t="str">
        <f>+TEXT(Tabla3[[#This Row],[Date]],"mmm")</f>
        <v>may</v>
      </c>
      <c r="D2092" s="2">
        <v>2322.89990234375</v>
      </c>
      <c r="E2092" s="2">
        <v>2322.89990234375</v>
      </c>
      <c r="F2092" s="2">
        <v>2354</v>
      </c>
      <c r="G2092" s="2">
        <v>2319</v>
      </c>
      <c r="H2092" s="2">
        <v>2344.10009765625</v>
      </c>
      <c r="I2092">
        <v>941</v>
      </c>
      <c r="J2092" s="2">
        <f ca="1">IFERROR((Tabla3[[#This Row],[Close]]-OFFSET(Tabla3[[#This Row],[Close]],-1,0))/OFFSET(Tabla3[[#This Row],[Close]],-1,0),"")</f>
        <v>-8.5364295674743695E-3</v>
      </c>
      <c r="K2092" s="2">
        <f ca="1">IFERROR(AVERAGE(OFFSET(Tabla3[[#This Row],[Close]],-6,0,7)),"")</f>
        <v>2345.4285365513374</v>
      </c>
      <c r="L2092" s="2">
        <f ca="1">IFERROR(_xlfn.STDEV.S(OFFSET(Tabla3[[#This Row],[Close]],-29,0,30)),"")</f>
        <v>37.448147858811751</v>
      </c>
    </row>
    <row r="2093" spans="1:12" x14ac:dyDescent="0.3">
      <c r="A2093" s="1">
        <v>45446</v>
      </c>
      <c r="B2093" s="3">
        <f>YEAR(Tabla3[[#This Row],[Date]])</f>
        <v>2024</v>
      </c>
      <c r="C2093" s="1" t="str">
        <f>+TEXT(Tabla3[[#This Row],[Date]],"mmm")</f>
        <v>jun</v>
      </c>
      <c r="D2093" s="2">
        <v>2346.60009765625</v>
      </c>
      <c r="E2093" s="2">
        <v>2346.60009765625</v>
      </c>
      <c r="F2093" s="2">
        <v>2347.5</v>
      </c>
      <c r="G2093" s="2">
        <v>2312</v>
      </c>
      <c r="H2093" s="2">
        <v>2322.60009765625</v>
      </c>
      <c r="I2093">
        <v>781</v>
      </c>
      <c r="J2093" s="2">
        <f ca="1">IFERROR((Tabla3[[#This Row],[Close]]-OFFSET(Tabla3[[#This Row],[Close]],-1,0))/OFFSET(Tabla3[[#This Row],[Close]],-1,0),"")</f>
        <v>1.0202848296901245E-2</v>
      </c>
      <c r="K2093" s="2">
        <f ca="1">IFERROR(AVERAGE(OFFSET(Tabla3[[#This Row],[Close]],-6,0,7)),"")</f>
        <v>2339.3428431919629</v>
      </c>
      <c r="L2093" s="2">
        <f ca="1">IFERROR(_xlfn.STDEV.S(OFFSET(Tabla3[[#This Row],[Close]],-29,0,30)),"")</f>
        <v>36.112968878347544</v>
      </c>
    </row>
    <row r="2094" spans="1:12" x14ac:dyDescent="0.3">
      <c r="A2094" s="1">
        <v>45447</v>
      </c>
      <c r="B2094" s="3">
        <f>YEAR(Tabla3[[#This Row],[Date]])</f>
        <v>2024</v>
      </c>
      <c r="C2094" s="1" t="str">
        <f>+TEXT(Tabla3[[#This Row],[Date]],"mmm")</f>
        <v>jun</v>
      </c>
      <c r="D2094" s="2">
        <v>2325.5</v>
      </c>
      <c r="E2094" s="2">
        <v>2325.5</v>
      </c>
      <c r="F2094" s="2">
        <v>2347.69995117187</v>
      </c>
      <c r="G2094" s="2">
        <v>2313.89990234375</v>
      </c>
      <c r="H2094" s="2">
        <v>2347.5</v>
      </c>
      <c r="I2094">
        <v>890</v>
      </c>
      <c r="J2094" s="2">
        <f ca="1">IFERROR((Tabla3[[#This Row],[Close]]-OFFSET(Tabla3[[#This Row],[Close]],-1,0))/OFFSET(Tabla3[[#This Row],[Close]],-1,0),"")</f>
        <v>-8.9917739615388535E-3</v>
      </c>
      <c r="K2094" s="2">
        <f ca="1">IFERROR(AVERAGE(OFFSET(Tabla3[[#This Row],[Close]],-6,0,7)),"")</f>
        <v>2337.9857003348197</v>
      </c>
      <c r="L2094" s="2">
        <f ca="1">IFERROR(_xlfn.STDEV.S(OFFSET(Tabla3[[#This Row],[Close]],-29,0,30)),"")</f>
        <v>36.209963435286276</v>
      </c>
    </row>
    <row r="2095" spans="1:12" x14ac:dyDescent="0.3">
      <c r="A2095" s="1">
        <v>45448</v>
      </c>
      <c r="B2095" s="3">
        <f>YEAR(Tabla3[[#This Row],[Date]])</f>
        <v>2024</v>
      </c>
      <c r="C2095" s="1" t="str">
        <f>+TEXT(Tabla3[[#This Row],[Date]],"mmm")</f>
        <v>jun</v>
      </c>
      <c r="D2095" s="2">
        <v>2354.10009765625</v>
      </c>
      <c r="E2095" s="2">
        <v>2354.10009765625</v>
      </c>
      <c r="F2095" s="2">
        <v>2354.30004882812</v>
      </c>
      <c r="G2095" s="2">
        <v>2326.19995117187</v>
      </c>
      <c r="H2095" s="2">
        <v>2326.39990234375</v>
      </c>
      <c r="I2095">
        <v>295</v>
      </c>
      <c r="J2095" s="2">
        <f ca="1">IFERROR((Tabla3[[#This Row],[Close]]-OFFSET(Tabla3[[#This Row],[Close]],-1,0))/OFFSET(Tabla3[[#This Row],[Close]],-1,0),"")</f>
        <v>1.2298472438722854E-2</v>
      </c>
      <c r="K2095" s="2">
        <f ca="1">IFERROR(AVERAGE(OFFSET(Tabla3[[#This Row],[Close]],-6,0,7)),"")</f>
        <v>2341.0714285714271</v>
      </c>
      <c r="L2095" s="2">
        <f ca="1">IFERROR(_xlfn.STDEV.S(OFFSET(Tabla3[[#This Row],[Close]],-29,0,30)),"")</f>
        <v>36.12287218005104</v>
      </c>
    </row>
    <row r="2096" spans="1:12" x14ac:dyDescent="0.3">
      <c r="A2096" s="1">
        <v>45449</v>
      </c>
      <c r="B2096" s="3">
        <f>YEAR(Tabla3[[#This Row],[Date]])</f>
        <v>2024</v>
      </c>
      <c r="C2096" s="1" t="str">
        <f>+TEXT(Tabla3[[#This Row],[Date]],"mmm")</f>
        <v>jun</v>
      </c>
      <c r="D2096" s="2">
        <v>2370.30004882812</v>
      </c>
      <c r="E2096" s="2">
        <v>2370.30004882812</v>
      </c>
      <c r="F2096" s="2">
        <v>2375.80004882812</v>
      </c>
      <c r="G2096" s="2">
        <v>2355</v>
      </c>
      <c r="H2096" s="2">
        <v>2355</v>
      </c>
      <c r="I2096">
        <v>179</v>
      </c>
      <c r="J2096" s="2">
        <f ca="1">IFERROR((Tabla3[[#This Row],[Close]]-OFFSET(Tabla3[[#This Row],[Close]],-1,0))/OFFSET(Tabla3[[#This Row],[Close]],-1,0),"")</f>
        <v>6.8815897794655056E-3</v>
      </c>
      <c r="K2096" s="2">
        <f ca="1">IFERROR(AVERAGE(OFFSET(Tabla3[[#This Row],[Close]],-6,0,7)),"")</f>
        <v>2343.2285853794629</v>
      </c>
      <c r="L2096" s="2">
        <f ca="1">IFERROR(_xlfn.STDEV.S(OFFSET(Tabla3[[#This Row],[Close]],-29,0,30)),"")</f>
        <v>36.20308459653446</v>
      </c>
    </row>
    <row r="2097" spans="1:12" x14ac:dyDescent="0.3">
      <c r="A2097" s="1">
        <v>45450</v>
      </c>
      <c r="B2097" s="3">
        <f>YEAR(Tabla3[[#This Row],[Date]])</f>
        <v>2024</v>
      </c>
      <c r="C2097" s="1" t="str">
        <f>+TEXT(Tabla3[[#This Row],[Date]],"mmm")</f>
        <v>jun</v>
      </c>
      <c r="D2097" s="2">
        <v>2305.19995117187</v>
      </c>
      <c r="E2097" s="2">
        <v>2305.19995117187</v>
      </c>
      <c r="F2097" s="2">
        <v>2385.10009765625</v>
      </c>
      <c r="G2097" s="2">
        <v>2285.39990234375</v>
      </c>
      <c r="H2097" s="2">
        <v>2379.89990234375</v>
      </c>
      <c r="I2097">
        <v>269</v>
      </c>
      <c r="J2097" s="2">
        <f ca="1">IFERROR((Tabla3[[#This Row],[Close]]-OFFSET(Tabla3[[#This Row],[Close]],-1,0))/OFFSET(Tabla3[[#This Row],[Close]],-1,0),"")</f>
        <v>-2.7464918497738543E-2</v>
      </c>
      <c r="K2097" s="2">
        <f ca="1">IFERROR(AVERAGE(OFFSET(Tabla3[[#This Row],[Close]],-6,0,7)),"")</f>
        <v>2338.214285714284</v>
      </c>
      <c r="L2097" s="2">
        <f ca="1">IFERROR(_xlfn.STDEV.S(OFFSET(Tabla3[[#This Row],[Close]],-29,0,30)),"")</f>
        <v>36.862906243385027</v>
      </c>
    </row>
    <row r="2098" spans="1:12" x14ac:dyDescent="0.3">
      <c r="A2098" s="1">
        <v>45453</v>
      </c>
      <c r="B2098" s="3">
        <f>YEAR(Tabla3[[#This Row],[Date]])</f>
        <v>2024</v>
      </c>
      <c r="C2098" s="1" t="str">
        <f>+TEXT(Tabla3[[#This Row],[Date]],"mmm")</f>
        <v>jun</v>
      </c>
      <c r="D2098" s="2">
        <v>2307.69995117187</v>
      </c>
      <c r="E2098" s="2">
        <v>2307.69995117187</v>
      </c>
      <c r="F2098" s="2">
        <v>2309.30004882812</v>
      </c>
      <c r="G2098" s="2">
        <v>2290.5</v>
      </c>
      <c r="H2098" s="2">
        <v>2290.60009765625</v>
      </c>
      <c r="I2098">
        <v>69</v>
      </c>
      <c r="J2098" s="2">
        <f ca="1">IFERROR((Tabla3[[#This Row],[Close]]-OFFSET(Tabla3[[#This Row],[Close]],-1,0))/OFFSET(Tabla3[[#This Row],[Close]],-1,0),"")</f>
        <v>1.0845046212711836E-3</v>
      </c>
      <c r="K2098" s="2">
        <f ca="1">IFERROR(AVERAGE(OFFSET(Tabla3[[#This Row],[Close]],-6,0,7)),"")</f>
        <v>2333.1857212611585</v>
      </c>
      <c r="L2098" s="2">
        <f ca="1">IFERROR(_xlfn.STDEV.S(OFFSET(Tabla3[[#This Row],[Close]],-29,0,30)),"")</f>
        <v>37.46150984514005</v>
      </c>
    </row>
    <row r="2099" spans="1:12" x14ac:dyDescent="0.3">
      <c r="A2099" s="1">
        <v>45454</v>
      </c>
      <c r="B2099" s="3">
        <f>YEAR(Tabla3[[#This Row],[Date]])</f>
        <v>2024</v>
      </c>
      <c r="C2099" s="1" t="str">
        <f>+TEXT(Tabla3[[#This Row],[Date]],"mmm")</f>
        <v>jun</v>
      </c>
      <c r="D2099" s="2">
        <v>2307.5</v>
      </c>
      <c r="E2099" s="2">
        <v>2307.5</v>
      </c>
      <c r="F2099" s="2">
        <v>2314.10009765625</v>
      </c>
      <c r="G2099" s="2">
        <v>2300</v>
      </c>
      <c r="H2099" s="2">
        <v>2300</v>
      </c>
      <c r="I2099">
        <v>871</v>
      </c>
      <c r="J2099" s="2">
        <f ca="1">IFERROR((Tabla3[[#This Row],[Close]]-OFFSET(Tabla3[[#This Row],[Close]],-1,0))/OFFSET(Tabla3[[#This Row],[Close]],-1,0),"")</f>
        <v>-8.6645220826243394E-5</v>
      </c>
      <c r="K2099" s="2">
        <f ca="1">IFERROR(AVERAGE(OFFSET(Tabla3[[#This Row],[Close]],-6,0,7)),"")</f>
        <v>2330.9857352120512</v>
      </c>
      <c r="L2099" s="2">
        <f ca="1">IFERROR(_xlfn.STDEV.S(OFFSET(Tabla3[[#This Row],[Close]],-29,0,30)),"")</f>
        <v>38.067869801338745</v>
      </c>
    </row>
    <row r="2100" spans="1:12" x14ac:dyDescent="0.3">
      <c r="A2100" s="1">
        <v>45455</v>
      </c>
      <c r="B2100" s="3">
        <f>YEAR(Tabla3[[#This Row],[Date]])</f>
        <v>2024</v>
      </c>
      <c r="C2100" s="1" t="str">
        <f>+TEXT(Tabla3[[#This Row],[Date]],"mmm")</f>
        <v>jun</v>
      </c>
      <c r="D2100" s="2">
        <v>2336</v>
      </c>
      <c r="E2100" s="2">
        <v>2336</v>
      </c>
      <c r="F2100" s="2">
        <v>2338.69995117187</v>
      </c>
      <c r="G2100" s="2">
        <v>2310.30004882812</v>
      </c>
      <c r="H2100" s="2">
        <v>2314.89990234375</v>
      </c>
      <c r="I2100">
        <v>132</v>
      </c>
      <c r="J2100" s="2">
        <f ca="1">IFERROR((Tabla3[[#This Row],[Close]]-OFFSET(Tabla3[[#This Row],[Close]],-1,0))/OFFSET(Tabla3[[#This Row],[Close]],-1,0),"")</f>
        <v>1.2351029252437704E-2</v>
      </c>
      <c r="K2100" s="2">
        <f ca="1">IFERROR(AVERAGE(OFFSET(Tabla3[[#This Row],[Close]],-6,0,7)),"")</f>
        <v>2329.4714355468727</v>
      </c>
      <c r="L2100" s="2">
        <f ca="1">IFERROR(_xlfn.STDEV.S(OFFSET(Tabla3[[#This Row],[Close]],-29,0,30)),"")</f>
        <v>36.819932630253355</v>
      </c>
    </row>
    <row r="2101" spans="1:12" x14ac:dyDescent="0.3">
      <c r="A2101" s="1">
        <v>45456</v>
      </c>
      <c r="B2101" s="3">
        <f>YEAR(Tabla3[[#This Row],[Date]])</f>
        <v>2024</v>
      </c>
      <c r="C2101" s="1" t="str">
        <f>+TEXT(Tabla3[[#This Row],[Date]],"mmm")</f>
        <v>jun</v>
      </c>
      <c r="D2101" s="2">
        <v>2300.19995117187</v>
      </c>
      <c r="E2101" s="2">
        <v>2300.19995117187</v>
      </c>
      <c r="F2101" s="2">
        <v>2317.69995117187</v>
      </c>
      <c r="G2101" s="2">
        <v>2296.19995117187</v>
      </c>
      <c r="H2101" s="2">
        <v>2309.39990234375</v>
      </c>
      <c r="I2101">
        <v>298</v>
      </c>
      <c r="J2101" s="2">
        <f ca="1">IFERROR((Tabla3[[#This Row],[Close]]-OFFSET(Tabla3[[#This Row],[Close]],-1,0))/OFFSET(Tabla3[[#This Row],[Close]],-1,0),"")</f>
        <v>-1.5325363368206337E-2</v>
      </c>
      <c r="K2101" s="2">
        <f ca="1">IFERROR(AVERAGE(OFFSET(Tabla3[[#This Row],[Close]],-6,0,7)),"")</f>
        <v>2325.8571428571399</v>
      </c>
      <c r="L2101" s="2">
        <f ca="1">IFERROR(_xlfn.STDEV.S(OFFSET(Tabla3[[#This Row],[Close]],-29,0,30)),"")</f>
        <v>36.807346677762276</v>
      </c>
    </row>
    <row r="2102" spans="1:12" x14ac:dyDescent="0.3">
      <c r="A2102" s="1">
        <v>45457</v>
      </c>
      <c r="B2102" s="3">
        <f>YEAR(Tabla3[[#This Row],[Date]])</f>
        <v>2024</v>
      </c>
      <c r="C2102" s="1" t="str">
        <f>+TEXT(Tabla3[[#This Row],[Date]],"mmm")</f>
        <v>jun</v>
      </c>
      <c r="D2102" s="2">
        <v>2331.39990234375</v>
      </c>
      <c r="E2102" s="2">
        <v>2331.39990234375</v>
      </c>
      <c r="F2102" s="2">
        <v>2331.39990234375</v>
      </c>
      <c r="G2102" s="2">
        <v>2305.80004882812</v>
      </c>
      <c r="H2102" s="2">
        <v>2307</v>
      </c>
      <c r="I2102">
        <v>948</v>
      </c>
      <c r="J2102" s="2">
        <f ca="1">IFERROR((Tabla3[[#This Row],[Close]]-OFFSET(Tabla3[[#This Row],[Close]],-1,0))/OFFSET(Tabla3[[#This Row],[Close]],-1,0),"")</f>
        <v>1.3564016969909394E-2</v>
      </c>
      <c r="K2102" s="2">
        <f ca="1">IFERROR(AVERAGE(OFFSET(Tabla3[[#This Row],[Close]],-6,0,7)),"")</f>
        <v>2322.6142578124973</v>
      </c>
      <c r="L2102" s="2">
        <f ca="1">IFERROR(_xlfn.STDEV.S(OFFSET(Tabla3[[#This Row],[Close]],-29,0,30)),"")</f>
        <v>35.888677608686109</v>
      </c>
    </row>
    <row r="2103" spans="1:12" x14ac:dyDescent="0.3">
      <c r="A2103" s="1">
        <v>45460</v>
      </c>
      <c r="B2103" s="3">
        <f>YEAR(Tabla3[[#This Row],[Date]])</f>
        <v>2024</v>
      </c>
      <c r="C2103" s="1" t="str">
        <f>+TEXT(Tabla3[[#This Row],[Date]],"mmm")</f>
        <v>jun</v>
      </c>
      <c r="D2103" s="2">
        <v>2312.39990234375</v>
      </c>
      <c r="E2103" s="2">
        <v>2312.39990234375</v>
      </c>
      <c r="F2103" s="2">
        <v>2320.19995117187</v>
      </c>
      <c r="G2103" s="2">
        <v>2309.60009765625</v>
      </c>
      <c r="H2103" s="2">
        <v>2320.19995117187</v>
      </c>
      <c r="I2103">
        <v>110</v>
      </c>
      <c r="J2103" s="2">
        <f ca="1">IFERROR((Tabla3[[#This Row],[Close]]-OFFSET(Tabla3[[#This Row],[Close]],-1,0))/OFFSET(Tabla3[[#This Row],[Close]],-1,0),"")</f>
        <v>-8.1496100179550279E-3</v>
      </c>
      <c r="K2103" s="2">
        <f ca="1">IFERROR(AVERAGE(OFFSET(Tabla3[[#This Row],[Close]],-6,0,7)),"")</f>
        <v>2314.3428083147296</v>
      </c>
      <c r="L2103" s="2">
        <f ca="1">IFERROR(_xlfn.STDEV.S(OFFSET(Tabla3[[#This Row],[Close]],-29,0,30)),"")</f>
        <v>35.364267816550857</v>
      </c>
    </row>
    <row r="2104" spans="1:12" x14ac:dyDescent="0.3">
      <c r="A2104" s="1">
        <v>45461</v>
      </c>
      <c r="B2104" s="3">
        <f>YEAR(Tabla3[[#This Row],[Date]])</f>
        <v>2024</v>
      </c>
      <c r="C2104" s="1" t="str">
        <f>+TEXT(Tabla3[[#This Row],[Date]],"mmm")</f>
        <v>jun</v>
      </c>
      <c r="D2104" s="2">
        <v>2330.39990234375</v>
      </c>
      <c r="E2104" s="2">
        <v>2330.39990234375</v>
      </c>
      <c r="F2104" s="2">
        <v>2330.39990234375</v>
      </c>
      <c r="G2104" s="2">
        <v>2311.80004882812</v>
      </c>
      <c r="H2104" s="2">
        <v>2311.80004882812</v>
      </c>
      <c r="I2104">
        <v>43</v>
      </c>
      <c r="J2104" s="2">
        <f ca="1">IFERROR((Tabla3[[#This Row],[Close]]-OFFSET(Tabla3[[#This Row],[Close]],-1,0))/OFFSET(Tabla3[[#This Row],[Close]],-1,0),"")</f>
        <v>7.7841207231309634E-3</v>
      </c>
      <c r="K2104" s="2">
        <f ca="1">IFERROR(AVERAGE(OFFSET(Tabla3[[#This Row],[Close]],-6,0,7)),"")</f>
        <v>2317.942801339284</v>
      </c>
      <c r="L2104" s="2">
        <f ca="1">IFERROR(_xlfn.STDEV.S(OFFSET(Tabla3[[#This Row],[Close]],-29,0,30)),"")</f>
        <v>35.187900192827279</v>
      </c>
    </row>
    <row r="2105" spans="1:12" x14ac:dyDescent="0.3">
      <c r="A2105" s="1">
        <v>45463</v>
      </c>
      <c r="B2105" s="3">
        <f>YEAR(Tabla3[[#This Row],[Date]])</f>
        <v>2024</v>
      </c>
      <c r="C2105" s="1" t="str">
        <f>+TEXT(Tabla3[[#This Row],[Date]],"mmm")</f>
        <v>jun</v>
      </c>
      <c r="D2105" s="2">
        <v>2353.80004882812</v>
      </c>
      <c r="E2105" s="2">
        <v>2353.80004882812</v>
      </c>
      <c r="F2105" s="2">
        <v>2354</v>
      </c>
      <c r="G2105" s="2">
        <v>2328.30004882812</v>
      </c>
      <c r="H2105" s="2">
        <v>2328.89990234375</v>
      </c>
      <c r="I2105">
        <v>183</v>
      </c>
      <c r="J2105" s="2">
        <f ca="1">IFERROR((Tabla3[[#This Row],[Close]]-OFFSET(Tabla3[[#This Row],[Close]],-1,0))/OFFSET(Tabla3[[#This Row],[Close]],-1,0),"")</f>
        <v>1.0041257923515959E-2</v>
      </c>
      <c r="K2105" s="2">
        <f ca="1">IFERROR(AVERAGE(OFFSET(Tabla3[[#This Row],[Close]],-6,0,7)),"")</f>
        <v>2324.5285295758913</v>
      </c>
      <c r="L2105" s="2">
        <f ca="1">IFERROR(_xlfn.STDEV.S(OFFSET(Tabla3[[#This Row],[Close]],-29,0,30)),"")</f>
        <v>34.700598513302829</v>
      </c>
    </row>
    <row r="2106" spans="1:12" x14ac:dyDescent="0.3">
      <c r="A2106" s="1">
        <v>45464</v>
      </c>
      <c r="B2106" s="3">
        <f>YEAR(Tabla3[[#This Row],[Date]])</f>
        <v>2024</v>
      </c>
      <c r="C2106" s="1" t="str">
        <f>+TEXT(Tabla3[[#This Row],[Date]],"mmm")</f>
        <v>jun</v>
      </c>
      <c r="D2106" s="2">
        <v>2316.39990234375</v>
      </c>
      <c r="E2106" s="2">
        <v>2316.39990234375</v>
      </c>
      <c r="F2106" s="2">
        <v>2331.19995117187</v>
      </c>
      <c r="G2106" s="2">
        <v>2316.39990234375</v>
      </c>
      <c r="H2106" s="2">
        <v>2331.19995117187</v>
      </c>
      <c r="I2106">
        <v>76</v>
      </c>
      <c r="J2106" s="2">
        <f ca="1">IFERROR((Tabla3[[#This Row],[Close]]-OFFSET(Tabla3[[#This Row],[Close]],-1,0))/OFFSET(Tabla3[[#This Row],[Close]],-1,0),"")</f>
        <v>-1.5889262345367996E-2</v>
      </c>
      <c r="K2106" s="2">
        <f ca="1">IFERROR(AVERAGE(OFFSET(Tabla3[[#This Row],[Close]],-6,0,7)),"")</f>
        <v>2325.7999441964271</v>
      </c>
      <c r="L2106" s="2">
        <f ca="1">IFERROR(_xlfn.STDEV.S(OFFSET(Tabla3[[#This Row],[Close]],-29,0,30)),"")</f>
        <v>34.608709730379864</v>
      </c>
    </row>
    <row r="2107" spans="1:12" x14ac:dyDescent="0.3">
      <c r="A2107" s="1">
        <v>45467</v>
      </c>
      <c r="B2107" s="3">
        <f>YEAR(Tabla3[[#This Row],[Date]])</f>
        <v>2024</v>
      </c>
      <c r="C2107" s="1" t="str">
        <f>+TEXT(Tabla3[[#This Row],[Date]],"mmm")</f>
        <v>jun</v>
      </c>
      <c r="D2107" s="2">
        <v>2330</v>
      </c>
      <c r="E2107" s="2">
        <v>2330</v>
      </c>
      <c r="F2107" s="2">
        <v>2332.89990234375</v>
      </c>
      <c r="G2107" s="2">
        <v>2322.69995117187</v>
      </c>
      <c r="H2107" s="2">
        <v>2323.30004882812</v>
      </c>
      <c r="I2107">
        <v>99</v>
      </c>
      <c r="J2107" s="2">
        <f ca="1">IFERROR((Tabla3[[#This Row],[Close]]-OFFSET(Tabla3[[#This Row],[Close]],-1,0))/OFFSET(Tabla3[[#This Row],[Close]],-1,0),"")</f>
        <v>5.8712218224881308E-3</v>
      </c>
      <c r="K2107" s="2">
        <f ca="1">IFERROR(AVERAGE(OFFSET(Tabla3[[#This Row],[Close]],-6,0,7)),"")</f>
        <v>2324.942801339284</v>
      </c>
      <c r="L2107" s="2">
        <f ca="1">IFERROR(_xlfn.STDEV.S(OFFSET(Tabla3[[#This Row],[Close]],-29,0,30)),"")</f>
        <v>34.644148086459893</v>
      </c>
    </row>
    <row r="2108" spans="1:12" x14ac:dyDescent="0.3">
      <c r="A2108" s="1">
        <v>45468</v>
      </c>
      <c r="B2108" s="3">
        <f>YEAR(Tabla3[[#This Row],[Date]])</f>
        <v>2024</v>
      </c>
      <c r="C2108" s="1" t="str">
        <f>+TEXT(Tabla3[[#This Row],[Date]],"mmm")</f>
        <v>jun</v>
      </c>
      <c r="D2108" s="2">
        <v>2316.60009765625</v>
      </c>
      <c r="E2108" s="2">
        <v>2316.60009765625</v>
      </c>
      <c r="F2108" s="2">
        <v>2333</v>
      </c>
      <c r="G2108" s="2">
        <v>2316.60009765625</v>
      </c>
      <c r="H2108" s="2">
        <v>2324.39990234375</v>
      </c>
      <c r="I2108">
        <v>105</v>
      </c>
      <c r="J2108" s="2">
        <f ca="1">IFERROR((Tabla3[[#This Row],[Close]]-OFFSET(Tabla3[[#This Row],[Close]],-1,0))/OFFSET(Tabla3[[#This Row],[Close]],-1,0),"")</f>
        <v>-5.7510310488197427E-3</v>
      </c>
      <c r="K2108" s="2">
        <f ca="1">IFERROR(AVERAGE(OFFSET(Tabla3[[#This Row],[Close]],-6,0,7)),"")</f>
        <v>2327.2856794084814</v>
      </c>
      <c r="L2108" s="2">
        <f ca="1">IFERROR(_xlfn.STDEV.S(OFFSET(Tabla3[[#This Row],[Close]],-29,0,30)),"")</f>
        <v>34.903815493087798</v>
      </c>
    </row>
    <row r="2109" spans="1:12" x14ac:dyDescent="0.3">
      <c r="A2109" s="1">
        <v>45469</v>
      </c>
      <c r="B2109" s="3">
        <f>YEAR(Tabla3[[#This Row],[Date]])</f>
        <v>2024</v>
      </c>
      <c r="C2109" s="1" t="str">
        <f>+TEXT(Tabla3[[#This Row],[Date]],"mmm")</f>
        <v>jun</v>
      </c>
      <c r="D2109" s="2">
        <v>2299.19995117187</v>
      </c>
      <c r="E2109" s="2">
        <v>2299.19995117187</v>
      </c>
      <c r="F2109" s="2">
        <v>2314.39990234375</v>
      </c>
      <c r="G2109" s="2">
        <v>2298</v>
      </c>
      <c r="H2109" s="2">
        <v>2307.89990234375</v>
      </c>
      <c r="I2109">
        <v>986</v>
      </c>
      <c r="J2109" s="2">
        <f ca="1">IFERROR((Tabla3[[#This Row],[Close]]-OFFSET(Tabla3[[#This Row],[Close]],-1,0))/OFFSET(Tabla3[[#This Row],[Close]],-1,0),"")</f>
        <v>-7.5110704268656781E-3</v>
      </c>
      <c r="K2109" s="2">
        <f ca="1">IFERROR(AVERAGE(OFFSET(Tabla3[[#This Row],[Close]],-6,0,7)),"")</f>
        <v>2322.6856863839271</v>
      </c>
      <c r="L2109" s="2">
        <f ca="1">IFERROR(_xlfn.STDEV.S(OFFSET(Tabla3[[#This Row],[Close]],-29,0,30)),"")</f>
        <v>35.910226861654372</v>
      </c>
    </row>
    <row r="2110" spans="1:12" x14ac:dyDescent="0.3">
      <c r="A2110" s="1">
        <v>45470</v>
      </c>
      <c r="B2110" s="3">
        <f>YEAR(Tabla3[[#This Row],[Date]])</f>
        <v>2024</v>
      </c>
      <c r="C2110" s="1" t="str">
        <f>+TEXT(Tabla3[[#This Row],[Date]],"mmm")</f>
        <v>jun</v>
      </c>
      <c r="D2110" s="2">
        <v>2324.5</v>
      </c>
      <c r="E2110" s="2">
        <v>2324.5</v>
      </c>
      <c r="F2110" s="2">
        <v>2329</v>
      </c>
      <c r="G2110" s="2">
        <v>2295</v>
      </c>
      <c r="H2110" s="2">
        <v>2296.80004882812</v>
      </c>
      <c r="I2110">
        <v>1532</v>
      </c>
      <c r="J2110" s="2">
        <f ca="1">IFERROR((Tabla3[[#This Row],[Close]]-OFFSET(Tabla3[[#This Row],[Close]],-1,0))/OFFSET(Tabla3[[#This Row],[Close]],-1,0),"")</f>
        <v>1.1003848888929788E-2</v>
      </c>
      <c r="K2110" s="2">
        <f ca="1">IFERROR(AVERAGE(OFFSET(Tabla3[[#This Row],[Close]],-6,0,7)),"")</f>
        <v>2324.4142717633913</v>
      </c>
      <c r="L2110" s="2">
        <f ca="1">IFERROR(_xlfn.STDEV.S(OFFSET(Tabla3[[#This Row],[Close]],-29,0,30)),"")</f>
        <v>36.065529146945458</v>
      </c>
    </row>
    <row r="2111" spans="1:12" x14ac:dyDescent="0.3">
      <c r="A2111" s="1">
        <v>45471</v>
      </c>
      <c r="B2111" s="3">
        <f>YEAR(Tabla3[[#This Row],[Date]])</f>
        <v>2024</v>
      </c>
      <c r="C2111" s="1" t="str">
        <f>+TEXT(Tabla3[[#This Row],[Date]],"mmm")</f>
        <v>jun</v>
      </c>
      <c r="D2111" s="2">
        <v>2327.69995117187</v>
      </c>
      <c r="E2111" s="2">
        <v>2327.69995117187</v>
      </c>
      <c r="F2111" s="2">
        <v>2338.30004882812</v>
      </c>
      <c r="G2111" s="2">
        <v>2319</v>
      </c>
      <c r="H2111" s="2">
        <v>2325.39990234375</v>
      </c>
      <c r="I2111">
        <v>92</v>
      </c>
      <c r="J2111" s="2">
        <f ca="1">IFERROR((Tabla3[[#This Row],[Close]]-OFFSET(Tabla3[[#This Row],[Close]],-1,0))/OFFSET(Tabla3[[#This Row],[Close]],-1,0),"")</f>
        <v>1.3766191318003863E-3</v>
      </c>
      <c r="K2111" s="2">
        <f ca="1">IFERROR(AVERAGE(OFFSET(Tabla3[[#This Row],[Close]],-6,0,7)),"")</f>
        <v>2324.0285644531227</v>
      </c>
      <c r="L2111" s="2">
        <f ca="1">IFERROR(_xlfn.STDEV.S(OFFSET(Tabla3[[#This Row],[Close]],-29,0,30)),"")</f>
        <v>35.171438532006043</v>
      </c>
    </row>
    <row r="2112" spans="1:12" x14ac:dyDescent="0.3">
      <c r="A2112" s="1">
        <v>45474</v>
      </c>
      <c r="B2112" s="3">
        <f>YEAR(Tabla3[[#This Row],[Date]])</f>
        <v>2024</v>
      </c>
      <c r="C2112" s="1" t="str">
        <f>+TEXT(Tabla3[[#This Row],[Date]],"mmm")</f>
        <v>jul</v>
      </c>
      <c r="D2112" s="2">
        <v>2327.60009765625</v>
      </c>
      <c r="E2112" s="2">
        <v>2327.60009765625</v>
      </c>
      <c r="F2112" s="2">
        <v>2329.69995117187</v>
      </c>
      <c r="G2112" s="2">
        <v>2321.69995117187</v>
      </c>
      <c r="H2112" s="2">
        <v>2323.80004882812</v>
      </c>
      <c r="I2112">
        <v>237</v>
      </c>
      <c r="J2112" s="2">
        <f ca="1">IFERROR((Tabla3[[#This Row],[Close]]-OFFSET(Tabla3[[#This Row],[Close]],-1,0))/OFFSET(Tabla3[[#This Row],[Close]],-1,0),"")</f>
        <v>-4.2897932600688921E-5</v>
      </c>
      <c r="K2112" s="2">
        <f ca="1">IFERROR(AVERAGE(OFFSET(Tabla3[[#This Row],[Close]],-6,0,7)),"")</f>
        <v>2320.2857142857129</v>
      </c>
      <c r="L2112" s="2">
        <f ca="1">IFERROR(_xlfn.STDEV.S(OFFSET(Tabla3[[#This Row],[Close]],-29,0,30)),"")</f>
        <v>34.516484665418787</v>
      </c>
    </row>
    <row r="2113" spans="1:12" x14ac:dyDescent="0.3">
      <c r="A2113" s="1">
        <v>45475</v>
      </c>
      <c r="B2113" s="3">
        <f>YEAR(Tabla3[[#This Row],[Date]])</f>
        <v>2024</v>
      </c>
      <c r="C2113" s="1" t="str">
        <f>+TEXT(Tabla3[[#This Row],[Date]],"mmm")</f>
        <v>jul</v>
      </c>
      <c r="D2113" s="2">
        <v>2323</v>
      </c>
      <c r="E2113" s="2">
        <v>2323</v>
      </c>
      <c r="F2113" s="2">
        <v>2334.60009765625</v>
      </c>
      <c r="G2113" s="2">
        <v>2323</v>
      </c>
      <c r="H2113" s="2">
        <v>2330.69995117187</v>
      </c>
      <c r="I2113">
        <v>30</v>
      </c>
      <c r="J2113" s="2">
        <f ca="1">IFERROR((Tabla3[[#This Row],[Close]]-OFFSET(Tabla3[[#This Row],[Close]],-1,0))/OFFSET(Tabla3[[#This Row],[Close]],-1,0),"")</f>
        <v>-1.9763264578318306E-3</v>
      </c>
      <c r="K2113" s="2">
        <f ca="1">IFERROR(AVERAGE(OFFSET(Tabla3[[#This Row],[Close]],-6,0,7)),"")</f>
        <v>2321.2285853794629</v>
      </c>
      <c r="L2113" s="2">
        <f ca="1">IFERROR(_xlfn.STDEV.S(OFFSET(Tabla3[[#This Row],[Close]],-29,0,30)),"")</f>
        <v>31.847758284063513</v>
      </c>
    </row>
    <row r="2114" spans="1:12" x14ac:dyDescent="0.3">
      <c r="A2114" s="1">
        <v>45476</v>
      </c>
      <c r="B2114" s="3">
        <f>YEAR(Tabla3[[#This Row],[Date]])</f>
        <v>2024</v>
      </c>
      <c r="C2114" s="1" t="str">
        <f>+TEXT(Tabla3[[#This Row],[Date]],"mmm")</f>
        <v>jul</v>
      </c>
      <c r="D2114" s="2">
        <v>2359.80004882812</v>
      </c>
      <c r="E2114" s="2">
        <v>2359.80004882812</v>
      </c>
      <c r="F2114" s="2">
        <v>2361.60009765625</v>
      </c>
      <c r="G2114" s="2">
        <v>2330.89990234375</v>
      </c>
      <c r="H2114" s="2">
        <v>2330.89990234375</v>
      </c>
      <c r="I2114">
        <v>59</v>
      </c>
      <c r="J2114" s="2">
        <f ca="1">IFERROR((Tabla3[[#This Row],[Close]]-OFFSET(Tabla3[[#This Row],[Close]],-1,0))/OFFSET(Tabla3[[#This Row],[Close]],-1,0),"")</f>
        <v>1.5841605177838999E-2</v>
      </c>
      <c r="K2114" s="2">
        <f ca="1">IFERROR(AVERAGE(OFFSET(Tabla3[[#This Row],[Close]],-6,0,7)),"")</f>
        <v>2325.4857352120512</v>
      </c>
      <c r="L2114" s="2">
        <f ca="1">IFERROR(_xlfn.STDEV.S(OFFSET(Tabla3[[#This Row],[Close]],-29,0,30)),"")</f>
        <v>26.528612823483485</v>
      </c>
    </row>
    <row r="2115" spans="1:12" x14ac:dyDescent="0.3">
      <c r="A2115" s="1">
        <v>45478</v>
      </c>
      <c r="B2115" s="3">
        <f>YEAR(Tabla3[[#This Row],[Date]])</f>
        <v>2024</v>
      </c>
      <c r="C2115" s="1" t="str">
        <f>+TEXT(Tabla3[[#This Row],[Date]],"mmm")</f>
        <v>jul</v>
      </c>
      <c r="D2115" s="2">
        <v>2388.5</v>
      </c>
      <c r="E2115" s="2">
        <v>2388.5</v>
      </c>
      <c r="F2115" s="2">
        <v>2388.5</v>
      </c>
      <c r="G2115" s="2">
        <v>2354.89990234375</v>
      </c>
      <c r="H2115" s="2">
        <v>2354.89990234375</v>
      </c>
      <c r="I2115">
        <v>72</v>
      </c>
      <c r="J2115" s="2">
        <f ca="1">IFERROR((Tabla3[[#This Row],[Close]]-OFFSET(Tabla3[[#This Row],[Close]],-1,0))/OFFSET(Tabla3[[#This Row],[Close]],-1,0),"")</f>
        <v>1.2162026687868083E-2</v>
      </c>
      <c r="K2115" s="2">
        <f ca="1">IFERROR(AVERAGE(OFFSET(Tabla3[[#This Row],[Close]],-6,0,7)),"")</f>
        <v>2335.7571498325869</v>
      </c>
      <c r="L2115" s="2">
        <f ca="1">IFERROR(_xlfn.STDEV.S(OFFSET(Tabla3[[#This Row],[Close]],-29,0,30)),"")</f>
        <v>23.273589720909428</v>
      </c>
    </row>
    <row r="2116" spans="1:12" x14ac:dyDescent="0.3">
      <c r="A2116" s="1">
        <v>45481</v>
      </c>
      <c r="B2116" s="3">
        <f>YEAR(Tabla3[[#This Row],[Date]])</f>
        <v>2024</v>
      </c>
      <c r="C2116" s="1" t="str">
        <f>+TEXT(Tabla3[[#This Row],[Date]],"mmm")</f>
        <v>jul</v>
      </c>
      <c r="D2116" s="2">
        <v>2355.19995117187</v>
      </c>
      <c r="E2116" s="2">
        <v>2355.19995117187</v>
      </c>
      <c r="F2116" s="2">
        <v>2383.80004882812</v>
      </c>
      <c r="G2116" s="2">
        <v>2352.80004882812</v>
      </c>
      <c r="H2116" s="2">
        <v>2381.69995117187</v>
      </c>
      <c r="I2116">
        <v>64</v>
      </c>
      <c r="J2116" s="2">
        <f ca="1">IFERROR((Tabla3[[#This Row],[Close]]-OFFSET(Tabla3[[#This Row],[Close]],-1,0))/OFFSET(Tabla3[[#This Row],[Close]],-1,0),"")</f>
        <v>-1.3941824922809296E-2</v>
      </c>
      <c r="K2116" s="2">
        <f ca="1">IFERROR(AVERAGE(OFFSET(Tabla3[[#This Row],[Close]],-6,0,7)),"")</f>
        <v>2343.7571498325874</v>
      </c>
      <c r="L2116" s="2">
        <f ca="1">IFERROR(_xlfn.STDEV.S(OFFSET(Tabla3[[#This Row],[Close]],-29,0,30)),"")</f>
        <v>21.217089665215909</v>
      </c>
    </row>
    <row r="2117" spans="1:12" x14ac:dyDescent="0.3">
      <c r="A2117" s="1">
        <v>45482</v>
      </c>
      <c r="B2117" s="3">
        <f>YEAR(Tabla3[[#This Row],[Date]])</f>
        <v>2024</v>
      </c>
      <c r="C2117" s="1" t="str">
        <f>+TEXT(Tabla3[[#This Row],[Date]],"mmm")</f>
        <v>jul</v>
      </c>
      <c r="D2117" s="2">
        <v>2360.10009765625</v>
      </c>
      <c r="E2117" s="2">
        <v>2360.10009765625</v>
      </c>
      <c r="F2117" s="2">
        <v>2363.69995117187</v>
      </c>
      <c r="G2117" s="2">
        <v>2360.10009765625</v>
      </c>
      <c r="H2117" s="2">
        <v>2363.10009765625</v>
      </c>
      <c r="I2117">
        <v>9</v>
      </c>
      <c r="J2117" s="2">
        <f ca="1">IFERROR((Tabla3[[#This Row],[Close]]-OFFSET(Tabla3[[#This Row],[Close]],-1,0))/OFFSET(Tabla3[[#This Row],[Close]],-1,0),"")</f>
        <v>2.0805649566788802E-3</v>
      </c>
      <c r="K2117" s="2">
        <f ca="1">IFERROR(AVERAGE(OFFSET(Tabla3[[#This Row],[Close]],-6,0,7)),"")</f>
        <v>2348.8428780691943</v>
      </c>
      <c r="L2117" s="2">
        <f ca="1">IFERROR(_xlfn.STDEV.S(OFFSET(Tabla3[[#This Row],[Close]],-29,0,30)),"")</f>
        <v>21.801303371631676</v>
      </c>
    </row>
    <row r="2118" spans="1:12" x14ac:dyDescent="0.3">
      <c r="A2118" s="1">
        <v>45483</v>
      </c>
      <c r="B2118" s="3">
        <f>YEAR(Tabla3[[#This Row],[Date]])</f>
        <v>2024</v>
      </c>
      <c r="C2118" s="1" t="str">
        <f>+TEXT(Tabla3[[#This Row],[Date]],"mmm")</f>
        <v>jul</v>
      </c>
      <c r="D2118" s="2">
        <v>2372.19995117187</v>
      </c>
      <c r="E2118" s="2">
        <v>2372.19995117187</v>
      </c>
      <c r="F2118" s="2">
        <v>2377</v>
      </c>
      <c r="G2118" s="2">
        <v>2365.80004882812</v>
      </c>
      <c r="H2118" s="2">
        <v>2366.30004882812</v>
      </c>
      <c r="I2118">
        <v>19</v>
      </c>
      <c r="J2118" s="2">
        <f ca="1">IFERROR((Tabla3[[#This Row],[Close]]-OFFSET(Tabla3[[#This Row],[Close]],-1,0))/OFFSET(Tabla3[[#This Row],[Close]],-1,0),"")</f>
        <v>5.1268391233219414E-3</v>
      </c>
      <c r="K2118" s="2">
        <f ca="1">IFERROR(AVERAGE(OFFSET(Tabla3[[#This Row],[Close]],-6,0,7)),"")</f>
        <v>2355.2000209263374</v>
      </c>
      <c r="L2118" s="2">
        <f ca="1">IFERROR(_xlfn.STDEV.S(OFFSET(Tabla3[[#This Row],[Close]],-29,0,30)),"")</f>
        <v>22.917941089923211</v>
      </c>
    </row>
    <row r="2119" spans="1:12" x14ac:dyDescent="0.3">
      <c r="A2119" s="1">
        <v>45484</v>
      </c>
      <c r="B2119" s="3">
        <f>YEAR(Tabla3[[#This Row],[Date]])</f>
        <v>2024</v>
      </c>
      <c r="C2119" s="1" t="str">
        <f>+TEXT(Tabla3[[#This Row],[Date]],"mmm")</f>
        <v>jul</v>
      </c>
      <c r="D2119" s="2">
        <v>2415</v>
      </c>
      <c r="E2119" s="2">
        <v>2415</v>
      </c>
      <c r="F2119" s="2">
        <v>2416.69995117187</v>
      </c>
      <c r="G2119" s="2">
        <v>2378.69995117187</v>
      </c>
      <c r="H2119" s="2">
        <v>2378.69995117187</v>
      </c>
      <c r="I2119">
        <v>72</v>
      </c>
      <c r="J2119" s="2">
        <f ca="1">IFERROR((Tabla3[[#This Row],[Close]]-OFFSET(Tabla3[[#This Row],[Close]],-1,0))/OFFSET(Tabla3[[#This Row],[Close]],-1,0),"")</f>
        <v>1.8042344536339242E-2</v>
      </c>
      <c r="K2119" s="2">
        <f ca="1">IFERROR(AVERAGE(OFFSET(Tabla3[[#This Row],[Close]],-6,0,7)),"")</f>
        <v>2367.6857212611585</v>
      </c>
      <c r="L2119" s="2">
        <f ca="1">IFERROR(_xlfn.STDEV.S(OFFSET(Tabla3[[#This Row],[Close]],-29,0,30)),"")</f>
        <v>26.993996560111729</v>
      </c>
    </row>
    <row r="2120" spans="1:12" x14ac:dyDescent="0.3">
      <c r="A2120" s="1">
        <v>45485</v>
      </c>
      <c r="B2120" s="3">
        <f>YEAR(Tabla3[[#This Row],[Date]])</f>
        <v>2024</v>
      </c>
      <c r="C2120" s="1" t="str">
        <f>+TEXT(Tabla3[[#This Row],[Date]],"mmm")</f>
        <v>jul</v>
      </c>
      <c r="D2120" s="2">
        <v>2414</v>
      </c>
      <c r="E2120" s="2">
        <v>2414</v>
      </c>
      <c r="F2120" s="2">
        <v>2414</v>
      </c>
      <c r="G2120" s="2">
        <v>2391.30004882812</v>
      </c>
      <c r="H2120" s="2">
        <v>2399.80004882812</v>
      </c>
      <c r="I2120">
        <v>355</v>
      </c>
      <c r="J2120" s="2">
        <f ca="1">IFERROR((Tabla3[[#This Row],[Close]]-OFFSET(Tabla3[[#This Row],[Close]],-1,0))/OFFSET(Tabla3[[#This Row],[Close]],-1,0),"")</f>
        <v>-4.1407867494824016E-4</v>
      </c>
      <c r="K2120" s="2">
        <f ca="1">IFERROR(AVERAGE(OFFSET(Tabla3[[#This Row],[Close]],-6,0,7)),"")</f>
        <v>2380.6857212611585</v>
      </c>
      <c r="L2120" s="2">
        <f ca="1">IFERROR(_xlfn.STDEV.S(OFFSET(Tabla3[[#This Row],[Close]],-29,0,30)),"")</f>
        <v>30.458025244888937</v>
      </c>
    </row>
    <row r="2121" spans="1:12" x14ac:dyDescent="0.3">
      <c r="A2121" s="1">
        <v>45488</v>
      </c>
      <c r="B2121" s="3">
        <f>YEAR(Tabla3[[#This Row],[Date]])</f>
        <v>2024</v>
      </c>
      <c r="C2121" s="1" t="str">
        <f>+TEXT(Tabla3[[#This Row],[Date]],"mmm")</f>
        <v>jul</v>
      </c>
      <c r="D2121" s="2">
        <v>2422.89990234375</v>
      </c>
      <c r="E2121" s="2">
        <v>2422.89990234375</v>
      </c>
      <c r="F2121" s="2">
        <v>2436</v>
      </c>
      <c r="G2121" s="2">
        <v>2422.89990234375</v>
      </c>
      <c r="H2121" s="2">
        <v>2430</v>
      </c>
      <c r="I2121">
        <v>540</v>
      </c>
      <c r="J2121" s="2">
        <f ca="1">IFERROR((Tabla3[[#This Row],[Close]]-OFFSET(Tabla3[[#This Row],[Close]],-1,0))/OFFSET(Tabla3[[#This Row],[Close]],-1,0),"")</f>
        <v>3.686786389291632E-3</v>
      </c>
      <c r="K2121" s="2">
        <f ca="1">IFERROR(AVERAGE(OFFSET(Tabla3[[#This Row],[Close]],-6,0,7)),"")</f>
        <v>2389.6999860491055</v>
      </c>
      <c r="L2121" s="2">
        <f ca="1">IFERROR(_xlfn.STDEV.S(OFFSET(Tabla3[[#This Row],[Close]],-29,0,30)),"")</f>
        <v>34.077987142862554</v>
      </c>
    </row>
    <row r="2122" spans="1:12" x14ac:dyDescent="0.3">
      <c r="A2122" s="1">
        <v>45489</v>
      </c>
      <c r="B2122" s="3">
        <f>YEAR(Tabla3[[#This Row],[Date]])</f>
        <v>2024</v>
      </c>
      <c r="C2122" s="1" t="str">
        <f>+TEXT(Tabla3[[#This Row],[Date]],"mmm")</f>
        <v>jul</v>
      </c>
      <c r="D2122" s="2">
        <v>2462.39990234375</v>
      </c>
      <c r="E2122" s="2">
        <v>2462.39990234375</v>
      </c>
      <c r="F2122" s="2">
        <v>2462.39990234375</v>
      </c>
      <c r="G2122" s="2">
        <v>2427.39990234375</v>
      </c>
      <c r="H2122" s="2">
        <v>2427.39990234375</v>
      </c>
      <c r="I2122">
        <v>93</v>
      </c>
      <c r="J2122" s="2">
        <f ca="1">IFERROR((Tabla3[[#This Row],[Close]]-OFFSET(Tabla3[[#This Row],[Close]],-1,0))/OFFSET(Tabla3[[#This Row],[Close]],-1,0),"")</f>
        <v>1.6302778320222953E-2</v>
      </c>
      <c r="K2122" s="2">
        <f ca="1">IFERROR(AVERAGE(OFFSET(Tabla3[[#This Row],[Close]],-6,0,7)),"")</f>
        <v>2400.2571149553555</v>
      </c>
      <c r="L2122" s="2">
        <f ca="1">IFERROR(_xlfn.STDEV.S(OFFSET(Tabla3[[#This Row],[Close]],-29,0,30)),"")</f>
        <v>40.339638887686775</v>
      </c>
    </row>
    <row r="2123" spans="1:12" x14ac:dyDescent="0.3">
      <c r="A2123" s="1">
        <v>45490</v>
      </c>
      <c r="B2123" s="3">
        <f>YEAR(Tabla3[[#This Row],[Date]])</f>
        <v>2024</v>
      </c>
      <c r="C2123" s="1" t="str">
        <f>+TEXT(Tabla3[[#This Row],[Date]],"mmm")</f>
        <v>jul</v>
      </c>
      <c r="D2123" s="2">
        <v>2454.80004882812</v>
      </c>
      <c r="E2123" s="2">
        <v>2454.80004882812</v>
      </c>
      <c r="F2123" s="2">
        <v>2473.10009765625</v>
      </c>
      <c r="G2123" s="2">
        <v>2454.80004882812</v>
      </c>
      <c r="H2123" s="2">
        <v>2472.89990234375</v>
      </c>
      <c r="I2123">
        <v>10</v>
      </c>
      <c r="J2123" s="2">
        <f ca="1">IFERROR((Tabla3[[#This Row],[Close]]-OFFSET(Tabla3[[#This Row],[Close]],-1,0))/OFFSET(Tabla3[[#This Row],[Close]],-1,0),"")</f>
        <v>-3.0863603870339442E-3</v>
      </c>
      <c r="K2123" s="2">
        <f ca="1">IFERROR(AVERAGE(OFFSET(Tabla3[[#This Row],[Close]],-6,0,7)),"")</f>
        <v>2414.4857003348197</v>
      </c>
      <c r="L2123" s="2">
        <f ca="1">IFERROR(_xlfn.STDEV.S(OFFSET(Tabla3[[#This Row],[Close]],-29,0,30)),"")</f>
        <v>44.921887451817739</v>
      </c>
    </row>
    <row r="2124" spans="1:12" x14ac:dyDescent="0.3">
      <c r="A2124" s="1">
        <v>45491</v>
      </c>
      <c r="B2124" s="3">
        <f>YEAR(Tabla3[[#This Row],[Date]])</f>
        <v>2024</v>
      </c>
      <c r="C2124" s="1" t="str">
        <f>+TEXT(Tabla3[[#This Row],[Date]],"mmm")</f>
        <v>jul</v>
      </c>
      <c r="D2124" s="2">
        <v>2451.80004882812</v>
      </c>
      <c r="E2124" s="2">
        <v>2451.80004882812</v>
      </c>
      <c r="F2124" s="2">
        <v>2466</v>
      </c>
      <c r="G2124" s="2">
        <v>2451.80004882812</v>
      </c>
      <c r="H2124" s="2">
        <v>2466</v>
      </c>
      <c r="I2124">
        <v>2</v>
      </c>
      <c r="J2124" s="2">
        <f ca="1">IFERROR((Tabla3[[#This Row],[Close]]-OFFSET(Tabla3[[#This Row],[Close]],-1,0))/OFFSET(Tabla3[[#This Row],[Close]],-1,0),"")</f>
        <v>-1.2220954620854555E-3</v>
      </c>
      <c r="K2124" s="2">
        <f ca="1">IFERROR(AVERAGE(OFFSET(Tabla3[[#This Row],[Close]],-6,0,7)),"")</f>
        <v>2427.5856933593727</v>
      </c>
      <c r="L2124" s="2">
        <f ca="1">IFERROR(_xlfn.STDEV.S(OFFSET(Tabla3[[#This Row],[Close]],-29,0,30)),"")</f>
        <v>48.322028455889736</v>
      </c>
    </row>
    <row r="2125" spans="1:12" x14ac:dyDescent="0.3">
      <c r="A2125" s="1">
        <v>45492</v>
      </c>
      <c r="B2125" s="3">
        <f>YEAR(Tabla3[[#This Row],[Date]])</f>
        <v>2024</v>
      </c>
      <c r="C2125" s="1" t="str">
        <f>+TEXT(Tabla3[[#This Row],[Date]],"mmm")</f>
        <v>jul</v>
      </c>
      <c r="D2125" s="2">
        <v>2395.5</v>
      </c>
      <c r="E2125" s="2">
        <v>2395.5</v>
      </c>
      <c r="F2125" s="2">
        <v>2419.19995117187</v>
      </c>
      <c r="G2125" s="2">
        <v>2395.5</v>
      </c>
      <c r="H2125" s="2">
        <v>2418.80004882812</v>
      </c>
      <c r="I2125">
        <v>15</v>
      </c>
      <c r="J2125" s="2">
        <f ca="1">IFERROR((Tabla3[[#This Row],[Close]]-OFFSET(Tabla3[[#This Row],[Close]],-1,0))/OFFSET(Tabla3[[#This Row],[Close]],-1,0),"")</f>
        <v>-2.296274072391408E-2</v>
      </c>
      <c r="K2125" s="2">
        <f ca="1">IFERROR(AVERAGE(OFFSET(Tabla3[[#This Row],[Close]],-6,0,7)),"")</f>
        <v>2430.9142717633913</v>
      </c>
      <c r="L2125" s="2">
        <f ca="1">IFERROR(_xlfn.STDEV.S(OFFSET(Tabla3[[#This Row],[Close]],-29,0,30)),"")</f>
        <v>48.902123117616917</v>
      </c>
    </row>
    <row r="2126" spans="1:12" x14ac:dyDescent="0.3">
      <c r="A2126" s="1">
        <v>45495</v>
      </c>
      <c r="B2126" s="3">
        <f>YEAR(Tabla3[[#This Row],[Date]])</f>
        <v>2024</v>
      </c>
      <c r="C2126" s="1" t="str">
        <f>+TEXT(Tabla3[[#This Row],[Date]],"mmm")</f>
        <v>jul</v>
      </c>
      <c r="D2126" s="2">
        <v>2392</v>
      </c>
      <c r="E2126" s="2">
        <v>2392</v>
      </c>
      <c r="F2126" s="2">
        <v>2402.10009765625</v>
      </c>
      <c r="G2126" s="2">
        <v>2392</v>
      </c>
      <c r="H2126" s="2">
        <v>2402.10009765625</v>
      </c>
      <c r="I2126">
        <v>18</v>
      </c>
      <c r="J2126" s="2">
        <f ca="1">IFERROR((Tabla3[[#This Row],[Close]]-OFFSET(Tabla3[[#This Row],[Close]],-1,0))/OFFSET(Tabla3[[#This Row],[Close]],-1,0),"")</f>
        <v>-1.4610728449175538E-3</v>
      </c>
      <c r="K2126" s="2">
        <f ca="1">IFERROR(AVERAGE(OFFSET(Tabla3[[#This Row],[Close]],-6,0,7)),"")</f>
        <v>2427.6285574776771</v>
      </c>
      <c r="L2126" s="2">
        <f ca="1">IFERROR(_xlfn.STDEV.S(OFFSET(Tabla3[[#This Row],[Close]],-29,0,30)),"")</f>
        <v>49.283960202419998</v>
      </c>
    </row>
    <row r="2127" spans="1:12" x14ac:dyDescent="0.3">
      <c r="A2127" s="1">
        <v>45496</v>
      </c>
      <c r="B2127" s="3">
        <f>YEAR(Tabla3[[#This Row],[Date]])</f>
        <v>2024</v>
      </c>
      <c r="C2127" s="1" t="str">
        <f>+TEXT(Tabla3[[#This Row],[Date]],"mmm")</f>
        <v>jul</v>
      </c>
      <c r="D2127" s="2">
        <v>2404.60009765625</v>
      </c>
      <c r="E2127" s="2">
        <v>2404.60009765625</v>
      </c>
      <c r="F2127" s="2">
        <v>2404.60009765625</v>
      </c>
      <c r="G2127" s="2">
        <v>2388.69995117187</v>
      </c>
      <c r="H2127" s="2">
        <v>2395.80004882812</v>
      </c>
      <c r="I2127">
        <v>41</v>
      </c>
      <c r="J2127" s="2">
        <f ca="1">IFERROR((Tabla3[[#This Row],[Close]]-OFFSET(Tabla3[[#This Row],[Close]],-1,0))/OFFSET(Tabla3[[#This Row],[Close]],-1,0),"")</f>
        <v>5.267599354619565E-3</v>
      </c>
      <c r="K2127" s="2">
        <f ca="1">IFERROR(AVERAGE(OFFSET(Tabla3[[#This Row],[Close]],-6,0,7)),"")</f>
        <v>2426.2857142857129</v>
      </c>
      <c r="L2127" s="2">
        <f ca="1">IFERROR(_xlfn.STDEV.S(OFFSET(Tabla3[[#This Row],[Close]],-29,0,30)),"")</f>
        <v>49.059740594344085</v>
      </c>
    </row>
    <row r="2128" spans="1:12" x14ac:dyDescent="0.3">
      <c r="A2128" s="1">
        <v>45497</v>
      </c>
      <c r="B2128" s="3">
        <f>YEAR(Tabla3[[#This Row],[Date]])</f>
        <v>2024</v>
      </c>
      <c r="C2128" s="1" t="str">
        <f>+TEXT(Tabla3[[#This Row],[Date]],"mmm")</f>
        <v>jul</v>
      </c>
      <c r="D2128" s="2">
        <v>2413.30004882812</v>
      </c>
      <c r="E2128" s="2">
        <v>2413.30004882812</v>
      </c>
      <c r="F2128" s="2">
        <v>2421</v>
      </c>
      <c r="G2128" s="2">
        <v>2411.60009765625</v>
      </c>
      <c r="H2128" s="2">
        <v>2421</v>
      </c>
      <c r="I2128">
        <v>6</v>
      </c>
      <c r="J2128" s="2">
        <f ca="1">IFERROR((Tabla3[[#This Row],[Close]]-OFFSET(Tabla3[[#This Row],[Close]],-1,0))/OFFSET(Tabla3[[#This Row],[Close]],-1,0),"")</f>
        <v>3.6180449216274219E-3</v>
      </c>
      <c r="K2128" s="2">
        <f ca="1">IFERROR(AVERAGE(OFFSET(Tabla3[[#This Row],[Close]],-6,0,7)),"")</f>
        <v>2424.9143066406227</v>
      </c>
      <c r="L2128" s="2">
        <f ca="1">IFERROR(_xlfn.STDEV.S(OFFSET(Tabla3[[#This Row],[Close]],-29,0,30)),"")</f>
        <v>48.982983598907232</v>
      </c>
    </row>
    <row r="2129" spans="1:12" x14ac:dyDescent="0.3">
      <c r="A2129" s="1">
        <v>45498</v>
      </c>
      <c r="B2129" s="3">
        <f>YEAR(Tabla3[[#This Row],[Date]])</f>
        <v>2024</v>
      </c>
      <c r="C2129" s="1" t="str">
        <f>+TEXT(Tabla3[[#This Row],[Date]],"mmm")</f>
        <v>jul</v>
      </c>
      <c r="D2129" s="2">
        <v>2351.89990234375</v>
      </c>
      <c r="E2129" s="2">
        <v>2351.89990234375</v>
      </c>
      <c r="F2129" s="2">
        <v>2365.5</v>
      </c>
      <c r="G2129" s="2">
        <v>2351.89990234375</v>
      </c>
      <c r="H2129" s="2">
        <v>2365.5</v>
      </c>
      <c r="I2129">
        <v>31</v>
      </c>
      <c r="J2129" s="2">
        <f ca="1">IFERROR((Tabla3[[#This Row],[Close]]-OFFSET(Tabla3[[#This Row],[Close]],-1,0))/OFFSET(Tabla3[[#This Row],[Close]],-1,0),"")</f>
        <v>-2.5442400547824727E-2</v>
      </c>
      <c r="K2129" s="2">
        <f ca="1">IFERROR(AVERAGE(OFFSET(Tabla3[[#This Row],[Close]],-6,0,7)),"")</f>
        <v>2409.1285923549085</v>
      </c>
      <c r="L2129" s="2">
        <f ca="1">IFERROR(_xlfn.STDEV.S(OFFSET(Tabla3[[#This Row],[Close]],-29,0,30)),"")</f>
        <v>47.897826197067346</v>
      </c>
    </row>
    <row r="2130" spans="1:12" x14ac:dyDescent="0.3">
      <c r="A2130" s="1">
        <v>45499</v>
      </c>
      <c r="B2130" s="3">
        <f>YEAR(Tabla3[[#This Row],[Date]])</f>
        <v>2024</v>
      </c>
      <c r="C2130" s="1" t="str">
        <f>+TEXT(Tabla3[[#This Row],[Date]],"mmm")</f>
        <v>jul</v>
      </c>
      <c r="D2130" s="2">
        <v>2380</v>
      </c>
      <c r="E2130" s="2">
        <v>2380</v>
      </c>
      <c r="F2130" s="2">
        <v>2386.89990234375</v>
      </c>
      <c r="G2130" s="2">
        <v>2368.69995117187</v>
      </c>
      <c r="H2130" s="2">
        <v>2368.69995117187</v>
      </c>
      <c r="I2130">
        <v>95</v>
      </c>
      <c r="J2130" s="2">
        <f ca="1">IFERROR((Tabla3[[#This Row],[Close]]-OFFSET(Tabla3[[#This Row],[Close]],-1,0))/OFFSET(Tabla3[[#This Row],[Close]],-1,0),"")</f>
        <v>1.1947828914082302E-2</v>
      </c>
      <c r="K2130" s="2">
        <f ca="1">IFERROR(AVERAGE(OFFSET(Tabla3[[#This Row],[Close]],-6,0,7)),"")</f>
        <v>2398.4428710937486</v>
      </c>
      <c r="L2130" s="2">
        <f ca="1">IFERROR(_xlfn.STDEV.S(OFFSET(Tabla3[[#This Row],[Close]],-29,0,30)),"")</f>
        <v>47.65944747333296</v>
      </c>
    </row>
    <row r="2131" spans="1:12" x14ac:dyDescent="0.3">
      <c r="A2131" s="1">
        <v>45502</v>
      </c>
      <c r="B2131" s="3">
        <f>YEAR(Tabla3[[#This Row],[Date]])</f>
        <v>2024</v>
      </c>
      <c r="C2131" s="1" t="str">
        <f>+TEXT(Tabla3[[#This Row],[Date]],"mmm")</f>
        <v>jul</v>
      </c>
      <c r="D2131" s="2">
        <v>2377.30004882812</v>
      </c>
      <c r="E2131" s="2">
        <v>2377.30004882812</v>
      </c>
      <c r="F2131" s="2">
        <v>2377.30004882812</v>
      </c>
      <c r="G2131" s="2">
        <v>2377.30004882812</v>
      </c>
      <c r="H2131" s="2">
        <v>2377.30004882812</v>
      </c>
      <c r="I2131">
        <v>126409</v>
      </c>
      <c r="J2131" s="2">
        <f ca="1">IFERROR((Tabla3[[#This Row],[Close]]-OFFSET(Tabla3[[#This Row],[Close]],-1,0))/OFFSET(Tabla3[[#This Row],[Close]],-1,0),"")</f>
        <v>-1.1344332654957992E-3</v>
      </c>
      <c r="K2131" s="2">
        <f ca="1">IFERROR(AVERAGE(OFFSET(Tabla3[[#This Row],[Close]],-6,0,7)),"")</f>
        <v>2387.8000139508913</v>
      </c>
      <c r="L2131" s="2">
        <f ca="1">IFERROR(_xlfn.STDEV.S(OFFSET(Tabla3[[#This Row],[Close]],-29,0,30)),"")</f>
        <v>46.026287730474664</v>
      </c>
    </row>
    <row r="2132" spans="1:12" x14ac:dyDescent="0.3">
      <c r="A2132" s="1">
        <v>45503</v>
      </c>
      <c r="B2132" s="3">
        <f>YEAR(Tabla3[[#This Row],[Date]])</f>
        <v>2024</v>
      </c>
      <c r="C2132" s="1" t="str">
        <f>+TEXT(Tabla3[[#This Row],[Date]],"mmm")</f>
        <v>jul</v>
      </c>
      <c r="D2132" s="2">
        <v>2405</v>
      </c>
      <c r="E2132" s="2">
        <v>2405</v>
      </c>
      <c r="F2132" s="2">
        <v>2409.30004882812</v>
      </c>
      <c r="G2132" s="2">
        <v>2373.80004882812</v>
      </c>
      <c r="H2132" s="2">
        <v>2380.89990234375</v>
      </c>
      <c r="I2132">
        <v>25944</v>
      </c>
      <c r="J2132" s="2">
        <f ca="1">IFERROR((Tabla3[[#This Row],[Close]]-OFFSET(Tabla3[[#This Row],[Close]],-1,0))/OFFSET(Tabla3[[#This Row],[Close]],-1,0),"")</f>
        <v>1.1651853196038328E-2</v>
      </c>
      <c r="K2132" s="2">
        <f ca="1">IFERROR(AVERAGE(OFFSET(Tabla3[[#This Row],[Close]],-6,0,7)),"")</f>
        <v>2389.157156808034</v>
      </c>
      <c r="L2132" s="2">
        <f ca="1">IFERROR(_xlfn.STDEV.S(OFFSET(Tabla3[[#This Row],[Close]],-29,0,30)),"")</f>
        <v>45.924898041817698</v>
      </c>
    </row>
    <row r="2133" spans="1:12" x14ac:dyDescent="0.3">
      <c r="A2133" s="1">
        <v>45504</v>
      </c>
      <c r="B2133" s="3">
        <f>YEAR(Tabla3[[#This Row],[Date]])</f>
        <v>2024</v>
      </c>
      <c r="C2133" s="1" t="str">
        <f>+TEXT(Tabla3[[#This Row],[Date]],"mmm")</f>
        <v>jul</v>
      </c>
      <c r="D2133" s="2">
        <v>2426.5</v>
      </c>
      <c r="E2133" s="2">
        <v>2426.5</v>
      </c>
      <c r="F2133" s="2">
        <v>2447.60009765625</v>
      </c>
      <c r="G2133" s="2">
        <v>2402.80004882812</v>
      </c>
      <c r="H2133" s="2">
        <v>2407.10009765625</v>
      </c>
      <c r="I2133">
        <v>1313</v>
      </c>
      <c r="J2133" s="2">
        <f ca="1">IFERROR((Tabla3[[#This Row],[Close]]-OFFSET(Tabla3[[#This Row],[Close]],-1,0))/OFFSET(Tabla3[[#This Row],[Close]],-1,0),"")</f>
        <v>8.9397089397089402E-3</v>
      </c>
      <c r="K2133" s="2">
        <f ca="1">IFERROR(AVERAGE(OFFSET(Tabla3[[#This Row],[Close]],-6,0,7)),"")</f>
        <v>2394.0857282366055</v>
      </c>
      <c r="L2133" s="2">
        <f ca="1">IFERROR(_xlfn.STDEV.S(OFFSET(Tabla3[[#This Row],[Close]],-29,0,30)),"")</f>
        <v>45.605511254836507</v>
      </c>
    </row>
    <row r="2134" spans="1:12" x14ac:dyDescent="0.3">
      <c r="A2134" s="1">
        <v>45505</v>
      </c>
      <c r="B2134" s="3">
        <f>YEAR(Tabla3[[#This Row],[Date]])</f>
        <v>2024</v>
      </c>
      <c r="C2134" s="1" t="str">
        <f>+TEXT(Tabla3[[#This Row],[Date]],"mmm")</f>
        <v>ago</v>
      </c>
      <c r="D2134" s="2">
        <v>2435</v>
      </c>
      <c r="E2134" s="2">
        <v>2435</v>
      </c>
      <c r="F2134" s="2">
        <v>2455.10009765625</v>
      </c>
      <c r="G2134" s="2">
        <v>2430.39990234375</v>
      </c>
      <c r="H2134" s="2">
        <v>2446.69995117187</v>
      </c>
      <c r="I2134">
        <v>690</v>
      </c>
      <c r="J2134" s="2">
        <f ca="1">IFERROR((Tabla3[[#This Row],[Close]]-OFFSET(Tabla3[[#This Row],[Close]],-1,0))/OFFSET(Tabla3[[#This Row],[Close]],-1,0),"")</f>
        <v>3.5029878425716053E-3</v>
      </c>
      <c r="K2134" s="2">
        <f ca="1">IFERROR(AVERAGE(OFFSET(Tabla3[[#This Row],[Close]],-6,0,7)),"")</f>
        <v>2398.4285714285697</v>
      </c>
      <c r="L2134" s="2">
        <f ca="1">IFERROR(_xlfn.STDEV.S(OFFSET(Tabla3[[#This Row],[Close]],-29,0,30)),"")</f>
        <v>46.068987115905351</v>
      </c>
    </row>
    <row r="2135" spans="1:12" x14ac:dyDescent="0.3">
      <c r="A2135" s="1">
        <v>45506</v>
      </c>
      <c r="B2135" s="3">
        <f>YEAR(Tabla3[[#This Row],[Date]])</f>
        <v>2024</v>
      </c>
      <c r="C2135" s="1" t="str">
        <f>+TEXT(Tabla3[[#This Row],[Date]],"mmm")</f>
        <v>ago</v>
      </c>
      <c r="D2135" s="2">
        <v>2425.69995117187</v>
      </c>
      <c r="E2135" s="2">
        <v>2425.69995117187</v>
      </c>
      <c r="F2135" s="2">
        <v>2477</v>
      </c>
      <c r="G2135" s="2">
        <v>2416</v>
      </c>
      <c r="H2135" s="2">
        <v>2444</v>
      </c>
      <c r="I2135">
        <v>550</v>
      </c>
      <c r="J2135" s="2">
        <f ca="1">IFERROR((Tabla3[[#This Row],[Close]]-OFFSET(Tabla3[[#This Row],[Close]],-1,0))/OFFSET(Tabla3[[#This Row],[Close]],-1,0),"")</f>
        <v>-3.8193219006694055E-3</v>
      </c>
      <c r="K2135" s="2">
        <f ca="1">IFERROR(AVERAGE(OFFSET(Tabla3[[#This Row],[Close]],-6,0,7)),"")</f>
        <v>2400.1999860491055</v>
      </c>
      <c r="L2135" s="2">
        <f ca="1">IFERROR(_xlfn.STDEV.S(OFFSET(Tabla3[[#This Row],[Close]],-29,0,30)),"")</f>
        <v>46.603963790707745</v>
      </c>
    </row>
    <row r="2136" spans="1:12" x14ac:dyDescent="0.3">
      <c r="A2136" s="1">
        <v>45509</v>
      </c>
      <c r="B2136" s="3">
        <f>YEAR(Tabla3[[#This Row],[Date]])</f>
        <v>2024</v>
      </c>
      <c r="C2136" s="1" t="str">
        <f>+TEXT(Tabla3[[#This Row],[Date]],"mmm")</f>
        <v>ago</v>
      </c>
      <c r="D2136" s="2">
        <v>2401.69995117187</v>
      </c>
      <c r="E2136" s="2">
        <v>2401.69995117187</v>
      </c>
      <c r="F2136" s="2">
        <v>2449.80004882812</v>
      </c>
      <c r="G2136" s="2">
        <v>2367.39990234375</v>
      </c>
      <c r="H2136" s="2">
        <v>2442</v>
      </c>
      <c r="I2136">
        <v>334</v>
      </c>
      <c r="J2136" s="2">
        <f ca="1">IFERROR((Tabla3[[#This Row],[Close]]-OFFSET(Tabla3[[#This Row],[Close]],-1,0))/OFFSET(Tabla3[[#This Row],[Close]],-1,0),"")</f>
        <v>-9.8940514008772837E-3</v>
      </c>
      <c r="K2136" s="2">
        <f ca="1">IFERROR(AVERAGE(OFFSET(Tabla3[[#This Row],[Close]],-6,0,7)),"")</f>
        <v>2407.3142787388374</v>
      </c>
      <c r="L2136" s="2">
        <f ca="1">IFERROR(_xlfn.STDEV.S(OFFSET(Tabla3[[#This Row],[Close]],-29,0,30)),"")</f>
        <v>45.108016928091068</v>
      </c>
    </row>
    <row r="2137" spans="1:12" x14ac:dyDescent="0.3">
      <c r="A2137" s="1">
        <v>45510</v>
      </c>
      <c r="B2137" s="3">
        <f>YEAR(Tabla3[[#This Row],[Date]])</f>
        <v>2024</v>
      </c>
      <c r="C2137" s="1" t="str">
        <f>+TEXT(Tabla3[[#This Row],[Date]],"mmm")</f>
        <v>ago</v>
      </c>
      <c r="D2137" s="2">
        <v>2389.10009765625</v>
      </c>
      <c r="E2137" s="2">
        <v>2389.10009765625</v>
      </c>
      <c r="F2137" s="2">
        <v>2421.80004882812</v>
      </c>
      <c r="G2137" s="2">
        <v>2380</v>
      </c>
      <c r="H2137" s="2">
        <v>2414.5</v>
      </c>
      <c r="I2137">
        <v>163</v>
      </c>
      <c r="J2137" s="2">
        <f ca="1">IFERROR((Tabla3[[#This Row],[Close]]-OFFSET(Tabla3[[#This Row],[Close]],-1,0))/OFFSET(Tabla3[[#This Row],[Close]],-1,0),"")</f>
        <v>-5.2462229969535146E-3</v>
      </c>
      <c r="K2137" s="2">
        <f ca="1">IFERROR(AVERAGE(OFFSET(Tabla3[[#This Row],[Close]],-6,0,7)),"")</f>
        <v>2408.6142926897301</v>
      </c>
      <c r="L2137" s="2">
        <f ca="1">IFERROR(_xlfn.STDEV.S(OFFSET(Tabla3[[#This Row],[Close]],-29,0,30)),"")</f>
        <v>43.953452653085009</v>
      </c>
    </row>
    <row r="2138" spans="1:12" x14ac:dyDescent="0.3">
      <c r="A2138" s="1">
        <v>45511</v>
      </c>
      <c r="B2138" s="3">
        <f>YEAR(Tabla3[[#This Row],[Date]])</f>
        <v>2024</v>
      </c>
      <c r="C2138" s="1" t="str">
        <f>+TEXT(Tabla3[[#This Row],[Date]],"mmm")</f>
        <v>ago</v>
      </c>
      <c r="D2138" s="2">
        <v>2390.5</v>
      </c>
      <c r="E2138" s="2">
        <v>2390.5</v>
      </c>
      <c r="F2138" s="2">
        <v>2401</v>
      </c>
      <c r="G2138" s="2">
        <v>2384.5</v>
      </c>
      <c r="H2138" s="2">
        <v>2392.19995117187</v>
      </c>
      <c r="I2138">
        <v>130</v>
      </c>
      <c r="J2138" s="2">
        <f ca="1">IFERROR((Tabla3[[#This Row],[Close]]-OFFSET(Tabla3[[#This Row],[Close]],-1,0))/OFFSET(Tabla3[[#This Row],[Close]],-1,0),"")</f>
        <v>5.8595382634797481E-4</v>
      </c>
      <c r="K2138" s="2">
        <f ca="1">IFERROR(AVERAGE(OFFSET(Tabla3[[#This Row],[Close]],-6,0,7)),"")</f>
        <v>2410.4999999999986</v>
      </c>
      <c r="L2138" s="2">
        <f ca="1">IFERROR(_xlfn.STDEV.S(OFFSET(Tabla3[[#This Row],[Close]],-29,0,30)),"")</f>
        <v>41.969659103056976</v>
      </c>
    </row>
    <row r="2139" spans="1:12" x14ac:dyDescent="0.3">
      <c r="A2139" s="1">
        <v>45512</v>
      </c>
      <c r="B2139" s="3">
        <f>YEAR(Tabla3[[#This Row],[Date]])</f>
        <v>2024</v>
      </c>
      <c r="C2139" s="1" t="str">
        <f>+TEXT(Tabla3[[#This Row],[Date]],"mmm")</f>
        <v>ago</v>
      </c>
      <c r="D2139" s="2">
        <v>2422.19995117187</v>
      </c>
      <c r="E2139" s="2">
        <v>2422.19995117187</v>
      </c>
      <c r="F2139" s="2">
        <v>2422.80004882812</v>
      </c>
      <c r="G2139" s="2">
        <v>2384.30004882812</v>
      </c>
      <c r="H2139" s="2">
        <v>2384.30004882812</v>
      </c>
      <c r="I2139">
        <v>201</v>
      </c>
      <c r="J2139" s="2">
        <f ca="1">IFERROR((Tabla3[[#This Row],[Close]]-OFFSET(Tabla3[[#This Row],[Close]],-1,0))/OFFSET(Tabla3[[#This Row],[Close]],-1,0),"")</f>
        <v>1.3260803669470821E-2</v>
      </c>
      <c r="K2139" s="2">
        <f ca="1">IFERROR(AVERAGE(OFFSET(Tabla3[[#This Row],[Close]],-6,0,7)),"")</f>
        <v>2412.9571358816943</v>
      </c>
      <c r="L2139" s="2">
        <f ca="1">IFERROR(_xlfn.STDEV.S(OFFSET(Tabla3[[#This Row],[Close]],-29,0,30)),"")</f>
        <v>38.865925089788924</v>
      </c>
    </row>
    <row r="2140" spans="1:12" x14ac:dyDescent="0.3">
      <c r="A2140" s="1">
        <v>45513</v>
      </c>
      <c r="B2140" s="3">
        <f>YEAR(Tabla3[[#This Row],[Date]])</f>
        <v>2024</v>
      </c>
      <c r="C2140" s="1" t="str">
        <f>+TEXT(Tabla3[[#This Row],[Date]],"mmm")</f>
        <v>ago</v>
      </c>
      <c r="D2140" s="2">
        <v>2432.10009765625</v>
      </c>
      <c r="E2140" s="2">
        <v>2432.10009765625</v>
      </c>
      <c r="F2140" s="2">
        <v>2432.10009765625</v>
      </c>
      <c r="G2140" s="2">
        <v>2418.5</v>
      </c>
      <c r="H2140" s="2">
        <v>2422.30004882812</v>
      </c>
      <c r="I2140">
        <v>611</v>
      </c>
      <c r="J2140" s="2">
        <f ca="1">IFERROR((Tabla3[[#This Row],[Close]]-OFFSET(Tabla3[[#This Row],[Close]],-1,0))/OFFSET(Tabla3[[#This Row],[Close]],-1,0),"")</f>
        <v>4.0872540186413066E-3</v>
      </c>
      <c r="K2140" s="2">
        <f ca="1">IFERROR(AVERAGE(OFFSET(Tabla3[[#This Row],[Close]],-6,0,7)),"")</f>
        <v>2413.7571498325874</v>
      </c>
      <c r="L2140" s="2">
        <f ca="1">IFERROR(_xlfn.STDEV.S(OFFSET(Tabla3[[#This Row],[Close]],-29,0,30)),"")</f>
        <v>37.325126314276723</v>
      </c>
    </row>
    <row r="2141" spans="1:12" x14ac:dyDescent="0.3">
      <c r="A2141" s="1">
        <v>45516</v>
      </c>
      <c r="B2141" s="3">
        <f>YEAR(Tabla3[[#This Row],[Date]])</f>
        <v>2024</v>
      </c>
      <c r="C2141" s="1" t="str">
        <f>+TEXT(Tabla3[[#This Row],[Date]],"mmm")</f>
        <v>ago</v>
      </c>
      <c r="D2141" s="2">
        <v>2462.39990234375</v>
      </c>
      <c r="E2141" s="2">
        <v>2462.39990234375</v>
      </c>
      <c r="F2141" s="2">
        <v>2469.80004882812</v>
      </c>
      <c r="G2141" s="2">
        <v>2432</v>
      </c>
      <c r="H2141" s="2">
        <v>2432.69995117187</v>
      </c>
      <c r="I2141">
        <v>566</v>
      </c>
      <c r="J2141" s="2">
        <f ca="1">IFERROR((Tabla3[[#This Row],[Close]]-OFFSET(Tabla3[[#This Row],[Close]],-1,0))/OFFSET(Tabla3[[#This Row],[Close]],-1,0),"")</f>
        <v>1.2458288504120004E-2</v>
      </c>
      <c r="K2141" s="2">
        <f ca="1">IFERROR(AVERAGE(OFFSET(Tabla3[[#This Row],[Close]],-6,0,7)),"")</f>
        <v>2417.6714215959801</v>
      </c>
      <c r="L2141" s="2">
        <f ca="1">IFERROR(_xlfn.STDEV.S(OFFSET(Tabla3[[#This Row],[Close]],-29,0,30)),"")</f>
        <v>36.936282999541071</v>
      </c>
    </row>
    <row r="2142" spans="1:12" x14ac:dyDescent="0.3">
      <c r="A2142" s="1">
        <v>45517</v>
      </c>
      <c r="B2142" s="3">
        <f>YEAR(Tabla3[[#This Row],[Date]])</f>
        <v>2024</v>
      </c>
      <c r="C2142" s="1" t="str">
        <f>+TEXT(Tabla3[[#This Row],[Date]],"mmm")</f>
        <v>ago</v>
      </c>
      <c r="D2142" s="2">
        <v>2466.69995117187</v>
      </c>
      <c r="E2142" s="2">
        <v>2466.69995117187</v>
      </c>
      <c r="F2142" s="2">
        <v>2470</v>
      </c>
      <c r="G2142" s="2">
        <v>2456.5</v>
      </c>
      <c r="H2142" s="2">
        <v>2461</v>
      </c>
      <c r="I2142">
        <v>510</v>
      </c>
      <c r="J2142" s="2">
        <f ca="1">IFERROR((Tabla3[[#This Row],[Close]]-OFFSET(Tabla3[[#This Row],[Close]],-1,0))/OFFSET(Tabla3[[#This Row],[Close]],-1,0),"")</f>
        <v>1.746283706406561E-3</v>
      </c>
      <c r="K2142" s="2">
        <f ca="1">IFERROR(AVERAGE(OFFSET(Tabla3[[#This Row],[Close]],-6,0,7)),"")</f>
        <v>2423.5285644531227</v>
      </c>
      <c r="L2142" s="2">
        <f ca="1">IFERROR(_xlfn.STDEV.S(OFFSET(Tabla3[[#This Row],[Close]],-29,0,30)),"")</f>
        <v>36.205520432609184</v>
      </c>
    </row>
    <row r="2143" spans="1:12" x14ac:dyDescent="0.3">
      <c r="A2143" s="1">
        <v>45518</v>
      </c>
      <c r="B2143" s="3">
        <f>YEAR(Tabla3[[#This Row],[Date]])</f>
        <v>2024</v>
      </c>
      <c r="C2143" s="1" t="str">
        <f>+TEXT(Tabla3[[#This Row],[Date]],"mmm")</f>
        <v>ago</v>
      </c>
      <c r="D2143" s="2">
        <v>2439.39990234375</v>
      </c>
      <c r="E2143" s="2">
        <v>2439.39990234375</v>
      </c>
      <c r="F2143" s="2">
        <v>2472.10009765625</v>
      </c>
      <c r="G2143" s="2">
        <v>2439.39990234375</v>
      </c>
      <c r="H2143" s="2">
        <v>2468</v>
      </c>
      <c r="I2143">
        <v>274</v>
      </c>
      <c r="J2143" s="2">
        <f ca="1">IFERROR((Tabla3[[#This Row],[Close]]-OFFSET(Tabla3[[#This Row],[Close]],-1,0))/OFFSET(Tabla3[[#This Row],[Close]],-1,0),"")</f>
        <v>-1.1067438021860096E-2</v>
      </c>
      <c r="K2143" s="2">
        <f ca="1">IFERROR(AVERAGE(OFFSET(Tabla3[[#This Row],[Close]],-6,0,7)),"")</f>
        <v>2428.9142717633913</v>
      </c>
      <c r="L2143" s="2">
        <f ca="1">IFERROR(_xlfn.STDEV.S(OFFSET(Tabla3[[#This Row],[Close]],-29,0,30)),"")</f>
        <v>33.224815201414899</v>
      </c>
    </row>
    <row r="2144" spans="1:12" x14ac:dyDescent="0.3">
      <c r="A2144" s="1">
        <v>45519</v>
      </c>
      <c r="B2144" s="3">
        <f>YEAR(Tabla3[[#This Row],[Date]])</f>
        <v>2024</v>
      </c>
      <c r="C2144" s="1" t="str">
        <f>+TEXT(Tabla3[[#This Row],[Date]],"mmm")</f>
        <v>ago</v>
      </c>
      <c r="D2144" s="2">
        <v>2453.10009765625</v>
      </c>
      <c r="E2144" s="2">
        <v>2453.10009765625</v>
      </c>
      <c r="F2144" s="2">
        <v>2467.69995117187</v>
      </c>
      <c r="G2144" s="2">
        <v>2431.19995117187</v>
      </c>
      <c r="H2144" s="2">
        <v>2451.80004882812</v>
      </c>
      <c r="I2144">
        <v>285</v>
      </c>
      <c r="J2144" s="2">
        <f ca="1">IFERROR((Tabla3[[#This Row],[Close]]-OFFSET(Tabla3[[#This Row],[Close]],-1,0))/OFFSET(Tabla3[[#This Row],[Close]],-1,0),"")</f>
        <v>5.616215405820503E-3</v>
      </c>
      <c r="K2144" s="2">
        <f ca="1">IFERROR(AVERAGE(OFFSET(Tabla3[[#This Row],[Close]],-6,0,7)),"")</f>
        <v>2438.0571289062486</v>
      </c>
      <c r="L2144" s="2">
        <f ca="1">IFERROR(_xlfn.STDEV.S(OFFSET(Tabla3[[#This Row],[Close]],-29,0,30)),"")</f>
        <v>32.832758579938606</v>
      </c>
    </row>
    <row r="2145" spans="1:12" x14ac:dyDescent="0.3">
      <c r="A2145" s="1">
        <v>45520</v>
      </c>
      <c r="B2145" s="3">
        <f>YEAR(Tabla3[[#This Row],[Date]])</f>
        <v>2024</v>
      </c>
      <c r="C2145" s="1" t="str">
        <f>+TEXT(Tabla3[[#This Row],[Date]],"mmm")</f>
        <v>ago</v>
      </c>
      <c r="D2145" s="2">
        <v>2498.60009765625</v>
      </c>
      <c r="E2145" s="2">
        <v>2498.60009765625</v>
      </c>
      <c r="F2145" s="2">
        <v>2508</v>
      </c>
      <c r="G2145" s="2">
        <v>2451.39990234375</v>
      </c>
      <c r="H2145" s="2">
        <v>2453.5</v>
      </c>
      <c r="I2145">
        <v>197</v>
      </c>
      <c r="J2145" s="2">
        <f ca="1">IFERROR((Tabla3[[#This Row],[Close]]-OFFSET(Tabla3[[#This Row],[Close]],-1,0))/OFFSET(Tabla3[[#This Row],[Close]],-1,0),"")</f>
        <v>1.8547958986048625E-2</v>
      </c>
      <c r="K2145" s="2">
        <f ca="1">IFERROR(AVERAGE(OFFSET(Tabla3[[#This Row],[Close]],-6,0,7)),"")</f>
        <v>2453.4999999999986</v>
      </c>
      <c r="L2145" s="2">
        <f ca="1">IFERROR(_xlfn.STDEV.S(OFFSET(Tabla3[[#This Row],[Close]],-29,0,30)),"")</f>
        <v>36.102519231660843</v>
      </c>
    </row>
    <row r="2146" spans="1:12" x14ac:dyDescent="0.3">
      <c r="A2146" s="1">
        <v>45523</v>
      </c>
      <c r="B2146" s="3">
        <f>YEAR(Tabla3[[#This Row],[Date]])</f>
        <v>2024</v>
      </c>
      <c r="C2146" s="1" t="str">
        <f>+TEXT(Tabla3[[#This Row],[Date]],"mmm")</f>
        <v>ago</v>
      </c>
      <c r="D2146" s="2">
        <v>2501.80004882812</v>
      </c>
      <c r="E2146" s="2">
        <v>2501.80004882812</v>
      </c>
      <c r="F2146" s="2">
        <v>2508.5</v>
      </c>
      <c r="G2146" s="2">
        <v>2487.19995117187</v>
      </c>
      <c r="H2146" s="2">
        <v>2508.5</v>
      </c>
      <c r="I2146">
        <v>88</v>
      </c>
      <c r="J2146" s="2">
        <f ca="1">IFERROR((Tabla3[[#This Row],[Close]]-OFFSET(Tabla3[[#This Row],[Close]],-1,0))/OFFSET(Tabla3[[#This Row],[Close]],-1,0),"")</f>
        <v>1.2806976093820027E-3</v>
      </c>
      <c r="K2146" s="2">
        <f ca="1">IFERROR(AVERAGE(OFFSET(Tabla3[[#This Row],[Close]],-6,0,7)),"")</f>
        <v>2464.8714425223197</v>
      </c>
      <c r="L2146" s="2">
        <f ca="1">IFERROR(_xlfn.STDEV.S(OFFSET(Tabla3[[#This Row],[Close]],-29,0,30)),"")</f>
        <v>37.524677472729621</v>
      </c>
    </row>
    <row r="2147" spans="1:12" x14ac:dyDescent="0.3">
      <c r="A2147" s="1">
        <v>45524</v>
      </c>
      <c r="B2147" s="3">
        <f>YEAR(Tabla3[[#This Row],[Date]])</f>
        <v>2024</v>
      </c>
      <c r="C2147" s="1" t="str">
        <f>+TEXT(Tabla3[[#This Row],[Date]],"mmm")</f>
        <v>ago</v>
      </c>
      <c r="D2147" s="2">
        <v>2511.30004882812</v>
      </c>
      <c r="E2147" s="2">
        <v>2511.30004882812</v>
      </c>
      <c r="F2147" s="2">
        <v>2527.30004882812</v>
      </c>
      <c r="G2147" s="2">
        <v>2500.69995117187</v>
      </c>
      <c r="H2147" s="2">
        <v>2503.5</v>
      </c>
      <c r="I2147">
        <v>187</v>
      </c>
      <c r="J2147" s="2">
        <f ca="1">IFERROR((Tabla3[[#This Row],[Close]]-OFFSET(Tabla3[[#This Row],[Close]],-1,0))/OFFSET(Tabla3[[#This Row],[Close]],-1,0),"")</f>
        <v>3.7972658943906967E-3</v>
      </c>
      <c r="K2147" s="2">
        <f ca="1">IFERROR(AVERAGE(OFFSET(Tabla3[[#This Row],[Close]],-6,0,7)),"")</f>
        <v>2476.1857212611585</v>
      </c>
      <c r="L2147" s="2">
        <f ca="1">IFERROR(_xlfn.STDEV.S(OFFSET(Tabla3[[#This Row],[Close]],-29,0,30)),"")</f>
        <v>39.235445508766574</v>
      </c>
    </row>
    <row r="2148" spans="1:12" x14ac:dyDescent="0.3">
      <c r="A2148" s="1">
        <v>45525</v>
      </c>
      <c r="B2148" s="3">
        <f>YEAR(Tabla3[[#This Row],[Date]])</f>
        <v>2024</v>
      </c>
      <c r="C2148" s="1" t="str">
        <f>+TEXT(Tabla3[[#This Row],[Date]],"mmm")</f>
        <v>ago</v>
      </c>
      <c r="D2148" s="2">
        <v>2508.39990234375</v>
      </c>
      <c r="E2148" s="2">
        <v>2508.39990234375</v>
      </c>
      <c r="F2148" s="2">
        <v>2515.39990234375</v>
      </c>
      <c r="G2148" s="2">
        <v>2503.89990234375</v>
      </c>
      <c r="H2148" s="2">
        <v>2511</v>
      </c>
      <c r="I2148">
        <v>96</v>
      </c>
      <c r="J2148" s="2">
        <f ca="1">IFERROR((Tabla3[[#This Row],[Close]]-OFFSET(Tabla3[[#This Row],[Close]],-1,0))/OFFSET(Tabla3[[#This Row],[Close]],-1,0),"")</f>
        <v>-1.1548387002673496E-3</v>
      </c>
      <c r="K2148" s="2">
        <f ca="1">IFERROR(AVERAGE(OFFSET(Tabla3[[#This Row],[Close]],-6,0,7)),"")</f>
        <v>2482.7571498325874</v>
      </c>
      <c r="L2148" s="2">
        <f ca="1">IFERROR(_xlfn.STDEV.S(OFFSET(Tabla3[[#This Row],[Close]],-29,0,30)),"")</f>
        <v>40.693061324896952</v>
      </c>
    </row>
    <row r="2149" spans="1:12" x14ac:dyDescent="0.3">
      <c r="A2149" s="1">
        <v>45526</v>
      </c>
      <c r="B2149" s="3">
        <f>YEAR(Tabla3[[#This Row],[Date]])</f>
        <v>2024</v>
      </c>
      <c r="C2149" s="1" t="str">
        <f>+TEXT(Tabla3[[#This Row],[Date]],"mmm")</f>
        <v>ago</v>
      </c>
      <c r="D2149" s="2">
        <v>2478.89990234375</v>
      </c>
      <c r="E2149" s="2">
        <v>2478.89990234375</v>
      </c>
      <c r="F2149" s="2">
        <v>2504.10009765625</v>
      </c>
      <c r="G2149" s="2">
        <v>2471.10009765625</v>
      </c>
      <c r="H2149" s="2">
        <v>2504.10009765625</v>
      </c>
      <c r="I2149">
        <v>210</v>
      </c>
      <c r="J2149" s="2">
        <f ca="1">IFERROR((Tabla3[[#This Row],[Close]]-OFFSET(Tabla3[[#This Row],[Close]],-1,0))/OFFSET(Tabla3[[#This Row],[Close]],-1,0),"")</f>
        <v>-1.1760485229024432E-2</v>
      </c>
      <c r="K2149" s="2">
        <f ca="1">IFERROR(AVERAGE(OFFSET(Tabla3[[#This Row],[Close]],-6,0,7)),"")</f>
        <v>2484.4999999999986</v>
      </c>
      <c r="L2149" s="2">
        <f ca="1">IFERROR(_xlfn.STDEV.S(OFFSET(Tabla3[[#This Row],[Close]],-29,0,30)),"")</f>
        <v>41.535454675352177</v>
      </c>
    </row>
    <row r="2150" spans="1:12" x14ac:dyDescent="0.3">
      <c r="A2150" s="1">
        <v>45527</v>
      </c>
      <c r="B2150" s="3">
        <f>YEAR(Tabla3[[#This Row],[Date]])</f>
        <v>2024</v>
      </c>
      <c r="C2150" s="1" t="str">
        <f>+TEXT(Tabla3[[#This Row],[Date]],"mmm")</f>
        <v>ago</v>
      </c>
      <c r="D2150" s="2">
        <v>2508.39990234375</v>
      </c>
      <c r="E2150" s="2">
        <v>2508.39990234375</v>
      </c>
      <c r="F2150" s="2">
        <v>2508.39990234375</v>
      </c>
      <c r="G2150" s="2">
        <v>2486.5</v>
      </c>
      <c r="H2150" s="2">
        <v>2486.5</v>
      </c>
      <c r="I2150">
        <v>94</v>
      </c>
      <c r="J2150" s="2">
        <f ca="1">IFERROR((Tabla3[[#This Row],[Close]]-OFFSET(Tabla3[[#This Row],[Close]],-1,0))/OFFSET(Tabla3[[#This Row],[Close]],-1,0),"")</f>
        <v>1.1900440179979975E-2</v>
      </c>
      <c r="K2150" s="2">
        <f ca="1">IFERROR(AVERAGE(OFFSET(Tabla3[[#This Row],[Close]],-6,0,7)),"")</f>
        <v>2494.3571428571413</v>
      </c>
      <c r="L2150" s="2">
        <f ca="1">IFERROR(_xlfn.STDEV.S(OFFSET(Tabla3[[#This Row],[Close]],-29,0,30)),"")</f>
        <v>43.624777925648409</v>
      </c>
    </row>
    <row r="2151" spans="1:12" x14ac:dyDescent="0.3">
      <c r="A2151" s="1">
        <v>45530</v>
      </c>
      <c r="B2151" s="3">
        <f>YEAR(Tabla3[[#This Row],[Date]])</f>
        <v>2024</v>
      </c>
      <c r="C2151" s="1" t="str">
        <f>+TEXT(Tabla3[[#This Row],[Date]],"mmm")</f>
        <v>ago</v>
      </c>
      <c r="D2151" s="2">
        <v>2517.69995117187</v>
      </c>
      <c r="E2151" s="2">
        <v>2517.69995117187</v>
      </c>
      <c r="F2151" s="2">
        <v>2523.10009765625</v>
      </c>
      <c r="G2151" s="2">
        <v>2509.10009765625</v>
      </c>
      <c r="H2151" s="2">
        <v>2509.89990234375</v>
      </c>
      <c r="I2151">
        <v>290</v>
      </c>
      <c r="J2151" s="2">
        <f ca="1">IFERROR((Tabla3[[#This Row],[Close]]-OFFSET(Tabla3[[#This Row],[Close]],-1,0))/OFFSET(Tabla3[[#This Row],[Close]],-1,0),"")</f>
        <v>3.7075622668580072E-3</v>
      </c>
      <c r="K2151" s="2">
        <f ca="1">IFERROR(AVERAGE(OFFSET(Tabla3[[#This Row],[Close]],-6,0,7)),"")</f>
        <v>2503.5856933593727</v>
      </c>
      <c r="L2151" s="2">
        <f ca="1">IFERROR(_xlfn.STDEV.S(OFFSET(Tabla3[[#This Row],[Close]],-29,0,30)),"")</f>
        <v>46.050857442999664</v>
      </c>
    </row>
    <row r="2152" spans="1:12" x14ac:dyDescent="0.3">
      <c r="A2152" s="1">
        <v>45531</v>
      </c>
      <c r="B2152" s="3">
        <f>YEAR(Tabla3[[#This Row],[Date]])</f>
        <v>2024</v>
      </c>
      <c r="C2152" s="1" t="str">
        <f>+TEXT(Tabla3[[#This Row],[Date]],"mmm")</f>
        <v>ago</v>
      </c>
      <c r="D2152" s="2">
        <v>2516</v>
      </c>
      <c r="E2152" s="2">
        <v>2516</v>
      </c>
      <c r="F2152" s="2">
        <v>2523.10009765625</v>
      </c>
      <c r="G2152" s="2">
        <v>2506.89990234375</v>
      </c>
      <c r="H2152" s="2">
        <v>2515.19995117187</v>
      </c>
      <c r="I2152">
        <v>100</v>
      </c>
      <c r="J2152" s="2">
        <f ca="1">IFERROR((Tabla3[[#This Row],[Close]]-OFFSET(Tabla3[[#This Row],[Close]],-1,0))/OFFSET(Tabla3[[#This Row],[Close]],-1,0),"")</f>
        <v>-6.7520006547196025E-4</v>
      </c>
      <c r="K2152" s="2">
        <f ca="1">IFERROR(AVERAGE(OFFSET(Tabla3[[#This Row],[Close]],-6,0,7)),"")</f>
        <v>2506.0713936941943</v>
      </c>
      <c r="L2152" s="2">
        <f ca="1">IFERROR(_xlfn.STDEV.S(OFFSET(Tabla3[[#This Row],[Close]],-29,0,30)),"")</f>
        <v>48.004297516461328</v>
      </c>
    </row>
    <row r="2153" spans="1:12" x14ac:dyDescent="0.3">
      <c r="A2153" s="1">
        <v>45532</v>
      </c>
      <c r="B2153" s="3">
        <f>YEAR(Tabla3[[#This Row],[Date]])</f>
        <v>2024</v>
      </c>
      <c r="C2153" s="1" t="str">
        <f>+TEXT(Tabla3[[#This Row],[Date]],"mmm")</f>
        <v>ago</v>
      </c>
      <c r="D2153" s="2">
        <v>2501</v>
      </c>
      <c r="E2153" s="2">
        <v>2501</v>
      </c>
      <c r="F2153" s="2">
        <v>2501</v>
      </c>
      <c r="G2153" s="2">
        <v>2501</v>
      </c>
      <c r="H2153" s="2">
        <v>2501</v>
      </c>
      <c r="I2153">
        <v>2353</v>
      </c>
      <c r="J2153" s="2">
        <f ca="1">IFERROR((Tabla3[[#This Row],[Close]]-OFFSET(Tabla3[[#This Row],[Close]],-1,0))/OFFSET(Tabla3[[#This Row],[Close]],-1,0),"")</f>
        <v>-5.9618441971383152E-3</v>
      </c>
      <c r="K2153" s="2">
        <f ca="1">IFERROR(AVERAGE(OFFSET(Tabla3[[#This Row],[Close]],-6,0,7)),"")</f>
        <v>2505.9571010044629</v>
      </c>
      <c r="L2153" s="2">
        <f ca="1">IFERROR(_xlfn.STDEV.S(OFFSET(Tabla3[[#This Row],[Close]],-29,0,30)),"")</f>
        <v>49.20847267772978</v>
      </c>
    </row>
    <row r="2154" spans="1:12" x14ac:dyDescent="0.3">
      <c r="A2154" s="1">
        <v>45533</v>
      </c>
      <c r="B2154" s="3">
        <f>YEAR(Tabla3[[#This Row],[Date]])</f>
        <v>2024</v>
      </c>
      <c r="C2154" s="1" t="str">
        <f>+TEXT(Tabla3[[#This Row],[Date]],"mmm")</f>
        <v>ago</v>
      </c>
      <c r="D2154" s="2">
        <v>2525.69995117187</v>
      </c>
      <c r="E2154" s="2">
        <v>2525.69995117187</v>
      </c>
      <c r="F2154" s="2">
        <v>2525.69995117187</v>
      </c>
      <c r="G2154" s="2">
        <v>2503.89990234375</v>
      </c>
      <c r="H2154" s="2">
        <v>2504.10009765625</v>
      </c>
      <c r="I2154">
        <v>3966</v>
      </c>
      <c r="J2154" s="2">
        <f ca="1">IFERROR((Tabla3[[#This Row],[Close]]-OFFSET(Tabla3[[#This Row],[Close]],-1,0))/OFFSET(Tabla3[[#This Row],[Close]],-1,0),"")</f>
        <v>9.8760300567253094E-3</v>
      </c>
      <c r="K2154" s="2">
        <f ca="1">IFERROR(AVERAGE(OFFSET(Tabla3[[#This Row],[Close]],-6,0,7)),"")</f>
        <v>2508.0142299107129</v>
      </c>
      <c r="L2154" s="2">
        <f ca="1">IFERROR(_xlfn.STDEV.S(OFFSET(Tabla3[[#This Row],[Close]],-29,0,30)),"")</f>
        <v>51.515209404382851</v>
      </c>
    </row>
    <row r="2155" spans="1:12" x14ac:dyDescent="0.3">
      <c r="A2155" s="1">
        <v>45534</v>
      </c>
      <c r="B2155" s="3">
        <f>YEAR(Tabla3[[#This Row],[Date]])</f>
        <v>2024</v>
      </c>
      <c r="C2155" s="1" t="str">
        <f>+TEXT(Tabla3[[#This Row],[Date]],"mmm")</f>
        <v>ago</v>
      </c>
      <c r="D2155" s="2">
        <v>2493.80004882812</v>
      </c>
      <c r="E2155" s="2">
        <v>2493.80004882812</v>
      </c>
      <c r="F2155" s="2">
        <v>2525.39990234375</v>
      </c>
      <c r="G2155" s="2">
        <v>2493.80004882812</v>
      </c>
      <c r="H2155" s="2">
        <v>2519.5</v>
      </c>
      <c r="I2155">
        <v>208</v>
      </c>
      <c r="J2155" s="2">
        <f ca="1">IFERROR((Tabla3[[#This Row],[Close]]-OFFSET(Tabla3[[#This Row],[Close]],-1,0))/OFFSET(Tabla3[[#This Row],[Close]],-1,0),"")</f>
        <v>-1.2630123514453542E-2</v>
      </c>
      <c r="K2155" s="2">
        <f ca="1">IFERROR(AVERAGE(OFFSET(Tabla3[[#This Row],[Close]],-6,0,7)),"")</f>
        <v>2505.9285365513374</v>
      </c>
      <c r="L2155" s="2">
        <f ca="1">IFERROR(_xlfn.STDEV.S(OFFSET(Tabla3[[#This Row],[Close]],-29,0,30)),"")</f>
        <v>51.424218538816866</v>
      </c>
    </row>
    <row r="2156" spans="1:12" x14ac:dyDescent="0.3">
      <c r="A2156" s="1">
        <v>45538</v>
      </c>
      <c r="B2156" s="3">
        <f>YEAR(Tabla3[[#This Row],[Date]])</f>
        <v>2024</v>
      </c>
      <c r="C2156" s="1" t="str">
        <f>+TEXT(Tabla3[[#This Row],[Date]],"mmm")</f>
        <v>sept</v>
      </c>
      <c r="D2156" s="2">
        <v>2489.89990234375</v>
      </c>
      <c r="E2156" s="2">
        <v>2489.89990234375</v>
      </c>
      <c r="F2156" s="2">
        <v>2501.80004882812</v>
      </c>
      <c r="G2156" s="2">
        <v>2476.30004882812</v>
      </c>
      <c r="H2156" s="2">
        <v>2501.60009765625</v>
      </c>
      <c r="I2156">
        <v>206</v>
      </c>
      <c r="J2156" s="2">
        <f ca="1">IFERROR((Tabla3[[#This Row],[Close]]-OFFSET(Tabla3[[#This Row],[Close]],-1,0))/OFFSET(Tabla3[[#This Row],[Close]],-1,0),"")</f>
        <v>-1.5639371272780046E-3</v>
      </c>
      <c r="K2156" s="2">
        <f ca="1">IFERROR(AVERAGE(OFFSET(Tabla3[[#This Row],[Close]],-6,0,7)),"")</f>
        <v>2507.4999651227658</v>
      </c>
      <c r="L2156" s="2">
        <f ca="1">IFERROR(_xlfn.STDEV.S(OFFSET(Tabla3[[#This Row],[Close]],-29,0,30)),"")</f>
        <v>50.872997488188844</v>
      </c>
    </row>
    <row r="2157" spans="1:12" x14ac:dyDescent="0.3">
      <c r="A2157" s="1">
        <v>45539</v>
      </c>
      <c r="B2157" s="3">
        <f>YEAR(Tabla3[[#This Row],[Date]])</f>
        <v>2024</v>
      </c>
      <c r="C2157" s="1" t="str">
        <f>+TEXT(Tabla3[[#This Row],[Date]],"mmm")</f>
        <v>sept</v>
      </c>
      <c r="D2157" s="2">
        <v>2493.39990234375</v>
      </c>
      <c r="E2157" s="2">
        <v>2493.39990234375</v>
      </c>
      <c r="F2157" s="2">
        <v>2493.39990234375</v>
      </c>
      <c r="G2157" s="2">
        <v>2483.5</v>
      </c>
      <c r="H2157" s="2">
        <v>2490.89990234375</v>
      </c>
      <c r="I2157">
        <v>470</v>
      </c>
      <c r="J2157" s="2">
        <f ca="1">IFERROR((Tabla3[[#This Row],[Close]]-OFFSET(Tabla3[[#This Row],[Close]],-1,0))/OFFSET(Tabla3[[#This Row],[Close]],-1,0),"")</f>
        <v>1.4056789980615044E-3</v>
      </c>
      <c r="K2157" s="2">
        <f ca="1">IFERROR(AVERAGE(OFFSET(Tabla3[[#This Row],[Close]],-6,0,7)),"")</f>
        <v>2505.3571079799085</v>
      </c>
      <c r="L2157" s="2">
        <f ca="1">IFERROR(_xlfn.STDEV.S(OFFSET(Tabla3[[#This Row],[Close]],-29,0,30)),"")</f>
        <v>50.667131999412739</v>
      </c>
    </row>
    <row r="2158" spans="1:12" x14ac:dyDescent="0.3">
      <c r="A2158" s="1">
        <v>45540</v>
      </c>
      <c r="B2158" s="3">
        <f>YEAR(Tabla3[[#This Row],[Date]])</f>
        <v>2024</v>
      </c>
      <c r="C2158" s="1" t="str">
        <f>+TEXT(Tabla3[[#This Row],[Date]],"mmm")</f>
        <v>sept</v>
      </c>
      <c r="D2158" s="2">
        <v>2511.39990234375</v>
      </c>
      <c r="E2158" s="2">
        <v>2511.39990234375</v>
      </c>
      <c r="F2158" s="2">
        <v>2513.30004882812</v>
      </c>
      <c r="G2158" s="2">
        <v>2493.39990234375</v>
      </c>
      <c r="H2158" s="2">
        <v>2493.69995117187</v>
      </c>
      <c r="I2158">
        <v>54</v>
      </c>
      <c r="J2158" s="2">
        <f ca="1">IFERROR((Tabla3[[#This Row],[Close]]-OFFSET(Tabla3[[#This Row],[Close]],-1,0))/OFFSET(Tabla3[[#This Row],[Close]],-1,0),"")</f>
        <v>7.2190585966897371E-3</v>
      </c>
      <c r="K2158" s="2">
        <f ca="1">IFERROR(AVERAGE(OFFSET(Tabla3[[#This Row],[Close]],-6,0,7)),"")</f>
        <v>2504.4571010044629</v>
      </c>
      <c r="L2158" s="2">
        <f ca="1">IFERROR(_xlfn.STDEV.S(OFFSET(Tabla3[[#This Row],[Close]],-29,0,30)),"")</f>
        <v>51.120546261039969</v>
      </c>
    </row>
    <row r="2159" spans="1:12" x14ac:dyDescent="0.3">
      <c r="A2159" s="1">
        <v>45541</v>
      </c>
      <c r="B2159" s="3">
        <f>YEAR(Tabla3[[#This Row],[Date]])</f>
        <v>2024</v>
      </c>
      <c r="C2159" s="1" t="str">
        <f>+TEXT(Tabla3[[#This Row],[Date]],"mmm")</f>
        <v>sept</v>
      </c>
      <c r="D2159" s="2">
        <v>2493.5</v>
      </c>
      <c r="E2159" s="2">
        <v>2493.5</v>
      </c>
      <c r="F2159" s="2">
        <v>2517.89990234375</v>
      </c>
      <c r="G2159" s="2">
        <v>2483.69995117187</v>
      </c>
      <c r="H2159" s="2">
        <v>2510.30004882812</v>
      </c>
      <c r="I2159">
        <v>96</v>
      </c>
      <c r="J2159" s="2">
        <f ca="1">IFERROR((Tabla3[[#This Row],[Close]]-OFFSET(Tabla3[[#This Row],[Close]],-1,0))/OFFSET(Tabla3[[#This Row],[Close]],-1,0),"")</f>
        <v>-7.1274599983240485E-3</v>
      </c>
      <c r="K2159" s="2">
        <f ca="1">IFERROR(AVERAGE(OFFSET(Tabla3[[#This Row],[Close]],-6,0,7)),"")</f>
        <v>2501.2428152901771</v>
      </c>
      <c r="L2159" s="2">
        <f ca="1">IFERROR(_xlfn.STDEV.S(OFFSET(Tabla3[[#This Row],[Close]],-29,0,30)),"")</f>
        <v>47.473264091272483</v>
      </c>
    </row>
    <row r="2160" spans="1:12" x14ac:dyDescent="0.3">
      <c r="A2160" s="1">
        <v>45544</v>
      </c>
      <c r="B2160" s="3">
        <f>YEAR(Tabla3[[#This Row],[Date]])</f>
        <v>2024</v>
      </c>
      <c r="C2160" s="1" t="str">
        <f>+TEXT(Tabla3[[#This Row],[Date]],"mmm")</f>
        <v>sept</v>
      </c>
      <c r="D2160" s="2">
        <v>2501.80004882812</v>
      </c>
      <c r="E2160" s="2">
        <v>2501.80004882812</v>
      </c>
      <c r="F2160" s="2">
        <v>2504.69995117187</v>
      </c>
      <c r="G2160" s="2">
        <v>2491.30004882812</v>
      </c>
      <c r="H2160" s="2">
        <v>2491.30004882812</v>
      </c>
      <c r="I2160">
        <v>96</v>
      </c>
      <c r="J2160" s="2">
        <f ca="1">IFERROR((Tabla3[[#This Row],[Close]]-OFFSET(Tabla3[[#This Row],[Close]],-1,0))/OFFSET(Tabla3[[#This Row],[Close]],-1,0),"")</f>
        <v>3.328674083866051E-3</v>
      </c>
      <c r="K2160" s="2">
        <f ca="1">IFERROR(AVERAGE(OFFSET(Tabla3[[#This Row],[Close]],-6,0,7)),"")</f>
        <v>2501.3571079799085</v>
      </c>
      <c r="L2160" s="2">
        <f ca="1">IFERROR(_xlfn.STDEV.S(OFFSET(Tabla3[[#This Row],[Close]],-29,0,30)),"")</f>
        <v>45.391618840314202</v>
      </c>
    </row>
    <row r="2161" spans="1:12" x14ac:dyDescent="0.3">
      <c r="A2161" s="1">
        <v>45545</v>
      </c>
      <c r="B2161" s="3">
        <f>YEAR(Tabla3[[#This Row],[Date]])</f>
        <v>2024</v>
      </c>
      <c r="C2161" s="1" t="str">
        <f>+TEXT(Tabla3[[#This Row],[Date]],"mmm")</f>
        <v>sept</v>
      </c>
      <c r="D2161" s="2">
        <v>2512.30004882812</v>
      </c>
      <c r="E2161" s="2">
        <v>2512.30004882812</v>
      </c>
      <c r="F2161" s="2">
        <v>2512.30004882812</v>
      </c>
      <c r="G2161" s="2">
        <v>2512.30004882812</v>
      </c>
      <c r="H2161" s="2">
        <v>2512.30004882812</v>
      </c>
      <c r="I2161">
        <v>5</v>
      </c>
      <c r="J2161" s="2">
        <f ca="1">IFERROR((Tabla3[[#This Row],[Close]]-OFFSET(Tabla3[[#This Row],[Close]],-1,0))/OFFSET(Tabla3[[#This Row],[Close]],-1,0),"")</f>
        <v>4.1969780938002441E-3</v>
      </c>
      <c r="K2161" s="2">
        <f ca="1">IFERROR(AVERAGE(OFFSET(Tabla3[[#This Row],[Close]],-6,0,7)),"")</f>
        <v>2499.4428362165158</v>
      </c>
      <c r="L2161" s="2">
        <f ca="1">IFERROR(_xlfn.STDEV.S(OFFSET(Tabla3[[#This Row],[Close]],-29,0,30)),"")</f>
        <v>42.925512832498832</v>
      </c>
    </row>
    <row r="2162" spans="1:12" x14ac:dyDescent="0.3">
      <c r="A2162" s="1">
        <v>45546</v>
      </c>
      <c r="B2162" s="3">
        <f>YEAR(Tabla3[[#This Row],[Date]])</f>
        <v>2024</v>
      </c>
      <c r="C2162" s="1" t="str">
        <f>+TEXT(Tabla3[[#This Row],[Date]],"mmm")</f>
        <v>sept</v>
      </c>
      <c r="D2162" s="2">
        <v>2512.10009765625</v>
      </c>
      <c r="E2162" s="2">
        <v>2512.10009765625</v>
      </c>
      <c r="F2162" s="2">
        <v>2525.80004882812</v>
      </c>
      <c r="G2162" s="2">
        <v>2502.30004882812</v>
      </c>
      <c r="H2162" s="2">
        <v>2525.80004882812</v>
      </c>
      <c r="I2162">
        <v>90</v>
      </c>
      <c r="J2162" s="2">
        <f ca="1">IFERROR((Tabla3[[#This Row],[Close]]-OFFSET(Tabla3[[#This Row],[Close]],-1,0))/OFFSET(Tabla3[[#This Row],[Close]],-1,0),"")</f>
        <v>-7.9588889855439996E-5</v>
      </c>
      <c r="K2162" s="2">
        <f ca="1">IFERROR(AVERAGE(OFFSET(Tabla3[[#This Row],[Close]],-6,0,7)),"")</f>
        <v>2502.0571289062486</v>
      </c>
      <c r="L2162" s="2">
        <f ca="1">IFERROR(_xlfn.STDEV.S(OFFSET(Tabla3[[#This Row],[Close]],-29,0,30)),"")</f>
        <v>41.732110138839843</v>
      </c>
    </row>
    <row r="2163" spans="1:12" x14ac:dyDescent="0.3">
      <c r="A2163" s="1">
        <v>45547</v>
      </c>
      <c r="B2163" s="3">
        <f>YEAR(Tabla3[[#This Row],[Date]])</f>
        <v>2024</v>
      </c>
      <c r="C2163" s="1" t="str">
        <f>+TEXT(Tabla3[[#This Row],[Date]],"mmm")</f>
        <v>sept</v>
      </c>
      <c r="D2163" s="2">
        <v>2551.19995117187</v>
      </c>
      <c r="E2163" s="2">
        <v>2551.19995117187</v>
      </c>
      <c r="F2163" s="2">
        <v>2557</v>
      </c>
      <c r="G2163" s="2">
        <v>2523.39990234375</v>
      </c>
      <c r="H2163" s="2">
        <v>2529.10009765625</v>
      </c>
      <c r="I2163">
        <v>132</v>
      </c>
      <c r="J2163" s="2">
        <f ca="1">IFERROR((Tabla3[[#This Row],[Close]]-OFFSET(Tabla3[[#This Row],[Close]],-1,0))/OFFSET(Tabla3[[#This Row],[Close]],-1,0),"")</f>
        <v>1.556460809507533E-2</v>
      </c>
      <c r="K2163" s="2">
        <f ca="1">IFERROR(AVERAGE(OFFSET(Tabla3[[#This Row],[Close]],-6,0,7)),"")</f>
        <v>2510.8142787388374</v>
      </c>
      <c r="L2163" s="2">
        <f ca="1">IFERROR(_xlfn.STDEV.S(OFFSET(Tabla3[[#This Row],[Close]],-29,0,30)),"")</f>
        <v>43.026625888667489</v>
      </c>
    </row>
    <row r="2164" spans="1:12" x14ac:dyDescent="0.3">
      <c r="A2164" s="1">
        <v>45548</v>
      </c>
      <c r="B2164" s="3">
        <f>YEAR(Tabla3[[#This Row],[Date]])</f>
        <v>2024</v>
      </c>
      <c r="C2164" s="1" t="str">
        <f>+TEXT(Tabla3[[#This Row],[Date]],"mmm")</f>
        <v>sept</v>
      </c>
      <c r="D2164" s="2">
        <v>2581.30004882812</v>
      </c>
      <c r="E2164" s="2">
        <v>2581.30004882812</v>
      </c>
      <c r="F2164" s="2">
        <v>2581.80004882812</v>
      </c>
      <c r="G2164" s="2">
        <v>2565</v>
      </c>
      <c r="H2164" s="2">
        <v>2568.80004882812</v>
      </c>
      <c r="I2164">
        <v>31</v>
      </c>
      <c r="J2164" s="2">
        <f ca="1">IFERROR((Tabla3[[#This Row],[Close]]-OFFSET(Tabla3[[#This Row],[Close]],-1,0))/OFFSET(Tabla3[[#This Row],[Close]],-1,0),"")</f>
        <v>1.1798407899162823E-2</v>
      </c>
      <c r="K2164" s="2">
        <f ca="1">IFERROR(AVERAGE(OFFSET(Tabla3[[#This Row],[Close]],-6,0,7)),"")</f>
        <v>2523.3714425223184</v>
      </c>
      <c r="L2164" s="2">
        <f ca="1">IFERROR(_xlfn.STDEV.S(OFFSET(Tabla3[[#This Row],[Close]],-29,0,30)),"")</f>
        <v>46.143005072743946</v>
      </c>
    </row>
    <row r="2165" spans="1:12" x14ac:dyDescent="0.3">
      <c r="A2165" s="1">
        <v>45551</v>
      </c>
      <c r="B2165" s="3">
        <f>YEAR(Tabla3[[#This Row],[Date]])</f>
        <v>2024</v>
      </c>
      <c r="C2165" s="1" t="str">
        <f>+TEXT(Tabla3[[#This Row],[Date]],"mmm")</f>
        <v>sept</v>
      </c>
      <c r="D2165" s="2">
        <v>2580.39990234375</v>
      </c>
      <c r="E2165" s="2">
        <v>2580.39990234375</v>
      </c>
      <c r="F2165" s="2">
        <v>2580.39990234375</v>
      </c>
      <c r="G2165" s="2">
        <v>2580.39990234375</v>
      </c>
      <c r="H2165" s="2">
        <v>2580.39990234375</v>
      </c>
      <c r="I2165">
        <v>28</v>
      </c>
      <c r="J2165" s="2">
        <f ca="1">IFERROR((Tabla3[[#This Row],[Close]]-OFFSET(Tabla3[[#This Row],[Close]],-1,0))/OFFSET(Tabla3[[#This Row],[Close]],-1,0),"")</f>
        <v>-3.4871826883459508E-4</v>
      </c>
      <c r="K2165" s="2">
        <f ca="1">IFERROR(AVERAGE(OFFSET(Tabla3[[#This Row],[Close]],-6,0,7)),"")</f>
        <v>2533.228585379461</v>
      </c>
      <c r="L2165" s="2">
        <f ca="1">IFERROR(_xlfn.STDEV.S(OFFSET(Tabla3[[#This Row],[Close]],-29,0,30)),"")</f>
        <v>48.115308701301061</v>
      </c>
    </row>
    <row r="2166" spans="1:12" x14ac:dyDescent="0.3">
      <c r="A2166" s="1">
        <v>45552</v>
      </c>
      <c r="B2166" s="3">
        <f>YEAR(Tabla3[[#This Row],[Date]])</f>
        <v>2024</v>
      </c>
      <c r="C2166" s="1" t="str">
        <f>+TEXT(Tabla3[[#This Row],[Date]],"mmm")</f>
        <v>sept</v>
      </c>
      <c r="D2166" s="2">
        <v>2564.30004882812</v>
      </c>
      <c r="E2166" s="2">
        <v>2564.30004882812</v>
      </c>
      <c r="F2166" s="2">
        <v>2581.80004882812</v>
      </c>
      <c r="G2166" s="2">
        <v>2564.30004882812</v>
      </c>
      <c r="H2166" s="2">
        <v>2581.19995117187</v>
      </c>
      <c r="I2166">
        <v>22</v>
      </c>
      <c r="J2166" s="2">
        <f ca="1">IFERROR((Tabla3[[#This Row],[Close]]-OFFSET(Tabla3[[#This Row],[Close]],-1,0))/OFFSET(Tabla3[[#This Row],[Close]],-1,0),"")</f>
        <v>-6.2392862056019592E-3</v>
      </c>
      <c r="K2166" s="2">
        <f ca="1">IFERROR(AVERAGE(OFFSET(Tabla3[[#This Row],[Close]],-6,0,7)),"")</f>
        <v>2543.3428780691929</v>
      </c>
      <c r="L2166" s="2">
        <f ca="1">IFERROR(_xlfn.STDEV.S(OFFSET(Tabla3[[#This Row],[Close]],-29,0,30)),"")</f>
        <v>47.184155424555577</v>
      </c>
    </row>
    <row r="2167" spans="1:12" x14ac:dyDescent="0.3">
      <c r="A2167" s="1">
        <v>45553</v>
      </c>
      <c r="B2167" s="3">
        <f>YEAR(Tabla3[[#This Row],[Date]])</f>
        <v>2024</v>
      </c>
      <c r="C2167" s="1" t="str">
        <f>+TEXT(Tabla3[[#This Row],[Date]],"mmm")</f>
        <v>sept</v>
      </c>
      <c r="D2167" s="2">
        <v>2570.69995117187</v>
      </c>
      <c r="E2167" s="2">
        <v>2570.69995117187</v>
      </c>
      <c r="F2167" s="2">
        <v>2570.69995117187</v>
      </c>
      <c r="G2167" s="2">
        <v>2549.19995117187</v>
      </c>
      <c r="H2167" s="2">
        <v>2570.69995117187</v>
      </c>
      <c r="I2167">
        <v>25</v>
      </c>
      <c r="J2167" s="2">
        <f ca="1">IFERROR((Tabla3[[#This Row],[Close]]-OFFSET(Tabla3[[#This Row],[Close]],-1,0))/OFFSET(Tabla3[[#This Row],[Close]],-1,0),"")</f>
        <v>2.4957696922693357E-3</v>
      </c>
      <c r="K2167" s="2">
        <f ca="1">IFERROR(AVERAGE(OFFSET(Tabla3[[#This Row],[Close]],-6,0,7)),"")</f>
        <v>2553.1857212611571</v>
      </c>
      <c r="L2167" s="2">
        <f ca="1">IFERROR(_xlfn.STDEV.S(OFFSET(Tabla3[[#This Row],[Close]],-29,0,30)),"")</f>
        <v>44.906189335611181</v>
      </c>
    </row>
    <row r="2168" spans="1:12" x14ac:dyDescent="0.3">
      <c r="A2168" s="1">
        <v>45554</v>
      </c>
      <c r="B2168" s="3">
        <f>YEAR(Tabla3[[#This Row],[Date]])</f>
        <v>2024</v>
      </c>
      <c r="C2168" s="1" t="str">
        <f>+TEXT(Tabla3[[#This Row],[Date]],"mmm")</f>
        <v>sept</v>
      </c>
      <c r="D2168" s="2">
        <v>2588</v>
      </c>
      <c r="E2168" s="2">
        <v>2588</v>
      </c>
      <c r="F2168" s="2">
        <v>2588</v>
      </c>
      <c r="G2168" s="2">
        <v>2566</v>
      </c>
      <c r="H2168" s="2">
        <v>2566</v>
      </c>
      <c r="I2168">
        <v>99</v>
      </c>
      <c r="J2168" s="2">
        <f ca="1">IFERROR((Tabla3[[#This Row],[Close]]-OFFSET(Tabla3[[#This Row],[Close]],-1,0))/OFFSET(Tabla3[[#This Row],[Close]],-1,0),"")</f>
        <v>6.729703643649141E-3</v>
      </c>
      <c r="K2168" s="2">
        <f ca="1">IFERROR(AVERAGE(OFFSET(Tabla3[[#This Row],[Close]],-6,0,7)),"")</f>
        <v>2563.9999999999968</v>
      </c>
      <c r="L2168" s="2">
        <f ca="1">IFERROR(_xlfn.STDEV.S(OFFSET(Tabla3[[#This Row],[Close]],-29,0,30)),"")</f>
        <v>42.775143240532458</v>
      </c>
    </row>
    <row r="2169" spans="1:12" x14ac:dyDescent="0.3">
      <c r="A2169" s="1">
        <v>45555</v>
      </c>
      <c r="B2169" s="3">
        <f>YEAR(Tabla3[[#This Row],[Date]])</f>
        <v>2024</v>
      </c>
      <c r="C2169" s="1" t="str">
        <f>+TEXT(Tabla3[[#This Row],[Date]],"mmm")</f>
        <v>sept</v>
      </c>
      <c r="D2169" s="2">
        <v>2619.89990234375</v>
      </c>
      <c r="E2169" s="2">
        <v>2619.89990234375</v>
      </c>
      <c r="F2169" s="2">
        <v>2621.80004882812</v>
      </c>
      <c r="G2169" s="2">
        <v>2590.39990234375</v>
      </c>
      <c r="H2169" s="2">
        <v>2590.39990234375</v>
      </c>
      <c r="I2169">
        <v>17</v>
      </c>
      <c r="J2169" s="2">
        <f ca="1">IFERROR((Tabla3[[#This Row],[Close]]-OFFSET(Tabla3[[#This Row],[Close]],-1,0))/OFFSET(Tabla3[[#This Row],[Close]],-1,0),"")</f>
        <v>1.2326082822159969E-2</v>
      </c>
      <c r="K2169" s="2">
        <f ca="1">IFERROR(AVERAGE(OFFSET(Tabla3[[#This Row],[Close]],-6,0,7)),"")</f>
        <v>2579.399972098211</v>
      </c>
      <c r="L2169" s="2">
        <f ca="1">IFERROR(_xlfn.STDEV.S(OFFSET(Tabla3[[#This Row],[Close]],-29,0,30)),"")</f>
        <v>44.56950114203643</v>
      </c>
    </row>
    <row r="2170" spans="1:12" x14ac:dyDescent="0.3">
      <c r="A2170" s="1">
        <v>45558</v>
      </c>
      <c r="B2170" s="3">
        <f>YEAR(Tabla3[[#This Row],[Date]])</f>
        <v>2024</v>
      </c>
      <c r="C2170" s="1" t="str">
        <f>+TEXT(Tabla3[[#This Row],[Date]],"mmm")</f>
        <v>sept</v>
      </c>
      <c r="D2170" s="2">
        <v>2626.5</v>
      </c>
      <c r="E2170" s="2">
        <v>2626.5</v>
      </c>
      <c r="F2170" s="2">
        <v>2626.5</v>
      </c>
      <c r="G2170" s="2">
        <v>2626.5</v>
      </c>
      <c r="H2170" s="2">
        <v>2626.5</v>
      </c>
      <c r="I2170">
        <v>9</v>
      </c>
      <c r="J2170" s="2">
        <f ca="1">IFERROR((Tabla3[[#This Row],[Close]]-OFFSET(Tabla3[[#This Row],[Close]],-1,0))/OFFSET(Tabla3[[#This Row],[Close]],-1,0),"")</f>
        <v>2.5192174900825729E-3</v>
      </c>
      <c r="K2170" s="2">
        <f ca="1">IFERROR(AVERAGE(OFFSET(Tabla3[[#This Row],[Close]],-6,0,7)),"")</f>
        <v>2590.1571219308016</v>
      </c>
      <c r="L2170" s="2">
        <f ca="1">IFERROR(_xlfn.STDEV.S(OFFSET(Tabla3[[#This Row],[Close]],-29,0,30)),"")</f>
        <v>46.513937064019601</v>
      </c>
    </row>
    <row r="2171" spans="1:12" x14ac:dyDescent="0.3">
      <c r="A2171" s="1">
        <v>45559</v>
      </c>
      <c r="B2171" s="3">
        <f>YEAR(Tabla3[[#This Row],[Date]])</f>
        <v>2024</v>
      </c>
      <c r="C2171" s="1" t="str">
        <f>+TEXT(Tabla3[[#This Row],[Date]],"mmm")</f>
        <v>sept</v>
      </c>
      <c r="D2171" s="2">
        <v>2651.19995117187</v>
      </c>
      <c r="E2171" s="2">
        <v>2651.19995117187</v>
      </c>
      <c r="F2171" s="2">
        <v>2662.30004882812</v>
      </c>
      <c r="G2171" s="2">
        <v>2625.5</v>
      </c>
      <c r="H2171" s="2">
        <v>2636.80004882812</v>
      </c>
      <c r="I2171">
        <v>35</v>
      </c>
      <c r="J2171" s="2">
        <f ca="1">IFERROR((Tabla3[[#This Row],[Close]]-OFFSET(Tabla3[[#This Row],[Close]],-1,0))/OFFSET(Tabla3[[#This Row],[Close]],-1,0),"")</f>
        <v>9.4041314189491718E-3</v>
      </c>
      <c r="K2171" s="2">
        <f ca="1">IFERROR(AVERAGE(OFFSET(Tabla3[[#This Row],[Close]],-6,0,7)),"")</f>
        <v>2600.1428222656227</v>
      </c>
      <c r="L2171" s="2">
        <f ca="1">IFERROR(_xlfn.STDEV.S(OFFSET(Tabla3[[#This Row],[Close]],-29,0,30)),"")</f>
        <v>51.092653269255607</v>
      </c>
    </row>
    <row r="2172" spans="1:12" x14ac:dyDescent="0.3">
      <c r="A2172" s="1">
        <v>45560</v>
      </c>
      <c r="B2172" s="3">
        <f>YEAR(Tabla3[[#This Row],[Date]])</f>
        <v>2024</v>
      </c>
      <c r="C2172" s="1" t="str">
        <f>+TEXT(Tabla3[[#This Row],[Date]],"mmm")</f>
        <v>sept</v>
      </c>
      <c r="D2172" s="2">
        <v>2659.19995117187</v>
      </c>
      <c r="E2172" s="2">
        <v>2659.19995117187</v>
      </c>
      <c r="F2172" s="2">
        <v>2664.19995117187</v>
      </c>
      <c r="G2172" s="2">
        <v>2649.30004882812</v>
      </c>
      <c r="H2172" s="2">
        <v>2656.30004882812</v>
      </c>
      <c r="I2172">
        <v>175</v>
      </c>
      <c r="J2172" s="2">
        <f ca="1">IFERROR((Tabla3[[#This Row],[Close]]-OFFSET(Tabla3[[#This Row],[Close]],-1,0))/OFFSET(Tabla3[[#This Row],[Close]],-1,0),"")</f>
        <v>3.0175015643251956E-3</v>
      </c>
      <c r="K2172" s="2">
        <f ca="1">IFERROR(AVERAGE(OFFSET(Tabla3[[#This Row],[Close]],-6,0,7)),"")</f>
        <v>2611.399972098211</v>
      </c>
      <c r="L2172" s="2">
        <f ca="1">IFERROR(_xlfn.STDEV.S(OFFSET(Tabla3[[#This Row],[Close]],-29,0,30)),"")</f>
        <v>55.348072187742368</v>
      </c>
    </row>
    <row r="2173" spans="1:12" x14ac:dyDescent="0.3">
      <c r="A2173" s="1">
        <v>45561</v>
      </c>
      <c r="B2173" s="3">
        <f>YEAR(Tabla3[[#This Row],[Date]])</f>
        <v>2024</v>
      </c>
      <c r="C2173" s="1" t="str">
        <f>+TEXT(Tabla3[[#This Row],[Date]],"mmm")</f>
        <v>sept</v>
      </c>
      <c r="D2173" s="2">
        <v>2669.89990234375</v>
      </c>
      <c r="E2173" s="2">
        <v>2669.89990234375</v>
      </c>
      <c r="F2173" s="2">
        <v>2669.89990234375</v>
      </c>
      <c r="G2173" s="2">
        <v>2660.80004882812</v>
      </c>
      <c r="H2173" s="2">
        <v>2662.30004882812</v>
      </c>
      <c r="I2173">
        <v>17216</v>
      </c>
      <c r="J2173" s="2">
        <f ca="1">IFERROR((Tabla3[[#This Row],[Close]]-OFFSET(Tabla3[[#This Row],[Close]],-1,0))/OFFSET(Tabla3[[#This Row],[Close]],-1,0),"")</f>
        <v>4.023748258255154E-3</v>
      </c>
      <c r="K2173" s="2">
        <f ca="1">IFERROR(AVERAGE(OFFSET(Tabla3[[#This Row],[Close]],-6,0,7)),"")</f>
        <v>2626.4856654575874</v>
      </c>
      <c r="L2173" s="2">
        <f ca="1">IFERROR(_xlfn.STDEV.S(OFFSET(Tabla3[[#This Row],[Close]],-29,0,30)),"")</f>
        <v>57.980683065287991</v>
      </c>
    </row>
    <row r="2174" spans="1:12" x14ac:dyDescent="0.3">
      <c r="A2174" s="1">
        <v>45562</v>
      </c>
      <c r="B2174" s="3">
        <f>YEAR(Tabla3[[#This Row],[Date]])</f>
        <v>2024</v>
      </c>
      <c r="C2174" s="1" t="str">
        <f>+TEXT(Tabla3[[#This Row],[Date]],"mmm")</f>
        <v>sept</v>
      </c>
      <c r="D2174" s="2">
        <v>2644.30004882812</v>
      </c>
      <c r="E2174" s="2">
        <v>2644.30004882812</v>
      </c>
      <c r="F2174" s="2">
        <v>2672.10009765625</v>
      </c>
      <c r="G2174" s="2">
        <v>2641.69995117187</v>
      </c>
      <c r="H2174" s="2">
        <v>2670</v>
      </c>
      <c r="I2174">
        <v>4228</v>
      </c>
      <c r="J2174" s="2">
        <f ca="1">IFERROR((Tabla3[[#This Row],[Close]]-OFFSET(Tabla3[[#This Row],[Close]],-1,0))/OFFSET(Tabla3[[#This Row],[Close]],-1,0),"")</f>
        <v>-9.5883195820028223E-3</v>
      </c>
      <c r="K2174" s="2">
        <f ca="1">IFERROR(AVERAGE(OFFSET(Tabla3[[#This Row],[Close]],-6,0,7)),"")</f>
        <v>2636.9999651227658</v>
      </c>
      <c r="L2174" s="2">
        <f ca="1">IFERROR(_xlfn.STDEV.S(OFFSET(Tabla3[[#This Row],[Close]],-29,0,30)),"")</f>
        <v>58.635389823461537</v>
      </c>
    </row>
    <row r="2175" spans="1:12" x14ac:dyDescent="0.3">
      <c r="A2175" s="1">
        <v>45565</v>
      </c>
      <c r="B2175" s="3">
        <f>YEAR(Tabla3[[#This Row],[Date]])</f>
        <v>2024</v>
      </c>
      <c r="C2175" s="1" t="str">
        <f>+TEXT(Tabla3[[#This Row],[Date]],"mmm")</f>
        <v>sept</v>
      </c>
      <c r="D2175" s="2">
        <v>2636.10009765625</v>
      </c>
      <c r="E2175" s="2">
        <v>2636.10009765625</v>
      </c>
      <c r="F2175" s="2">
        <v>2662.10009765625</v>
      </c>
      <c r="G2175" s="2">
        <v>2623.19995117187</v>
      </c>
      <c r="H2175" s="2">
        <v>2660.89990234375</v>
      </c>
      <c r="I2175">
        <v>973</v>
      </c>
      <c r="J2175" s="2">
        <f ca="1">IFERROR((Tabla3[[#This Row],[Close]]-OFFSET(Tabla3[[#This Row],[Close]],-1,0))/OFFSET(Tabla3[[#This Row],[Close]],-1,0),"")</f>
        <v>-3.1009911963296249E-3</v>
      </c>
      <c r="K2175" s="2">
        <f ca="1">IFERROR(AVERAGE(OFFSET(Tabla3[[#This Row],[Close]],-6,0,7)),"")</f>
        <v>2643.8714076450874</v>
      </c>
      <c r="L2175" s="2">
        <f ca="1">IFERROR(_xlfn.STDEV.S(OFFSET(Tabla3[[#This Row],[Close]],-29,0,30)),"")</f>
        <v>60.149139304366365</v>
      </c>
    </row>
    <row r="2176" spans="1:12" x14ac:dyDescent="0.3">
      <c r="A2176" s="1">
        <v>45566</v>
      </c>
      <c r="B2176" s="3">
        <f>YEAR(Tabla3[[#This Row],[Date]])</f>
        <v>2024</v>
      </c>
      <c r="C2176" s="1" t="str">
        <f>+TEXT(Tabla3[[#This Row],[Date]],"mmm")</f>
        <v>oct</v>
      </c>
      <c r="D2176" s="2">
        <v>2667.30004882812</v>
      </c>
      <c r="E2176" s="2">
        <v>2667.30004882812</v>
      </c>
      <c r="F2176" s="2">
        <v>2670.89990234375</v>
      </c>
      <c r="G2176" s="2">
        <v>2631.39990234375</v>
      </c>
      <c r="H2176" s="2">
        <v>2631.39990234375</v>
      </c>
      <c r="I2176">
        <v>153</v>
      </c>
      <c r="J2176" s="2">
        <f ca="1">IFERROR((Tabla3[[#This Row],[Close]]-OFFSET(Tabla3[[#This Row],[Close]],-1,0))/OFFSET(Tabla3[[#This Row],[Close]],-1,0),"")</f>
        <v>1.1835647363925898E-2</v>
      </c>
      <c r="K2176" s="2">
        <f ca="1">IFERROR(AVERAGE(OFFSET(Tabla3[[#This Row],[Close]],-6,0,7)),"")</f>
        <v>2650.6428571428542</v>
      </c>
      <c r="L2176" s="2">
        <f ca="1">IFERROR(_xlfn.STDEV.S(OFFSET(Tabla3[[#This Row],[Close]],-29,0,30)),"")</f>
        <v>63.0319114872188</v>
      </c>
    </row>
    <row r="2177" spans="1:12" x14ac:dyDescent="0.3">
      <c r="A2177" s="1">
        <v>45567</v>
      </c>
      <c r="B2177" s="3">
        <f>YEAR(Tabla3[[#This Row],[Date]])</f>
        <v>2024</v>
      </c>
      <c r="C2177" s="1" t="str">
        <f>+TEXT(Tabla3[[#This Row],[Date]],"mmm")</f>
        <v>oct</v>
      </c>
      <c r="D2177" s="2">
        <v>2647.10009765625</v>
      </c>
      <c r="E2177" s="2">
        <v>2647.10009765625</v>
      </c>
      <c r="F2177" s="2">
        <v>2657.19995117187</v>
      </c>
      <c r="G2177" s="2">
        <v>2640</v>
      </c>
      <c r="H2177" s="2">
        <v>2650.60009765625</v>
      </c>
      <c r="I2177">
        <v>72</v>
      </c>
      <c r="J2177" s="2">
        <f ca="1">IFERROR((Tabla3[[#This Row],[Close]]-OFFSET(Tabla3[[#This Row],[Close]],-1,0))/OFFSET(Tabla3[[#This Row],[Close]],-1,0),"")</f>
        <v>-7.5731829198386813E-3</v>
      </c>
      <c r="K2177" s="2">
        <f ca="1">IFERROR(AVERAGE(OFFSET(Tabla3[[#This Row],[Close]],-6,0,7)),"")</f>
        <v>2653.5857282366042</v>
      </c>
      <c r="L2177" s="2">
        <f ca="1">IFERROR(_xlfn.STDEV.S(OFFSET(Tabla3[[#This Row],[Close]],-29,0,30)),"")</f>
        <v>64.554346285976081</v>
      </c>
    </row>
    <row r="2178" spans="1:12" x14ac:dyDescent="0.3">
      <c r="A2178" s="1">
        <v>45568</v>
      </c>
      <c r="B2178" s="3">
        <f>YEAR(Tabla3[[#This Row],[Date]])</f>
        <v>2024</v>
      </c>
      <c r="C2178" s="1" t="str">
        <f>+TEXT(Tabla3[[#This Row],[Date]],"mmm")</f>
        <v>oct</v>
      </c>
      <c r="D2178" s="2">
        <v>2657.10009765625</v>
      </c>
      <c r="E2178" s="2">
        <v>2657.10009765625</v>
      </c>
      <c r="F2178" s="2">
        <v>2657.10009765625</v>
      </c>
      <c r="G2178" s="2">
        <v>2640</v>
      </c>
      <c r="H2178" s="2">
        <v>2642.80004882812</v>
      </c>
      <c r="I2178">
        <v>354</v>
      </c>
      <c r="J2178" s="2">
        <f ca="1">IFERROR((Tabla3[[#This Row],[Close]]-OFFSET(Tabla3[[#This Row],[Close]],-1,0))/OFFSET(Tabla3[[#This Row],[Close]],-1,0),"")</f>
        <v>3.7777188738929929E-3</v>
      </c>
      <c r="K2178" s="2">
        <f ca="1">IFERROR(AVERAGE(OFFSET(Tabla3[[#This Row],[Close]],-6,0,7)),"")</f>
        <v>2654.4286063058016</v>
      </c>
      <c r="L2178" s="2">
        <f ca="1">IFERROR(_xlfn.STDEV.S(OFFSET(Tabla3[[#This Row],[Close]],-29,0,30)),"")</f>
        <v>66.088846008085937</v>
      </c>
    </row>
    <row r="2179" spans="1:12" x14ac:dyDescent="0.3">
      <c r="A2179" s="1">
        <v>45569</v>
      </c>
      <c r="B2179" s="3">
        <f>YEAR(Tabla3[[#This Row],[Date]])</f>
        <v>2024</v>
      </c>
      <c r="C2179" s="1" t="str">
        <f>+TEXT(Tabla3[[#This Row],[Date]],"mmm")</f>
        <v>oct</v>
      </c>
      <c r="D2179" s="2">
        <v>2645.80004882812</v>
      </c>
      <c r="E2179" s="2">
        <v>2645.80004882812</v>
      </c>
      <c r="F2179" s="2">
        <v>2667</v>
      </c>
      <c r="G2179" s="2">
        <v>2639</v>
      </c>
      <c r="H2179" s="2">
        <v>2656</v>
      </c>
      <c r="I2179">
        <v>114</v>
      </c>
      <c r="J2179" s="2">
        <f ca="1">IFERROR((Tabla3[[#This Row],[Close]]-OFFSET(Tabla3[[#This Row],[Close]],-1,0))/OFFSET(Tabla3[[#This Row],[Close]],-1,0),"")</f>
        <v>-4.2527749850664051E-3</v>
      </c>
      <c r="K2179" s="2">
        <f ca="1">IFERROR(AVERAGE(OFFSET(Tabla3[[#This Row],[Close]],-6,0,7)),"")</f>
        <v>2652.5143345424085</v>
      </c>
      <c r="L2179" s="2">
        <f ca="1">IFERROR(_xlfn.STDEV.S(OFFSET(Tabla3[[#This Row],[Close]],-29,0,30)),"")</f>
        <v>65.554465417374217</v>
      </c>
    </row>
    <row r="2180" spans="1:12" x14ac:dyDescent="0.3">
      <c r="A2180" s="1">
        <v>45572</v>
      </c>
      <c r="B2180" s="3">
        <f>YEAR(Tabla3[[#This Row],[Date]])</f>
        <v>2024</v>
      </c>
      <c r="C2180" s="1" t="str">
        <f>+TEXT(Tabla3[[#This Row],[Date]],"mmm")</f>
        <v>oct</v>
      </c>
      <c r="D2180" s="2">
        <v>2644.80004882812</v>
      </c>
      <c r="E2180" s="2">
        <v>2644.80004882812</v>
      </c>
      <c r="F2180" s="2">
        <v>2657.39990234375</v>
      </c>
      <c r="G2180" s="2">
        <v>2639</v>
      </c>
      <c r="H2180" s="2">
        <v>2648.69995117187</v>
      </c>
      <c r="I2180">
        <v>284</v>
      </c>
      <c r="J2180" s="2">
        <f ca="1">IFERROR((Tabla3[[#This Row],[Close]]-OFFSET(Tabla3[[#This Row],[Close]],-1,0))/OFFSET(Tabla3[[#This Row],[Close]],-1,0),"")</f>
        <v>-3.7795751059983569E-4</v>
      </c>
      <c r="K2180" s="2">
        <f ca="1">IFERROR(AVERAGE(OFFSET(Tabla3[[#This Row],[Close]],-6,0,7)),"")</f>
        <v>2648.9286411830326</v>
      </c>
      <c r="L2180" s="2">
        <f ca="1">IFERROR(_xlfn.STDEV.S(OFFSET(Tabla3[[#This Row],[Close]],-29,0,30)),"")</f>
        <v>65.775317358594549</v>
      </c>
    </row>
    <row r="2181" spans="1:12" x14ac:dyDescent="0.3">
      <c r="A2181" s="1">
        <v>45573</v>
      </c>
      <c r="B2181" s="3">
        <f>YEAR(Tabla3[[#This Row],[Date]])</f>
        <v>2024</v>
      </c>
      <c r="C2181" s="1" t="str">
        <f>+TEXT(Tabla3[[#This Row],[Date]],"mmm")</f>
        <v>oct</v>
      </c>
      <c r="D2181" s="2">
        <v>2615</v>
      </c>
      <c r="E2181" s="2">
        <v>2615</v>
      </c>
      <c r="F2181" s="2">
        <v>2639</v>
      </c>
      <c r="G2181" s="2">
        <v>2609.30004882812</v>
      </c>
      <c r="H2181" s="2">
        <v>2639</v>
      </c>
      <c r="I2181">
        <v>687</v>
      </c>
      <c r="J2181" s="2">
        <f ca="1">IFERROR((Tabla3[[#This Row],[Close]]-OFFSET(Tabla3[[#This Row],[Close]],-1,0))/OFFSET(Tabla3[[#This Row],[Close]],-1,0),"")</f>
        <v>-1.1267410873394399E-2</v>
      </c>
      <c r="K2181" s="2">
        <f ca="1">IFERROR(AVERAGE(OFFSET(Tabla3[[#This Row],[Close]],-6,0,7)),"")</f>
        <v>2644.7429199218727</v>
      </c>
      <c r="L2181" s="2">
        <f ca="1">IFERROR(_xlfn.STDEV.S(OFFSET(Tabla3[[#This Row],[Close]],-29,0,30)),"")</f>
        <v>65.208623511825678</v>
      </c>
    </row>
    <row r="2182" spans="1:12" x14ac:dyDescent="0.3">
      <c r="A2182" s="1">
        <v>45574</v>
      </c>
      <c r="B2182" s="3">
        <f>YEAR(Tabla3[[#This Row],[Date]])</f>
        <v>2024</v>
      </c>
      <c r="C2182" s="1" t="str">
        <f>+TEXT(Tabla3[[#This Row],[Date]],"mmm")</f>
        <v>oct</v>
      </c>
      <c r="D2182" s="2">
        <v>2606</v>
      </c>
      <c r="E2182" s="2">
        <v>2606</v>
      </c>
      <c r="F2182" s="2">
        <v>2607.69995117187</v>
      </c>
      <c r="G2182" s="2">
        <v>2603</v>
      </c>
      <c r="H2182" s="2">
        <v>2603</v>
      </c>
      <c r="I2182">
        <v>152</v>
      </c>
      <c r="J2182" s="2">
        <f ca="1">IFERROR((Tabla3[[#This Row],[Close]]-OFFSET(Tabla3[[#This Row],[Close]],-1,0))/OFFSET(Tabla3[[#This Row],[Close]],-1,0),"")</f>
        <v>-3.4416826003824093E-3</v>
      </c>
      <c r="K2182" s="2">
        <f ca="1">IFERROR(AVERAGE(OFFSET(Tabla3[[#This Row],[Close]],-6,0,7)),"")</f>
        <v>2640.4429059709801</v>
      </c>
      <c r="L2182" s="2">
        <f ca="1">IFERROR(_xlfn.STDEV.S(OFFSET(Tabla3[[#This Row],[Close]],-29,0,30)),"")</f>
        <v>64.27225840902662</v>
      </c>
    </row>
    <row r="2183" spans="1:12" x14ac:dyDescent="0.3">
      <c r="A2183" s="1">
        <v>45575</v>
      </c>
      <c r="B2183" s="3">
        <f>YEAR(Tabla3[[#This Row],[Date]])</f>
        <v>2024</v>
      </c>
      <c r="C2183" s="1" t="str">
        <f>+TEXT(Tabla3[[#This Row],[Date]],"mmm")</f>
        <v>oct</v>
      </c>
      <c r="D2183" s="2">
        <v>2620.60009765625</v>
      </c>
      <c r="E2183" s="2">
        <v>2620.60009765625</v>
      </c>
      <c r="F2183" s="2">
        <v>2628.30004882812</v>
      </c>
      <c r="G2183" s="2">
        <v>2602.5</v>
      </c>
      <c r="H2183" s="2">
        <v>2602.5</v>
      </c>
      <c r="I2183">
        <v>320</v>
      </c>
      <c r="J2183" s="2">
        <f ca="1">IFERROR((Tabla3[[#This Row],[Close]]-OFFSET(Tabla3[[#This Row],[Close]],-1,0))/OFFSET(Tabla3[[#This Row],[Close]],-1,0),"")</f>
        <v>5.6024933446853411E-3</v>
      </c>
      <c r="K2183" s="2">
        <f ca="1">IFERROR(AVERAGE(OFFSET(Tabla3[[#This Row],[Close]],-6,0,7)),"")</f>
        <v>2633.7714843749986</v>
      </c>
      <c r="L2183" s="2">
        <f ca="1">IFERROR(_xlfn.STDEV.S(OFFSET(Tabla3[[#This Row],[Close]],-29,0,30)),"")</f>
        <v>62.764189470329029</v>
      </c>
    </row>
    <row r="2184" spans="1:12" x14ac:dyDescent="0.3">
      <c r="A2184" s="1">
        <v>45576</v>
      </c>
      <c r="B2184" s="3">
        <f>YEAR(Tabla3[[#This Row],[Date]])</f>
        <v>2024</v>
      </c>
      <c r="C2184" s="1" t="str">
        <f>+TEXT(Tabla3[[#This Row],[Date]],"mmm")</f>
        <v>oct</v>
      </c>
      <c r="D2184" s="2">
        <v>2657.60009765625</v>
      </c>
      <c r="E2184" s="2">
        <v>2657.60009765625</v>
      </c>
      <c r="F2184" s="2">
        <v>2658.10009765625</v>
      </c>
      <c r="G2184" s="2">
        <v>2638.19995117187</v>
      </c>
      <c r="H2184" s="2">
        <v>2638.30004882812</v>
      </c>
      <c r="I2184">
        <v>12</v>
      </c>
      <c r="J2184" s="2">
        <f ca="1">IFERROR((Tabla3[[#This Row],[Close]]-OFFSET(Tabla3[[#This Row],[Close]],-1,0))/OFFSET(Tabla3[[#This Row],[Close]],-1,0),"")</f>
        <v>1.4118903541632002E-2</v>
      </c>
      <c r="K2184" s="2">
        <f ca="1">IFERROR(AVERAGE(OFFSET(Tabla3[[#This Row],[Close]],-6,0,7)),"")</f>
        <v>2635.2714843749986</v>
      </c>
      <c r="L2184" s="2">
        <f ca="1">IFERROR(_xlfn.STDEV.S(OFFSET(Tabla3[[#This Row],[Close]],-29,0,30)),"")</f>
        <v>63.012379879933789</v>
      </c>
    </row>
    <row r="2185" spans="1:12" x14ac:dyDescent="0.3">
      <c r="A2185" s="1">
        <v>45579</v>
      </c>
      <c r="B2185" s="3">
        <f>YEAR(Tabla3[[#This Row],[Date]])</f>
        <v>2024</v>
      </c>
      <c r="C2185" s="1" t="str">
        <f>+TEXT(Tabla3[[#This Row],[Date]],"mmm")</f>
        <v>oct</v>
      </c>
      <c r="D2185" s="2">
        <v>2647.80004882812</v>
      </c>
      <c r="E2185" s="2">
        <v>2647.80004882812</v>
      </c>
      <c r="F2185" s="2">
        <v>2655.30004882812</v>
      </c>
      <c r="G2185" s="2">
        <v>2647.80004882812</v>
      </c>
      <c r="H2185" s="2">
        <v>2655</v>
      </c>
      <c r="I2185">
        <v>40</v>
      </c>
      <c r="J2185" s="2">
        <f ca="1">IFERROR((Tabla3[[#This Row],[Close]]-OFFSET(Tabla3[[#This Row],[Close]],-1,0))/OFFSET(Tabla3[[#This Row],[Close]],-1,0),"")</f>
        <v>-3.6875558654489481E-3</v>
      </c>
      <c r="K2185" s="2">
        <f ca="1">IFERROR(AVERAGE(OFFSET(Tabla3[[#This Row],[Close]],-6,0,7)),"")</f>
        <v>2633.9429059709801</v>
      </c>
      <c r="L2185" s="2">
        <f ca="1">IFERROR(_xlfn.STDEV.S(OFFSET(Tabla3[[#This Row],[Close]],-29,0,30)),"")</f>
        <v>61.11430398392384</v>
      </c>
    </row>
    <row r="2186" spans="1:12" x14ac:dyDescent="0.3">
      <c r="A2186" s="1">
        <v>45580</v>
      </c>
      <c r="B2186" s="3">
        <f>YEAR(Tabla3[[#This Row],[Date]])</f>
        <v>2024</v>
      </c>
      <c r="C2186" s="1" t="str">
        <f>+TEXT(Tabla3[[#This Row],[Date]],"mmm")</f>
        <v>oct</v>
      </c>
      <c r="D2186" s="2">
        <v>2661.39990234375</v>
      </c>
      <c r="E2186" s="2">
        <v>2661.39990234375</v>
      </c>
      <c r="F2186" s="2">
        <v>2661.39990234375</v>
      </c>
      <c r="G2186" s="2">
        <v>2661.39990234375</v>
      </c>
      <c r="H2186" s="2">
        <v>2661.39990234375</v>
      </c>
      <c r="I2186">
        <v>39</v>
      </c>
      <c r="J2186" s="2">
        <f ca="1">IFERROR((Tabla3[[#This Row],[Close]]-OFFSET(Tabla3[[#This Row],[Close]],-1,0))/OFFSET(Tabla3[[#This Row],[Close]],-1,0),"")</f>
        <v>5.1362841849214068E-3</v>
      </c>
      <c r="K2186" s="2">
        <f ca="1">IFERROR(AVERAGE(OFFSET(Tabla3[[#This Row],[Close]],-6,0,7)),"")</f>
        <v>2636.1714564732129</v>
      </c>
      <c r="L2186" s="2">
        <f ca="1">IFERROR(_xlfn.STDEV.S(OFFSET(Tabla3[[#This Row],[Close]],-29,0,30)),"")</f>
        <v>58.8708820277336</v>
      </c>
    </row>
    <row r="2187" spans="1:12" x14ac:dyDescent="0.3">
      <c r="A2187" s="1">
        <v>45581</v>
      </c>
      <c r="B2187" s="3">
        <f>YEAR(Tabla3[[#This Row],[Date]])</f>
        <v>2024</v>
      </c>
      <c r="C2187" s="1" t="str">
        <f>+TEXT(Tabla3[[#This Row],[Date]],"mmm")</f>
        <v>oct</v>
      </c>
      <c r="D2187" s="2">
        <v>2674</v>
      </c>
      <c r="E2187" s="2">
        <v>2674</v>
      </c>
      <c r="F2187" s="2">
        <v>2674</v>
      </c>
      <c r="G2187" s="2">
        <v>2674</v>
      </c>
      <c r="H2187" s="2">
        <v>2674</v>
      </c>
      <c r="I2187">
        <v>6</v>
      </c>
      <c r="J2187" s="2">
        <f ca="1">IFERROR((Tabla3[[#This Row],[Close]]-OFFSET(Tabla3[[#This Row],[Close]],-1,0))/OFFSET(Tabla3[[#This Row],[Close]],-1,0),"")</f>
        <v>4.7343872092103787E-3</v>
      </c>
      <c r="K2187" s="2">
        <f ca="1">IFERROR(AVERAGE(OFFSET(Tabla3[[#This Row],[Close]],-6,0,7)),"")</f>
        <v>2640.3428780691952</v>
      </c>
      <c r="L2187" s="2">
        <f ca="1">IFERROR(_xlfn.STDEV.S(OFFSET(Tabla3[[#This Row],[Close]],-29,0,30)),"")</f>
        <v>56.652395812632179</v>
      </c>
    </row>
    <row r="2188" spans="1:12" x14ac:dyDescent="0.3">
      <c r="A2188" s="1">
        <v>45582</v>
      </c>
      <c r="B2188" s="3">
        <f>YEAR(Tabla3[[#This Row],[Date]])</f>
        <v>2024</v>
      </c>
      <c r="C2188" s="1" t="str">
        <f>+TEXT(Tabla3[[#This Row],[Date]],"mmm")</f>
        <v>oct</v>
      </c>
      <c r="D2188" s="2">
        <v>2691</v>
      </c>
      <c r="E2188" s="2">
        <v>2691</v>
      </c>
      <c r="F2188" s="2">
        <v>2691.69995117187</v>
      </c>
      <c r="G2188" s="2">
        <v>2677.19995117187</v>
      </c>
      <c r="H2188" s="2">
        <v>2677.39990234375</v>
      </c>
      <c r="I2188">
        <v>30</v>
      </c>
      <c r="J2188" s="2">
        <f ca="1">IFERROR((Tabla3[[#This Row],[Close]]-OFFSET(Tabla3[[#This Row],[Close]],-1,0))/OFFSET(Tabla3[[#This Row],[Close]],-1,0),"")</f>
        <v>6.3575168287210168E-3</v>
      </c>
      <c r="K2188" s="2">
        <f ca="1">IFERROR(AVERAGE(OFFSET(Tabla3[[#This Row],[Close]],-6,0,7)),"")</f>
        <v>2651.2000209263383</v>
      </c>
      <c r="L2188" s="2">
        <f ca="1">IFERROR(_xlfn.STDEV.S(OFFSET(Tabla3[[#This Row],[Close]],-29,0,30)),"")</f>
        <v>55.650933194898457</v>
      </c>
    </row>
    <row r="2189" spans="1:12" x14ac:dyDescent="0.3">
      <c r="A2189" s="1">
        <v>45583</v>
      </c>
      <c r="B2189" s="3">
        <f>YEAR(Tabla3[[#This Row],[Date]])</f>
        <v>2024</v>
      </c>
      <c r="C2189" s="1" t="str">
        <f>+TEXT(Tabla3[[#This Row],[Date]],"mmm")</f>
        <v>oct</v>
      </c>
      <c r="D2189" s="2">
        <v>2713.69995117187</v>
      </c>
      <c r="E2189" s="2">
        <v>2713.69995117187</v>
      </c>
      <c r="F2189" s="2">
        <v>2719.60009765625</v>
      </c>
      <c r="G2189" s="2">
        <v>2713.69995117187</v>
      </c>
      <c r="H2189" s="2">
        <v>2713.69995117187</v>
      </c>
      <c r="I2189">
        <v>29</v>
      </c>
      <c r="J2189" s="2">
        <f ca="1">IFERROR((Tabla3[[#This Row],[Close]]-OFFSET(Tabla3[[#This Row],[Close]],-1,0))/OFFSET(Tabla3[[#This Row],[Close]],-1,0),"")</f>
        <v>8.4355076818543283E-3</v>
      </c>
      <c r="K2189" s="2">
        <f ca="1">IFERROR(AVERAGE(OFFSET(Tabla3[[#This Row],[Close]],-6,0,7)),"")</f>
        <v>2666.5857282366055</v>
      </c>
      <c r="L2189" s="2">
        <f ca="1">IFERROR(_xlfn.STDEV.S(OFFSET(Tabla3[[#This Row],[Close]],-29,0,30)),"")</f>
        <v>53.799546548776654</v>
      </c>
    </row>
    <row r="2190" spans="1:12" x14ac:dyDescent="0.3">
      <c r="A2190" s="1">
        <v>45586</v>
      </c>
      <c r="B2190" s="3">
        <f>YEAR(Tabla3[[#This Row],[Date]])</f>
        <v>2024</v>
      </c>
      <c r="C2190" s="1" t="str">
        <f>+TEXT(Tabla3[[#This Row],[Date]],"mmm")</f>
        <v>oct</v>
      </c>
      <c r="D2190" s="2">
        <v>2723.10009765625</v>
      </c>
      <c r="E2190" s="2">
        <v>2723.10009765625</v>
      </c>
      <c r="F2190" s="2">
        <v>2738.39990234375</v>
      </c>
      <c r="G2190" s="2">
        <v>2719.5</v>
      </c>
      <c r="H2190" s="2">
        <v>2721.89990234375</v>
      </c>
      <c r="I2190">
        <v>52</v>
      </c>
      <c r="J2190" s="2">
        <f ca="1">IFERROR((Tabla3[[#This Row],[Close]]-OFFSET(Tabla3[[#This Row],[Close]],-1,0))/OFFSET(Tabla3[[#This Row],[Close]],-1,0),"")</f>
        <v>3.4639594109587141E-3</v>
      </c>
      <c r="K2190" s="2">
        <f ca="1">IFERROR(AVERAGE(OFFSET(Tabla3[[#This Row],[Close]],-6,0,7)),"")</f>
        <v>2681.2285853794629</v>
      </c>
      <c r="L2190" s="2">
        <f ca="1">IFERROR(_xlfn.STDEV.S(OFFSET(Tabla3[[#This Row],[Close]],-29,0,30)),"")</f>
        <v>52.091372813579902</v>
      </c>
    </row>
    <row r="2191" spans="1:12" x14ac:dyDescent="0.3">
      <c r="A2191" s="1">
        <v>45587</v>
      </c>
      <c r="B2191" s="3">
        <f>YEAR(Tabla3[[#This Row],[Date]])</f>
        <v>2024</v>
      </c>
      <c r="C2191" s="1" t="str">
        <f>+TEXT(Tabla3[[#This Row],[Date]],"mmm")</f>
        <v>oct</v>
      </c>
      <c r="D2191" s="2">
        <v>2744.19995117187</v>
      </c>
      <c r="E2191" s="2">
        <v>2744.19995117187</v>
      </c>
      <c r="F2191" s="2">
        <v>2746</v>
      </c>
      <c r="G2191" s="2">
        <v>2728.60009765625</v>
      </c>
      <c r="H2191" s="2">
        <v>2731.69995117187</v>
      </c>
      <c r="I2191">
        <v>93</v>
      </c>
      <c r="J2191" s="2">
        <f ca="1">IFERROR((Tabla3[[#This Row],[Close]]-OFFSET(Tabla3[[#This Row],[Close]],-1,0))/OFFSET(Tabla3[[#This Row],[Close]],-1,0),"")</f>
        <v>7.748467834061799E-3</v>
      </c>
      <c r="K2191" s="2">
        <f ca="1">IFERROR(AVERAGE(OFFSET(Tabla3[[#This Row],[Close]],-6,0,7)),"")</f>
        <v>2693.5999930245516</v>
      </c>
      <c r="L2191" s="2">
        <f ca="1">IFERROR(_xlfn.STDEV.S(OFFSET(Tabla3[[#This Row],[Close]],-29,0,30)),"")</f>
        <v>51.534995873757559</v>
      </c>
    </row>
    <row r="2192" spans="1:12" x14ac:dyDescent="0.3">
      <c r="A2192" s="1">
        <v>45588</v>
      </c>
      <c r="B2192" s="3">
        <f>YEAR(Tabla3[[#This Row],[Date]])</f>
        <v>2024</v>
      </c>
      <c r="C2192" s="1" t="str">
        <f>+TEXT(Tabla3[[#This Row],[Date]],"mmm")</f>
        <v>oct</v>
      </c>
      <c r="D2192" s="2">
        <v>2714.39990234375</v>
      </c>
      <c r="E2192" s="2">
        <v>2714.39990234375</v>
      </c>
      <c r="F2192" s="2">
        <v>2742.5</v>
      </c>
      <c r="G2192" s="2">
        <v>2714.19995117187</v>
      </c>
      <c r="H2192" s="2">
        <v>2742.5</v>
      </c>
      <c r="I2192">
        <v>18</v>
      </c>
      <c r="J2192" s="2">
        <f ca="1">IFERROR((Tabla3[[#This Row],[Close]]-OFFSET(Tabla3[[#This Row],[Close]],-1,0))/OFFSET(Tabla3[[#This Row],[Close]],-1,0),"")</f>
        <v>-1.0859284803716408E-2</v>
      </c>
      <c r="K2192" s="2">
        <f ca="1">IFERROR(AVERAGE(OFFSET(Tabla3[[#This Row],[Close]],-6,0,7)),"")</f>
        <v>2703.1142578124986</v>
      </c>
      <c r="L2192" s="2">
        <f ca="1">IFERROR(_xlfn.STDEV.S(OFFSET(Tabla3[[#This Row],[Close]],-29,0,30)),"")</f>
        <v>47.909500411233893</v>
      </c>
    </row>
    <row r="2193" spans="1:12" x14ac:dyDescent="0.3">
      <c r="A2193" s="1">
        <v>45589</v>
      </c>
      <c r="B2193" s="3">
        <f>YEAR(Tabla3[[#This Row],[Date]])</f>
        <v>2024</v>
      </c>
      <c r="C2193" s="1" t="str">
        <f>+TEXT(Tabla3[[#This Row],[Date]],"mmm")</f>
        <v>oct</v>
      </c>
      <c r="D2193" s="2">
        <v>2734.89990234375</v>
      </c>
      <c r="E2193" s="2">
        <v>2734.89990234375</v>
      </c>
      <c r="F2193" s="2">
        <v>2736.10009765625</v>
      </c>
      <c r="G2193" s="2">
        <v>2729</v>
      </c>
      <c r="H2193" s="2">
        <v>2729</v>
      </c>
      <c r="I2193">
        <v>27</v>
      </c>
      <c r="J2193" s="2">
        <f ca="1">IFERROR((Tabla3[[#This Row],[Close]]-OFFSET(Tabla3[[#This Row],[Close]],-1,0))/OFFSET(Tabla3[[#This Row],[Close]],-1,0),"")</f>
        <v>7.5523138585067238E-3</v>
      </c>
      <c r="K2193" s="2">
        <f ca="1">IFERROR(AVERAGE(OFFSET(Tabla3[[#This Row],[Close]],-6,0,7)),"")</f>
        <v>2713.6142578124986</v>
      </c>
      <c r="L2193" s="2">
        <f ca="1">IFERROR(_xlfn.STDEV.S(OFFSET(Tabla3[[#This Row],[Close]],-29,0,30)),"")</f>
        <v>47.581126183400244</v>
      </c>
    </row>
    <row r="2194" spans="1:12" x14ac:dyDescent="0.3">
      <c r="A2194" s="1">
        <v>45590</v>
      </c>
      <c r="B2194" s="3">
        <f>YEAR(Tabla3[[#This Row],[Date]])</f>
        <v>2024</v>
      </c>
      <c r="C2194" s="1" t="str">
        <f>+TEXT(Tabla3[[#This Row],[Date]],"mmm")</f>
        <v>oct</v>
      </c>
      <c r="D2194" s="2">
        <v>2740.89990234375</v>
      </c>
      <c r="E2194" s="2">
        <v>2740.89990234375</v>
      </c>
      <c r="F2194" s="2">
        <v>2742.39990234375</v>
      </c>
      <c r="G2194" s="2">
        <v>2725.5</v>
      </c>
      <c r="H2194" s="2">
        <v>2725.5</v>
      </c>
      <c r="I2194">
        <v>29</v>
      </c>
      <c r="J2194" s="2">
        <f ca="1">IFERROR((Tabla3[[#This Row],[Close]]-OFFSET(Tabla3[[#This Row],[Close]],-1,0))/OFFSET(Tabla3[[#This Row],[Close]],-1,0),"")</f>
        <v>2.1938645706404574E-3</v>
      </c>
      <c r="K2194" s="2">
        <f ca="1">IFERROR(AVERAGE(OFFSET(Tabla3[[#This Row],[Close]],-6,0,7)),"")</f>
        <v>2723.1713867187486</v>
      </c>
      <c r="L2194" s="2">
        <f ca="1">IFERROR(_xlfn.STDEV.S(OFFSET(Tabla3[[#This Row],[Close]],-29,0,30)),"")</f>
        <v>48.707471832851709</v>
      </c>
    </row>
    <row r="2195" spans="1:12" x14ac:dyDescent="0.3">
      <c r="A2195" s="1">
        <v>45593</v>
      </c>
      <c r="B2195" s="3">
        <f>YEAR(Tabla3[[#This Row],[Date]])</f>
        <v>2024</v>
      </c>
      <c r="C2195" s="1" t="str">
        <f>+TEXT(Tabla3[[#This Row],[Date]],"mmm")</f>
        <v>oct</v>
      </c>
      <c r="D2195" s="2">
        <v>2742.89990234375</v>
      </c>
      <c r="E2195" s="2">
        <v>2742.89990234375</v>
      </c>
      <c r="F2195" s="2">
        <v>2742.89990234375</v>
      </c>
      <c r="G2195" s="2">
        <v>2729.5</v>
      </c>
      <c r="H2195" s="2">
        <v>2736.10009765625</v>
      </c>
      <c r="I2195">
        <v>56</v>
      </c>
      <c r="J2195" s="2">
        <f ca="1">IFERROR((Tabla3[[#This Row],[Close]]-OFFSET(Tabla3[[#This Row],[Close]],-1,0))/OFFSET(Tabla3[[#This Row],[Close]],-1,0),"")</f>
        <v>7.2968735497775576E-4</v>
      </c>
      <c r="K2195" s="2">
        <f ca="1">IFERROR(AVERAGE(OFFSET(Tabla3[[#This Row],[Close]],-6,0,7)),"")</f>
        <v>2730.5856584821413</v>
      </c>
      <c r="L2195" s="2">
        <f ca="1">IFERROR(_xlfn.STDEV.S(OFFSET(Tabla3[[#This Row],[Close]],-29,0,30)),"")</f>
        <v>49.283297985249469</v>
      </c>
    </row>
    <row r="2196" spans="1:12" x14ac:dyDescent="0.3">
      <c r="A2196" s="1">
        <v>45594</v>
      </c>
      <c r="B2196" s="3">
        <f>YEAR(Tabla3[[#This Row],[Date]])</f>
        <v>2024</v>
      </c>
      <c r="C2196" s="1" t="str">
        <f>+TEXT(Tabla3[[#This Row],[Date]],"mmm")</f>
        <v>oct</v>
      </c>
      <c r="D2196" s="2">
        <v>2768.39990234375</v>
      </c>
      <c r="E2196" s="2">
        <v>2768.39990234375</v>
      </c>
      <c r="F2196" s="2">
        <v>2768.39990234375</v>
      </c>
      <c r="G2196" s="2">
        <v>2768.39990234375</v>
      </c>
      <c r="H2196" s="2">
        <v>2768.39990234375</v>
      </c>
      <c r="I2196">
        <v>848</v>
      </c>
      <c r="J2196" s="2">
        <f ca="1">IFERROR((Tabla3[[#This Row],[Close]]-OFFSET(Tabla3[[#This Row],[Close]],-1,0))/OFFSET(Tabla3[[#This Row],[Close]],-1,0),"")</f>
        <v>9.2967300695919637E-3</v>
      </c>
      <c r="K2196" s="2">
        <f ca="1">IFERROR(AVERAGE(OFFSET(Tabla3[[#This Row],[Close]],-6,0,7)),"")</f>
        <v>2738.399937220981</v>
      </c>
      <c r="L2196" s="2">
        <f ca="1">IFERROR(_xlfn.STDEV.S(OFFSET(Tabla3[[#This Row],[Close]],-29,0,30)),"")</f>
        <v>49.798274441067228</v>
      </c>
    </row>
    <row r="2197" spans="1:12" x14ac:dyDescent="0.3">
      <c r="A2197" s="1">
        <v>45595</v>
      </c>
      <c r="B2197" s="3">
        <f>YEAR(Tabla3[[#This Row],[Date]])</f>
        <v>2024</v>
      </c>
      <c r="C2197" s="1" t="str">
        <f>+TEXT(Tabla3[[#This Row],[Date]],"mmm")</f>
        <v>oct</v>
      </c>
      <c r="D2197" s="2">
        <v>2788.5</v>
      </c>
      <c r="E2197" s="2">
        <v>2788.5</v>
      </c>
      <c r="F2197" s="2">
        <v>2789</v>
      </c>
      <c r="G2197" s="2">
        <v>2774.60009765625</v>
      </c>
      <c r="H2197" s="2">
        <v>2774.60009765625</v>
      </c>
      <c r="I2197">
        <v>231</v>
      </c>
      <c r="J2197" s="2">
        <f ca="1">IFERROR((Tabla3[[#This Row],[Close]]-OFFSET(Tabla3[[#This Row],[Close]],-1,0))/OFFSET(Tabla3[[#This Row],[Close]],-1,0),"")</f>
        <v>7.2605470182371748E-3</v>
      </c>
      <c r="K2197" s="2">
        <f ca="1">IFERROR(AVERAGE(OFFSET(Tabla3[[#This Row],[Close]],-6,0,7)),"")</f>
        <v>2747.7427804129452</v>
      </c>
      <c r="L2197" s="2">
        <f ca="1">IFERROR(_xlfn.STDEV.S(OFFSET(Tabla3[[#This Row],[Close]],-29,0,30)),"")</f>
        <v>51.261306503816456</v>
      </c>
    </row>
    <row r="2198" spans="1:12" x14ac:dyDescent="0.3">
      <c r="A2198" s="1">
        <v>45596</v>
      </c>
      <c r="B2198" s="3">
        <f>YEAR(Tabla3[[#This Row],[Date]])</f>
        <v>2024</v>
      </c>
      <c r="C2198" s="1" t="str">
        <f>+TEXT(Tabla3[[#This Row],[Date]],"mmm")</f>
        <v>oct</v>
      </c>
      <c r="D2198" s="2">
        <v>2738.30004882812</v>
      </c>
      <c r="E2198" s="2">
        <v>2738.30004882812</v>
      </c>
      <c r="F2198" s="2">
        <v>2787.5</v>
      </c>
      <c r="G2198" s="2">
        <v>2733.5</v>
      </c>
      <c r="H2198" s="2">
        <v>2787.39990234375</v>
      </c>
      <c r="I2198">
        <v>849</v>
      </c>
      <c r="J2198" s="2">
        <f ca="1">IFERROR((Tabla3[[#This Row],[Close]]-OFFSET(Tabla3[[#This Row],[Close]],-1,0))/OFFSET(Tabla3[[#This Row],[Close]],-1,0),"")</f>
        <v>-1.8002492799670075E-2</v>
      </c>
      <c r="K2198" s="2">
        <f ca="1">IFERROR(AVERAGE(OFFSET(Tabla3[[#This Row],[Close]],-6,0,7)),"")</f>
        <v>2746.8999372209814</v>
      </c>
      <c r="L2198" s="2">
        <f ca="1">IFERROR(_xlfn.STDEV.S(OFFSET(Tabla3[[#This Row],[Close]],-29,0,30)),"")</f>
        <v>49.956459355080746</v>
      </c>
    </row>
    <row r="2199" spans="1:12" x14ac:dyDescent="0.3">
      <c r="A2199" s="1">
        <v>45597</v>
      </c>
      <c r="B2199" s="3">
        <f>YEAR(Tabla3[[#This Row],[Date]])</f>
        <v>2024</v>
      </c>
      <c r="C2199" s="1" t="str">
        <f>+TEXT(Tabla3[[#This Row],[Date]],"mmm")</f>
        <v>nov</v>
      </c>
      <c r="D2199" s="2">
        <v>2738.60009765625</v>
      </c>
      <c r="E2199" s="2">
        <v>2738.60009765625</v>
      </c>
      <c r="F2199" s="2">
        <v>2756</v>
      </c>
      <c r="G2199" s="2">
        <v>2734.19995117187</v>
      </c>
      <c r="H2199" s="2">
        <v>2745.5</v>
      </c>
      <c r="I2199">
        <v>109</v>
      </c>
      <c r="J2199" s="2">
        <f ca="1">IFERROR((Tabla3[[#This Row],[Close]]-OFFSET(Tabla3[[#This Row],[Close]],-1,0))/OFFSET(Tabla3[[#This Row],[Close]],-1,0),"")</f>
        <v>1.0957485402609944E-4</v>
      </c>
      <c r="K2199" s="2">
        <f ca="1">IFERROR(AVERAGE(OFFSET(Tabla3[[#This Row],[Close]],-6,0,7)),"")</f>
        <v>2750.3571079799103</v>
      </c>
      <c r="L2199" s="2">
        <f ca="1">IFERROR(_xlfn.STDEV.S(OFFSET(Tabla3[[#This Row],[Close]],-29,0,30)),"")</f>
        <v>49.864198914488455</v>
      </c>
    </row>
    <row r="2200" spans="1:12" x14ac:dyDescent="0.3">
      <c r="A2200" s="1">
        <v>45600</v>
      </c>
      <c r="B2200" s="3">
        <f>YEAR(Tabla3[[#This Row],[Date]])</f>
        <v>2024</v>
      </c>
      <c r="C2200" s="1" t="str">
        <f>+TEXT(Tabla3[[#This Row],[Date]],"mmm")</f>
        <v>nov</v>
      </c>
      <c r="D2200" s="2">
        <v>2736.10009765625</v>
      </c>
      <c r="E2200" s="2">
        <v>2736.10009765625</v>
      </c>
      <c r="F2200" s="2">
        <v>2737.10009765625</v>
      </c>
      <c r="G2200" s="2">
        <v>2736.10009765625</v>
      </c>
      <c r="H2200" s="2">
        <v>2736.5</v>
      </c>
      <c r="I2200">
        <v>16</v>
      </c>
      <c r="J2200" s="2">
        <f ca="1">IFERROR((Tabla3[[#This Row],[Close]]-OFFSET(Tabla3[[#This Row],[Close]],-1,0))/OFFSET(Tabla3[[#This Row],[Close]],-1,0),"")</f>
        <v>-9.1287515915140414E-4</v>
      </c>
      <c r="K2200" s="2">
        <f ca="1">IFERROR(AVERAGE(OFFSET(Tabla3[[#This Row],[Close]],-6,0,7)),"")</f>
        <v>2750.5285644531241</v>
      </c>
      <c r="L2200" s="2">
        <f ca="1">IFERROR(_xlfn.STDEV.S(OFFSET(Tabla3[[#This Row],[Close]],-29,0,30)),"")</f>
        <v>49.645441065289859</v>
      </c>
    </row>
    <row r="2201" spans="1:12" x14ac:dyDescent="0.3">
      <c r="A2201" s="1">
        <v>45601</v>
      </c>
      <c r="B2201" s="3">
        <f>YEAR(Tabla3[[#This Row],[Date]])</f>
        <v>2024</v>
      </c>
      <c r="C2201" s="1" t="str">
        <f>+TEXT(Tabla3[[#This Row],[Date]],"mmm")</f>
        <v>nov</v>
      </c>
      <c r="D2201" s="2">
        <v>2740.30004882812</v>
      </c>
      <c r="E2201" s="2">
        <v>2740.30004882812</v>
      </c>
      <c r="F2201" s="2">
        <v>2743.89990234375</v>
      </c>
      <c r="G2201" s="2">
        <v>2740.30004882812</v>
      </c>
      <c r="H2201" s="2">
        <v>2743</v>
      </c>
      <c r="I2201">
        <v>23</v>
      </c>
      <c r="J2201" s="2">
        <f ca="1">IFERROR((Tabla3[[#This Row],[Close]]-OFFSET(Tabla3[[#This Row],[Close]],-1,0))/OFFSET(Tabla3[[#This Row],[Close]],-1,0),"")</f>
        <v>1.5350137136677443E-3</v>
      </c>
      <c r="K2201" s="2">
        <f ca="1">IFERROR(AVERAGE(OFFSET(Tabla3[[#This Row],[Close]],-6,0,7)),"")</f>
        <v>2750.4428710937486</v>
      </c>
      <c r="L2201" s="2">
        <f ca="1">IFERROR(_xlfn.STDEV.S(OFFSET(Tabla3[[#This Row],[Close]],-29,0,30)),"")</f>
        <v>50.153921667824555</v>
      </c>
    </row>
    <row r="2202" spans="1:12" x14ac:dyDescent="0.3">
      <c r="A2202" s="1">
        <v>45602</v>
      </c>
      <c r="B2202" s="3">
        <f>YEAR(Tabla3[[#This Row],[Date]])</f>
        <v>2024</v>
      </c>
      <c r="C2202" s="1" t="str">
        <f>+TEXT(Tabla3[[#This Row],[Date]],"mmm")</f>
        <v>nov</v>
      </c>
      <c r="D2202" s="2">
        <v>2667.60009765625</v>
      </c>
      <c r="E2202" s="2">
        <v>2667.60009765625</v>
      </c>
      <c r="F2202" s="2">
        <v>2734.5</v>
      </c>
      <c r="G2202" s="2">
        <v>2659.39990234375</v>
      </c>
      <c r="H2202" s="2">
        <v>2734.5</v>
      </c>
      <c r="I2202">
        <v>427</v>
      </c>
      <c r="J2202" s="2">
        <f ca="1">IFERROR((Tabla3[[#This Row],[Close]]-OFFSET(Tabla3[[#This Row],[Close]],-1,0))/OFFSET(Tabla3[[#This Row],[Close]],-1,0),"")</f>
        <v>-2.6529923685897055E-2</v>
      </c>
      <c r="K2202" s="2">
        <f ca="1">IFERROR(AVERAGE(OFFSET(Tabla3[[#This Row],[Close]],-6,0,7)),"")</f>
        <v>2739.6857561383913</v>
      </c>
      <c r="L2202" s="2">
        <f ca="1">IFERROR(_xlfn.STDEV.S(OFFSET(Tabla3[[#This Row],[Close]],-29,0,30)),"")</f>
        <v>50.005176481043158</v>
      </c>
    </row>
    <row r="2203" spans="1:12" x14ac:dyDescent="0.3">
      <c r="A2203" s="1">
        <v>45603</v>
      </c>
      <c r="B2203" s="3">
        <f>YEAR(Tabla3[[#This Row],[Date]])</f>
        <v>2024</v>
      </c>
      <c r="C2203" s="1" t="str">
        <f>+TEXT(Tabla3[[#This Row],[Date]],"mmm")</f>
        <v>nov</v>
      </c>
      <c r="D2203" s="2">
        <v>2698.39990234375</v>
      </c>
      <c r="E2203" s="2">
        <v>2698.39990234375</v>
      </c>
      <c r="F2203" s="2">
        <v>2699.10009765625</v>
      </c>
      <c r="G2203" s="2">
        <v>2662.5</v>
      </c>
      <c r="H2203" s="2">
        <v>2662.5</v>
      </c>
      <c r="I2203">
        <v>676</v>
      </c>
      <c r="J2203" s="2">
        <f ca="1">IFERROR((Tabla3[[#This Row],[Close]]-OFFSET(Tabla3[[#This Row],[Close]],-1,0))/OFFSET(Tabla3[[#This Row],[Close]],-1,0),"")</f>
        <v>1.1545885275143252E-2</v>
      </c>
      <c r="K2203" s="2">
        <f ca="1">IFERROR(AVERAGE(OFFSET(Tabla3[[#This Row],[Close]],-6,0,7)),"")</f>
        <v>2729.6857561383913</v>
      </c>
      <c r="L2203" s="2">
        <f ca="1">IFERROR(_xlfn.STDEV.S(OFFSET(Tabla3[[#This Row],[Close]],-29,0,30)),"")</f>
        <v>49.895356418152872</v>
      </c>
    </row>
    <row r="2204" spans="1:12" x14ac:dyDescent="0.3">
      <c r="A2204" s="1">
        <v>45604</v>
      </c>
      <c r="B2204" s="3">
        <f>YEAR(Tabla3[[#This Row],[Date]])</f>
        <v>2024</v>
      </c>
      <c r="C2204" s="1" t="str">
        <f>+TEXT(Tabla3[[#This Row],[Date]],"mmm")</f>
        <v>nov</v>
      </c>
      <c r="D2204" s="2">
        <v>2687.5</v>
      </c>
      <c r="E2204" s="2">
        <v>2687.5</v>
      </c>
      <c r="F2204" s="2">
        <v>2694.60009765625</v>
      </c>
      <c r="G2204" s="2">
        <v>2682.89990234375</v>
      </c>
      <c r="H2204" s="2">
        <v>2688.5</v>
      </c>
      <c r="I2204">
        <v>1038</v>
      </c>
      <c r="J2204" s="2">
        <f ca="1">IFERROR((Tabla3[[#This Row],[Close]]-OFFSET(Tabla3[[#This Row],[Close]],-1,0))/OFFSET(Tabla3[[#This Row],[Close]],-1,0),"")</f>
        <v>-4.0393947295516387E-3</v>
      </c>
      <c r="K2204" s="2">
        <f ca="1">IFERROR(AVERAGE(OFFSET(Tabla3[[#This Row],[Close]],-6,0,7)),"")</f>
        <v>2715.2571847098197</v>
      </c>
      <c r="L2204" s="2">
        <f ca="1">IFERROR(_xlfn.STDEV.S(OFFSET(Tabla3[[#This Row],[Close]],-29,0,30)),"")</f>
        <v>49.142491806923346</v>
      </c>
    </row>
    <row r="2205" spans="1:12" x14ac:dyDescent="0.3">
      <c r="A2205" s="1">
        <v>45607</v>
      </c>
      <c r="B2205" s="3">
        <f>YEAR(Tabla3[[#This Row],[Date]])</f>
        <v>2024</v>
      </c>
      <c r="C2205" s="1" t="str">
        <f>+TEXT(Tabla3[[#This Row],[Date]],"mmm")</f>
        <v>nov</v>
      </c>
      <c r="D2205" s="2">
        <v>2611.19995117187</v>
      </c>
      <c r="E2205" s="2">
        <v>2611.19995117187</v>
      </c>
      <c r="F2205" s="2">
        <v>2671.69995117187</v>
      </c>
      <c r="G2205" s="2">
        <v>2611.19995117187</v>
      </c>
      <c r="H2205" s="2">
        <v>2671.69995117187</v>
      </c>
      <c r="I2205">
        <v>20</v>
      </c>
      <c r="J2205" s="2">
        <f ca="1">IFERROR((Tabla3[[#This Row],[Close]]-OFFSET(Tabla3[[#This Row],[Close]],-1,0))/OFFSET(Tabla3[[#This Row],[Close]],-1,0),"")</f>
        <v>-2.8390715843025115E-2</v>
      </c>
      <c r="K2205" s="2">
        <f ca="1">IFERROR(AVERAGE(OFFSET(Tabla3[[#This Row],[Close]],-6,0,7)),"")</f>
        <v>2697.100027901784</v>
      </c>
      <c r="L2205" s="2">
        <f ca="1">IFERROR(_xlfn.STDEV.S(OFFSET(Tabla3[[#This Row],[Close]],-29,0,30)),"")</f>
        <v>50.309434447763508</v>
      </c>
    </row>
    <row r="2206" spans="1:12" x14ac:dyDescent="0.3">
      <c r="A2206" s="1">
        <v>45608</v>
      </c>
      <c r="B2206" s="3">
        <f>YEAR(Tabla3[[#This Row],[Date]])</f>
        <v>2024</v>
      </c>
      <c r="C2206" s="1" t="str">
        <f>+TEXT(Tabla3[[#This Row],[Date]],"mmm")</f>
        <v>nov</v>
      </c>
      <c r="D2206" s="2">
        <v>2600</v>
      </c>
      <c r="E2206" s="2">
        <v>2600</v>
      </c>
      <c r="F2206" s="2">
        <v>2605.5</v>
      </c>
      <c r="G2206" s="2">
        <v>2592.80004882812</v>
      </c>
      <c r="H2206" s="2">
        <v>2605.5</v>
      </c>
      <c r="I2206">
        <v>118</v>
      </c>
      <c r="J2206" s="2">
        <f ca="1">IFERROR((Tabla3[[#This Row],[Close]]-OFFSET(Tabla3[[#This Row],[Close]],-1,0))/OFFSET(Tabla3[[#This Row],[Close]],-1,0),"")</f>
        <v>-4.2891970669820274E-3</v>
      </c>
      <c r="K2206" s="2">
        <f ca="1">IFERROR(AVERAGE(OFFSET(Tabla3[[#This Row],[Close]],-6,0,7)),"")</f>
        <v>2677.3000139508913</v>
      </c>
      <c r="L2206" s="2">
        <f ca="1">IFERROR(_xlfn.STDEV.S(OFFSET(Tabla3[[#This Row],[Close]],-29,0,30)),"")</f>
        <v>52.831481214430198</v>
      </c>
    </row>
    <row r="2207" spans="1:12" x14ac:dyDescent="0.3">
      <c r="A2207" s="1">
        <v>45609</v>
      </c>
      <c r="B2207" s="3">
        <f>YEAR(Tabla3[[#This Row],[Date]])</f>
        <v>2024</v>
      </c>
      <c r="C2207" s="1" t="str">
        <f>+TEXT(Tabla3[[#This Row],[Date]],"mmm")</f>
        <v>nov</v>
      </c>
      <c r="D2207" s="2">
        <v>2580.80004882812</v>
      </c>
      <c r="E2207" s="2">
        <v>2580.80004882812</v>
      </c>
      <c r="F2207" s="2">
        <v>2611.80004882812</v>
      </c>
      <c r="G2207" s="2">
        <v>2580.80004882812</v>
      </c>
      <c r="H2207" s="2">
        <v>2611.10009765625</v>
      </c>
      <c r="I2207">
        <v>53</v>
      </c>
      <c r="J2207" s="2">
        <f ca="1">IFERROR((Tabla3[[#This Row],[Close]]-OFFSET(Tabla3[[#This Row],[Close]],-1,0))/OFFSET(Tabla3[[#This Row],[Close]],-1,0),"")</f>
        <v>-7.3845966045692317E-3</v>
      </c>
      <c r="K2207" s="2">
        <f ca="1">IFERROR(AVERAGE(OFFSET(Tabla3[[#This Row],[Close]],-6,0,7)),"")</f>
        <v>2655.1142926897301</v>
      </c>
      <c r="L2207" s="2">
        <f ca="1">IFERROR(_xlfn.STDEV.S(OFFSET(Tabla3[[#This Row],[Close]],-29,0,30)),"")</f>
        <v>55.922460491410007</v>
      </c>
    </row>
    <row r="2208" spans="1:12" x14ac:dyDescent="0.3">
      <c r="A2208" s="1">
        <v>45610</v>
      </c>
      <c r="B2208" s="3">
        <f>YEAR(Tabla3[[#This Row],[Date]])</f>
        <v>2024</v>
      </c>
      <c r="C2208" s="1" t="str">
        <f>+TEXT(Tabla3[[#This Row],[Date]],"mmm")</f>
        <v>nov</v>
      </c>
      <c r="D2208" s="2">
        <v>2568.19995117187</v>
      </c>
      <c r="E2208" s="2">
        <v>2568.19995117187</v>
      </c>
      <c r="F2208" s="2">
        <v>2576.19995117187</v>
      </c>
      <c r="G2208" s="2">
        <v>2554.19995117187</v>
      </c>
      <c r="H2208" s="2">
        <v>2555.10009765625</v>
      </c>
      <c r="I2208">
        <v>27</v>
      </c>
      <c r="J2208" s="2">
        <f ca="1">IFERROR((Tabla3[[#This Row],[Close]]-OFFSET(Tabla3[[#This Row],[Close]],-1,0))/OFFSET(Tabla3[[#This Row],[Close]],-1,0),"")</f>
        <v>-4.8822448147315426E-3</v>
      </c>
      <c r="K2208" s="2">
        <f ca="1">IFERROR(AVERAGE(OFFSET(Tabla3[[#This Row],[Close]],-6,0,7)),"")</f>
        <v>2630.5285644531227</v>
      </c>
      <c r="L2208" s="2">
        <f ca="1">IFERROR(_xlfn.STDEV.S(OFFSET(Tabla3[[#This Row],[Close]],-29,0,30)),"")</f>
        <v>59.750958331139273</v>
      </c>
    </row>
    <row r="2209" spans="1:12" x14ac:dyDescent="0.3">
      <c r="A2209" s="1">
        <v>45611</v>
      </c>
      <c r="B2209" s="3">
        <f>YEAR(Tabla3[[#This Row],[Date]])</f>
        <v>2024</v>
      </c>
      <c r="C2209" s="1" t="str">
        <f>+TEXT(Tabla3[[#This Row],[Date]],"mmm")</f>
        <v>nov</v>
      </c>
      <c r="D2209" s="2">
        <v>2565.69995117187</v>
      </c>
      <c r="E2209" s="2">
        <v>2565.69995117187</v>
      </c>
      <c r="F2209" s="2">
        <v>2565.69995117187</v>
      </c>
      <c r="G2209" s="2">
        <v>2565.69995117187</v>
      </c>
      <c r="H2209" s="2">
        <v>2565.69995117187</v>
      </c>
      <c r="I2209">
        <v>20</v>
      </c>
      <c r="J2209" s="2">
        <f ca="1">IFERROR((Tabla3[[#This Row],[Close]]-OFFSET(Tabla3[[#This Row],[Close]],-1,0))/OFFSET(Tabla3[[#This Row],[Close]],-1,0),"")</f>
        <v>-9.7344445429930397E-4</v>
      </c>
      <c r="K2209" s="2">
        <f ca="1">IFERROR(AVERAGE(OFFSET(Tabla3[[#This Row],[Close]],-6,0,7)),"")</f>
        <v>2615.9714006696399</v>
      </c>
      <c r="L2209" s="2">
        <f ca="1">IFERROR(_xlfn.STDEV.S(OFFSET(Tabla3[[#This Row],[Close]],-29,0,30)),"")</f>
        <v>63.180314281271826</v>
      </c>
    </row>
    <row r="2210" spans="1:12" x14ac:dyDescent="0.3">
      <c r="A2210" s="1">
        <v>45614</v>
      </c>
      <c r="B2210" s="3">
        <f>YEAR(Tabla3[[#This Row],[Date]])</f>
        <v>2024</v>
      </c>
      <c r="C2210" s="1" t="str">
        <f>+TEXT(Tabla3[[#This Row],[Date]],"mmm")</f>
        <v>nov</v>
      </c>
      <c r="D2210" s="2">
        <v>2610.60009765625</v>
      </c>
      <c r="E2210" s="2">
        <v>2610.60009765625</v>
      </c>
      <c r="F2210" s="2">
        <v>2610.69995117187</v>
      </c>
      <c r="G2210" s="2">
        <v>2589.39990234375</v>
      </c>
      <c r="H2210" s="2">
        <v>2591.69995117187</v>
      </c>
      <c r="I2210">
        <v>136</v>
      </c>
      <c r="J2210" s="2">
        <f ca="1">IFERROR((Tabla3[[#This Row],[Close]]-OFFSET(Tabla3[[#This Row],[Close]],-1,0))/OFFSET(Tabla3[[#This Row],[Close]],-1,0),"")</f>
        <v>1.7500154865681818E-2</v>
      </c>
      <c r="K2210" s="2">
        <f ca="1">IFERROR(AVERAGE(OFFSET(Tabla3[[#This Row],[Close]],-6,0,7)),"")</f>
        <v>2603.4285714285684</v>
      </c>
      <c r="L2210" s="2">
        <f ca="1">IFERROR(_xlfn.STDEV.S(OFFSET(Tabla3[[#This Row],[Close]],-29,0,30)),"")</f>
        <v>64.15204594472533</v>
      </c>
    </row>
    <row r="2211" spans="1:12" x14ac:dyDescent="0.3">
      <c r="A2211" s="1">
        <v>45615</v>
      </c>
      <c r="B2211" s="3">
        <f>YEAR(Tabla3[[#This Row],[Date]])</f>
        <v>2024</v>
      </c>
      <c r="C2211" s="1" t="str">
        <f>+TEXT(Tabla3[[#This Row],[Date]],"mmm")</f>
        <v>nov</v>
      </c>
      <c r="D2211" s="2">
        <v>2627.10009765625</v>
      </c>
      <c r="E2211" s="2">
        <v>2627.10009765625</v>
      </c>
      <c r="F2211" s="2">
        <v>2627.69995117187</v>
      </c>
      <c r="G2211" s="2">
        <v>2619.30004882812</v>
      </c>
      <c r="H2211" s="2">
        <v>2621.89990234375</v>
      </c>
      <c r="I2211">
        <v>87</v>
      </c>
      <c r="J2211" s="2">
        <f ca="1">IFERROR((Tabla3[[#This Row],[Close]]-OFFSET(Tabla3[[#This Row],[Close]],-1,0))/OFFSET(Tabla3[[#This Row],[Close]],-1,0),"")</f>
        <v>6.3203858817033696E-3</v>
      </c>
      <c r="K2211" s="2">
        <f ca="1">IFERROR(AVERAGE(OFFSET(Tabla3[[#This Row],[Close]],-6,0,7)),"")</f>
        <v>2594.8000139508899</v>
      </c>
      <c r="L2211" s="2">
        <f ca="1">IFERROR(_xlfn.STDEV.S(OFFSET(Tabla3[[#This Row],[Close]],-29,0,30)),"")</f>
        <v>63.768846123908119</v>
      </c>
    </row>
    <row r="2212" spans="1:12" x14ac:dyDescent="0.3">
      <c r="A2212" s="1">
        <v>45616</v>
      </c>
      <c r="B2212" s="3">
        <f>YEAR(Tabla3[[#This Row],[Date]])</f>
        <v>2024</v>
      </c>
      <c r="C2212" s="1" t="str">
        <f>+TEXT(Tabla3[[#This Row],[Date]],"mmm")</f>
        <v>nov</v>
      </c>
      <c r="D2212" s="2">
        <v>2648.19995117187</v>
      </c>
      <c r="E2212" s="2">
        <v>2648.19995117187</v>
      </c>
      <c r="F2212" s="2">
        <v>2648.19995117187</v>
      </c>
      <c r="G2212" s="2">
        <v>2638.5</v>
      </c>
      <c r="H2212" s="2">
        <v>2638.5</v>
      </c>
      <c r="I2212">
        <v>27</v>
      </c>
      <c r="J2212" s="2">
        <f ca="1">IFERROR((Tabla3[[#This Row],[Close]]-OFFSET(Tabla3[[#This Row],[Close]],-1,0))/OFFSET(Tabla3[[#This Row],[Close]],-1,0),"")</f>
        <v>8.0316138446510244E-3</v>
      </c>
      <c r="K2212" s="2">
        <f ca="1">IFERROR(AVERAGE(OFFSET(Tabla3[[#This Row],[Close]],-6,0,7)),"")</f>
        <v>2600.0857282366042</v>
      </c>
      <c r="L2212" s="2">
        <f ca="1">IFERROR(_xlfn.STDEV.S(OFFSET(Tabla3[[#This Row],[Close]],-29,0,30)),"")</f>
        <v>62.533839330623678</v>
      </c>
    </row>
    <row r="2213" spans="1:12" x14ac:dyDescent="0.3">
      <c r="A2213" s="1">
        <v>45617</v>
      </c>
      <c r="B2213" s="3">
        <f>YEAR(Tabla3[[#This Row],[Date]])</f>
        <v>2024</v>
      </c>
      <c r="C2213" s="1" t="str">
        <f>+TEXT(Tabla3[[#This Row],[Date]],"mmm")</f>
        <v>nov</v>
      </c>
      <c r="D2213" s="2">
        <v>2672.10009765625</v>
      </c>
      <c r="E2213" s="2">
        <v>2672.10009765625</v>
      </c>
      <c r="F2213" s="2">
        <v>2672.10009765625</v>
      </c>
      <c r="G2213" s="2">
        <v>2655.69995117187</v>
      </c>
      <c r="H2213" s="2">
        <v>2659.30004882812</v>
      </c>
      <c r="I2213">
        <v>33</v>
      </c>
      <c r="J2213" s="2">
        <f ca="1">IFERROR((Tabla3[[#This Row],[Close]]-OFFSET(Tabla3[[#This Row],[Close]],-1,0))/OFFSET(Tabla3[[#This Row],[Close]],-1,0),"")</f>
        <v>9.0250535930279027E-3</v>
      </c>
      <c r="K2213" s="2">
        <f ca="1">IFERROR(AVERAGE(OFFSET(Tabla3[[#This Row],[Close]],-6,0,7)),"")</f>
        <v>2610.3857421874968</v>
      </c>
      <c r="L2213" s="2">
        <f ca="1">IFERROR(_xlfn.STDEV.S(OFFSET(Tabla3[[#This Row],[Close]],-29,0,30)),"")</f>
        <v>61.505649448025913</v>
      </c>
    </row>
    <row r="2214" spans="1:12" x14ac:dyDescent="0.3">
      <c r="A2214" s="1">
        <v>45618</v>
      </c>
      <c r="B2214" s="3">
        <f>YEAR(Tabla3[[#This Row],[Date]])</f>
        <v>2024</v>
      </c>
      <c r="C2214" s="1" t="str">
        <f>+TEXT(Tabla3[[#This Row],[Date]],"mmm")</f>
        <v>nov</v>
      </c>
      <c r="D2214" s="2">
        <v>2709.89990234375</v>
      </c>
      <c r="E2214" s="2">
        <v>2709.89990234375</v>
      </c>
      <c r="F2214" s="2">
        <v>2710.5</v>
      </c>
      <c r="G2214" s="2">
        <v>2685.60009765625</v>
      </c>
      <c r="H2214" s="2">
        <v>2687.5</v>
      </c>
      <c r="I2214">
        <v>41</v>
      </c>
      <c r="J2214" s="2">
        <f ca="1">IFERROR((Tabla3[[#This Row],[Close]]-OFFSET(Tabla3[[#This Row],[Close]],-1,0))/OFFSET(Tabla3[[#This Row],[Close]],-1,0),"")</f>
        <v>1.4146103553775897E-2</v>
      </c>
      <c r="K2214" s="2">
        <f ca="1">IFERROR(AVERAGE(OFFSET(Tabla3[[#This Row],[Close]],-6,0,7)),"")</f>
        <v>2628.8285784040158</v>
      </c>
      <c r="L2214" s="2">
        <f ca="1">IFERROR(_xlfn.STDEV.S(OFFSET(Tabla3[[#This Row],[Close]],-29,0,30)),"")</f>
        <v>61.498660841491173</v>
      </c>
    </row>
    <row r="2215" spans="1:12" x14ac:dyDescent="0.3">
      <c r="A2215" s="1">
        <v>45621</v>
      </c>
      <c r="B2215" s="3">
        <f>YEAR(Tabla3[[#This Row],[Date]])</f>
        <v>2024</v>
      </c>
      <c r="C2215" s="1" t="str">
        <f>+TEXT(Tabla3[[#This Row],[Date]],"mmm")</f>
        <v>nov</v>
      </c>
      <c r="D2215" s="2">
        <v>2616.80004882812</v>
      </c>
      <c r="E2215" s="2">
        <v>2616.80004882812</v>
      </c>
      <c r="F2215" s="2">
        <v>2689.39990234375</v>
      </c>
      <c r="G2215" s="2">
        <v>2616.80004882812</v>
      </c>
      <c r="H2215" s="2">
        <v>2689.39990234375</v>
      </c>
      <c r="I2215">
        <v>94</v>
      </c>
      <c r="J2215" s="2">
        <f ca="1">IFERROR((Tabla3[[#This Row],[Close]]-OFFSET(Tabla3[[#This Row],[Close]],-1,0))/OFFSET(Tabla3[[#This Row],[Close]],-1,0),"")</f>
        <v>-3.4355458456273386E-2</v>
      </c>
      <c r="K2215" s="2">
        <f ca="1">IFERROR(AVERAGE(OFFSET(Tabla3[[#This Row],[Close]],-6,0,7)),"")</f>
        <v>2635.7714494977658</v>
      </c>
      <c r="L2215" s="2">
        <f ca="1">IFERROR(_xlfn.STDEV.S(OFFSET(Tabla3[[#This Row],[Close]],-29,0,30)),"")</f>
        <v>62.396716455740247</v>
      </c>
    </row>
    <row r="2216" spans="1:12" x14ac:dyDescent="0.3">
      <c r="A2216" s="1">
        <v>45622</v>
      </c>
      <c r="B2216" s="3">
        <f>YEAR(Tabla3[[#This Row],[Date]])</f>
        <v>2024</v>
      </c>
      <c r="C2216" s="1" t="str">
        <f>+TEXT(Tabla3[[#This Row],[Date]],"mmm")</f>
        <v>nov</v>
      </c>
      <c r="D2216" s="2">
        <v>2620.30004882812</v>
      </c>
      <c r="E2216" s="2">
        <v>2620.30004882812</v>
      </c>
      <c r="F2216" s="2">
        <v>2625.60009765625</v>
      </c>
      <c r="G2216" s="2">
        <v>2620.30004882812</v>
      </c>
      <c r="H2216" s="2">
        <v>2625.60009765625</v>
      </c>
      <c r="I2216">
        <v>177858</v>
      </c>
      <c r="J2216" s="2">
        <f ca="1">IFERROR((Tabla3[[#This Row],[Close]]-OFFSET(Tabla3[[#This Row],[Close]],-1,0))/OFFSET(Tabla3[[#This Row],[Close]],-1,0),"")</f>
        <v>1.3375114394267161E-3</v>
      </c>
      <c r="K2216" s="2">
        <f ca="1">IFERROR(AVERAGE(OFFSET(Tabla3[[#This Row],[Close]],-6,0,7)),"")</f>
        <v>2643.5714634486585</v>
      </c>
      <c r="L2216" s="2">
        <f ca="1">IFERROR(_xlfn.STDEV.S(OFFSET(Tabla3[[#This Row],[Close]],-29,0,30)),"")</f>
        <v>63.3500185862598</v>
      </c>
    </row>
    <row r="2217" spans="1:12" x14ac:dyDescent="0.3">
      <c r="A2217" s="1">
        <v>45623</v>
      </c>
      <c r="B2217" s="3">
        <f>YEAR(Tabla3[[#This Row],[Date]])</f>
        <v>2024</v>
      </c>
      <c r="C2217" s="1" t="str">
        <f>+TEXT(Tabla3[[#This Row],[Date]],"mmm")</f>
        <v>nov</v>
      </c>
      <c r="D2217" s="2">
        <v>2639.89990234375</v>
      </c>
      <c r="E2217" s="2">
        <v>2639.89990234375</v>
      </c>
      <c r="F2217" s="2">
        <v>2657.89990234375</v>
      </c>
      <c r="G2217" s="2">
        <v>2627.19995117187</v>
      </c>
      <c r="H2217" s="2">
        <v>2633.5</v>
      </c>
      <c r="I2217">
        <v>61653</v>
      </c>
      <c r="J2217" s="2">
        <f ca="1">IFERROR((Tabla3[[#This Row],[Close]]-OFFSET(Tabla3[[#This Row],[Close]],-1,0))/OFFSET(Tabla3[[#This Row],[Close]],-1,0),"")</f>
        <v>7.4800034921175037E-3</v>
      </c>
      <c r="K2217" s="2">
        <f ca="1">IFERROR(AVERAGE(OFFSET(Tabla3[[#This Row],[Close]],-6,0,7)),"")</f>
        <v>2647.7571498325874</v>
      </c>
      <c r="L2217" s="2">
        <f ca="1">IFERROR(_xlfn.STDEV.S(OFFSET(Tabla3[[#This Row],[Close]],-29,0,30)),"")</f>
        <v>63.811231068456806</v>
      </c>
    </row>
    <row r="2218" spans="1:12" x14ac:dyDescent="0.3">
      <c r="A2218" s="1">
        <v>45625</v>
      </c>
      <c r="B2218" s="3">
        <f>YEAR(Tabla3[[#This Row],[Date]])</f>
        <v>2024</v>
      </c>
      <c r="C2218" s="1" t="str">
        <f>+TEXT(Tabla3[[#This Row],[Date]],"mmm")</f>
        <v>nov</v>
      </c>
      <c r="D2218" s="2">
        <v>2657</v>
      </c>
      <c r="E2218" s="2">
        <v>2657</v>
      </c>
      <c r="F2218" s="2">
        <v>2664.30004882812</v>
      </c>
      <c r="G2218" s="2">
        <v>2620.69995117187</v>
      </c>
      <c r="H2218" s="2">
        <v>2636.39990234375</v>
      </c>
      <c r="I2218">
        <v>3861</v>
      </c>
      <c r="J2218" s="2">
        <f ca="1">IFERROR((Tabla3[[#This Row],[Close]]-OFFSET(Tabla3[[#This Row],[Close]],-1,0))/OFFSET(Tabla3[[#This Row],[Close]],-1,0),"")</f>
        <v>6.4775553198317213E-3</v>
      </c>
      <c r="K2218" s="2">
        <f ca="1">IFERROR(AVERAGE(OFFSET(Tabla3[[#This Row],[Close]],-6,0,7)),"")</f>
        <v>2652.0285644531227</v>
      </c>
      <c r="L2218" s="2">
        <f ca="1">IFERROR(_xlfn.STDEV.S(OFFSET(Tabla3[[#This Row],[Close]],-29,0,30)),"")</f>
        <v>63.935190633339637</v>
      </c>
    </row>
    <row r="2219" spans="1:12" x14ac:dyDescent="0.3">
      <c r="A2219" s="1">
        <v>45628</v>
      </c>
      <c r="B2219" s="3">
        <f>YEAR(Tabla3[[#This Row],[Date]])</f>
        <v>2024</v>
      </c>
      <c r="C2219" s="1" t="str">
        <f>+TEXT(Tabla3[[#This Row],[Date]],"mmm")</f>
        <v>dic</v>
      </c>
      <c r="D2219" s="2">
        <v>2634.89990234375</v>
      </c>
      <c r="E2219" s="2">
        <v>2634.89990234375</v>
      </c>
      <c r="F2219" s="2">
        <v>2649.80004882812</v>
      </c>
      <c r="G2219" s="2">
        <v>2621.69995117187</v>
      </c>
      <c r="H2219" s="2">
        <v>2649</v>
      </c>
      <c r="I2219">
        <v>695</v>
      </c>
      <c r="J2219" s="2">
        <f ca="1">IFERROR((Tabla3[[#This Row],[Close]]-OFFSET(Tabla3[[#This Row],[Close]],-1,0))/OFFSET(Tabla3[[#This Row],[Close]],-1,0),"")</f>
        <v>-8.3176882409672567E-3</v>
      </c>
      <c r="K2219" s="2">
        <f ca="1">IFERROR(AVERAGE(OFFSET(Tabla3[[#This Row],[Close]],-6,0,7)),"")</f>
        <v>2650.1285574776771</v>
      </c>
      <c r="L2219" s="2">
        <f ca="1">IFERROR(_xlfn.STDEV.S(OFFSET(Tabla3[[#This Row],[Close]],-29,0,30)),"")</f>
        <v>64.129265432771732</v>
      </c>
    </row>
    <row r="2220" spans="1:12" x14ac:dyDescent="0.3">
      <c r="A2220" s="1">
        <v>45629</v>
      </c>
      <c r="B2220" s="3">
        <f>YEAR(Tabla3[[#This Row],[Date]])</f>
        <v>2024</v>
      </c>
      <c r="C2220" s="1" t="str">
        <f>+TEXT(Tabla3[[#This Row],[Date]],"mmm")</f>
        <v>dic</v>
      </c>
      <c r="D2220" s="2">
        <v>2644.69995117187</v>
      </c>
      <c r="E2220" s="2">
        <v>2644.69995117187</v>
      </c>
      <c r="F2220" s="2">
        <v>2654.69995117187</v>
      </c>
      <c r="G2220" s="2">
        <v>2636</v>
      </c>
      <c r="H2220" s="2">
        <v>2639</v>
      </c>
      <c r="I2220">
        <v>1062</v>
      </c>
      <c r="J2220" s="2">
        <f ca="1">IFERROR((Tabla3[[#This Row],[Close]]-OFFSET(Tabla3[[#This Row],[Close]],-1,0))/OFFSET(Tabla3[[#This Row],[Close]],-1,0),"")</f>
        <v>3.7193249046777186E-3</v>
      </c>
      <c r="K2220" s="2">
        <f ca="1">IFERROR(AVERAGE(OFFSET(Tabla3[[#This Row],[Close]],-6,0,7)),"")</f>
        <v>2646.2142508370516</v>
      </c>
      <c r="L2220" s="2">
        <f ca="1">IFERROR(_xlfn.STDEV.S(OFFSET(Tabla3[[#This Row],[Close]],-29,0,30)),"")</f>
        <v>63.806094471131985</v>
      </c>
    </row>
    <row r="2221" spans="1:12" x14ac:dyDescent="0.3">
      <c r="A2221" s="1">
        <v>45630</v>
      </c>
      <c r="B2221" s="3">
        <f>YEAR(Tabla3[[#This Row],[Date]])</f>
        <v>2024</v>
      </c>
      <c r="C2221" s="1" t="str">
        <f>+TEXT(Tabla3[[#This Row],[Date]],"mmm")</f>
        <v>dic</v>
      </c>
      <c r="D2221" s="2">
        <v>2653.80004882812</v>
      </c>
      <c r="E2221" s="2">
        <v>2653.80004882812</v>
      </c>
      <c r="F2221" s="2">
        <v>2658.30004882812</v>
      </c>
      <c r="G2221" s="2">
        <v>2637</v>
      </c>
      <c r="H2221" s="2">
        <v>2639.19995117187</v>
      </c>
      <c r="I2221">
        <v>249</v>
      </c>
      <c r="J2221" s="2">
        <f ca="1">IFERROR((Tabla3[[#This Row],[Close]]-OFFSET(Tabla3[[#This Row],[Close]],-1,0))/OFFSET(Tabla3[[#This Row],[Close]],-1,0),"")</f>
        <v>3.4408809408484069E-3</v>
      </c>
      <c r="K2221" s="2">
        <f ca="1">IFERROR(AVERAGE(OFFSET(Tabla3[[#This Row],[Close]],-6,0,7)),"")</f>
        <v>2638.1999860491042</v>
      </c>
      <c r="L2221" s="2">
        <f ca="1">IFERROR(_xlfn.STDEV.S(OFFSET(Tabla3[[#This Row],[Close]],-29,0,30)),"")</f>
        <v>62.54489926132694</v>
      </c>
    </row>
    <row r="2222" spans="1:12" x14ac:dyDescent="0.3">
      <c r="A2222" s="1">
        <v>45631</v>
      </c>
      <c r="B2222" s="3">
        <f>YEAR(Tabla3[[#This Row],[Date]])</f>
        <v>2024</v>
      </c>
      <c r="C2222" s="1" t="str">
        <f>+TEXT(Tabla3[[#This Row],[Date]],"mmm")</f>
        <v>dic</v>
      </c>
      <c r="D2222" s="2">
        <v>2626.60009765625</v>
      </c>
      <c r="E2222" s="2">
        <v>2626.60009765625</v>
      </c>
      <c r="F2222" s="2">
        <v>2655</v>
      </c>
      <c r="G2222" s="2">
        <v>2625.69995117187</v>
      </c>
      <c r="H2222" s="2">
        <v>2652.39990234375</v>
      </c>
      <c r="I2222">
        <v>573</v>
      </c>
      <c r="J2222" s="2">
        <f ca="1">IFERROR((Tabla3[[#This Row],[Close]]-OFFSET(Tabla3[[#This Row],[Close]],-1,0))/OFFSET(Tabla3[[#This Row],[Close]],-1,0),"")</f>
        <v>-1.0249435025777886E-2</v>
      </c>
      <c r="K2222" s="2">
        <f ca="1">IFERROR(AVERAGE(OFFSET(Tabla3[[#This Row],[Close]],-6,0,7)),"")</f>
        <v>2639.5999930245516</v>
      </c>
      <c r="L2222" s="2">
        <f ca="1">IFERROR(_xlfn.STDEV.S(OFFSET(Tabla3[[#This Row],[Close]],-29,0,30)),"")</f>
        <v>62.543446813195374</v>
      </c>
    </row>
    <row r="2223" spans="1:12" x14ac:dyDescent="0.3">
      <c r="A2223" s="1">
        <v>45632</v>
      </c>
      <c r="B2223" s="3">
        <f>YEAR(Tabla3[[#This Row],[Date]])</f>
        <v>2024</v>
      </c>
      <c r="C2223" s="1" t="str">
        <f>+TEXT(Tabla3[[#This Row],[Date]],"mmm")</f>
        <v>dic</v>
      </c>
      <c r="D2223" s="2">
        <v>2638.60009765625</v>
      </c>
      <c r="E2223" s="2">
        <v>2638.60009765625</v>
      </c>
      <c r="F2223" s="2">
        <v>2643.10009765625</v>
      </c>
      <c r="G2223" s="2">
        <v>2617.5</v>
      </c>
      <c r="H2223" s="2">
        <v>2620.19995117187</v>
      </c>
      <c r="I2223">
        <v>571</v>
      </c>
      <c r="J2223" s="2">
        <f ca="1">IFERROR((Tabla3[[#This Row],[Close]]-OFFSET(Tabla3[[#This Row],[Close]],-1,0))/OFFSET(Tabla3[[#This Row],[Close]],-1,0),"")</f>
        <v>4.5686437043491162E-3</v>
      </c>
      <c r="K2223" s="2">
        <f ca="1">IFERROR(AVERAGE(OFFSET(Tabla3[[#This Row],[Close]],-6,0,7)),"")</f>
        <v>2642.214285714284</v>
      </c>
      <c r="L2223" s="2">
        <f ca="1">IFERROR(_xlfn.STDEV.S(OFFSET(Tabla3[[#This Row],[Close]],-29,0,30)),"")</f>
        <v>61.507588068575423</v>
      </c>
    </row>
    <row r="2224" spans="1:12" x14ac:dyDescent="0.3">
      <c r="A2224" s="1">
        <v>45635</v>
      </c>
      <c r="B2224" s="3">
        <f>YEAR(Tabla3[[#This Row],[Date]])</f>
        <v>2024</v>
      </c>
      <c r="C2224" s="1" t="str">
        <f>+TEXT(Tabla3[[#This Row],[Date]],"mmm")</f>
        <v>dic</v>
      </c>
      <c r="D2224" s="2">
        <v>2664.89990234375</v>
      </c>
      <c r="E2224" s="2">
        <v>2664.89990234375</v>
      </c>
      <c r="F2224" s="2">
        <v>2677.10009765625</v>
      </c>
      <c r="G2224" s="2">
        <v>2630.80004882812</v>
      </c>
      <c r="H2224" s="2">
        <v>2632.10009765625</v>
      </c>
      <c r="I2224">
        <v>935</v>
      </c>
      <c r="J2224" s="2">
        <f ca="1">IFERROR((Tabla3[[#This Row],[Close]]-OFFSET(Tabla3[[#This Row],[Close]],-1,0))/OFFSET(Tabla3[[#This Row],[Close]],-1,0),"")</f>
        <v>9.9673325680768882E-3</v>
      </c>
      <c r="K2224" s="2">
        <f ca="1">IFERROR(AVERAGE(OFFSET(Tabla3[[#This Row],[Close]],-6,0,7)),"")</f>
        <v>2645.7857142857129</v>
      </c>
      <c r="L2224" s="2">
        <f ca="1">IFERROR(_xlfn.STDEV.S(OFFSET(Tabla3[[#This Row],[Close]],-29,0,30)),"")</f>
        <v>59.85041523098851</v>
      </c>
    </row>
    <row r="2225" spans="1:12" x14ac:dyDescent="0.3">
      <c r="A2225" s="1">
        <v>45636</v>
      </c>
      <c r="B2225" s="3">
        <f>YEAR(Tabla3[[#This Row],[Date]])</f>
        <v>2024</v>
      </c>
      <c r="C2225" s="1" t="str">
        <f>+TEXT(Tabla3[[#This Row],[Date]],"mmm")</f>
        <v>dic</v>
      </c>
      <c r="D2225" s="2">
        <v>2697.60009765625</v>
      </c>
      <c r="E2225" s="2">
        <v>2697.60009765625</v>
      </c>
      <c r="F2225" s="2">
        <v>2698.19995117187</v>
      </c>
      <c r="G2225" s="2">
        <v>2661</v>
      </c>
      <c r="H2225" s="2">
        <v>2662.30004882812</v>
      </c>
      <c r="I2225">
        <v>437</v>
      </c>
      <c r="J2225" s="2">
        <f ca="1">IFERROR((Tabla3[[#This Row],[Close]]-OFFSET(Tabla3[[#This Row],[Close]],-1,0))/OFFSET(Tabla3[[#This Row],[Close]],-1,0),"")</f>
        <v>1.2270703032312973E-2</v>
      </c>
      <c r="K2225" s="2">
        <f ca="1">IFERROR(AVERAGE(OFFSET(Tabla3[[#This Row],[Close]],-6,0,7)),"")</f>
        <v>2651.5857282366055</v>
      </c>
      <c r="L2225" s="2">
        <f ca="1">IFERROR(_xlfn.STDEV.S(OFFSET(Tabla3[[#This Row],[Close]],-29,0,30)),"")</f>
        <v>58.323923697585165</v>
      </c>
    </row>
    <row r="2226" spans="1:12" x14ac:dyDescent="0.3">
      <c r="A2226" s="1">
        <v>45637</v>
      </c>
      <c r="B2226" s="3">
        <f>YEAR(Tabla3[[#This Row],[Date]])</f>
        <v>2024</v>
      </c>
      <c r="C2226" s="1" t="str">
        <f>+TEXT(Tabla3[[#This Row],[Date]],"mmm")</f>
        <v>dic</v>
      </c>
      <c r="D2226" s="2">
        <v>2733.80004882812</v>
      </c>
      <c r="E2226" s="2">
        <v>2733.80004882812</v>
      </c>
      <c r="F2226" s="2">
        <v>2733.80004882812</v>
      </c>
      <c r="G2226" s="2">
        <v>2693.10009765625</v>
      </c>
      <c r="H2226" s="2">
        <v>2701.80004882812</v>
      </c>
      <c r="I2226">
        <v>3387</v>
      </c>
      <c r="J2226" s="2">
        <f ca="1">IFERROR((Tabla3[[#This Row],[Close]]-OFFSET(Tabla3[[#This Row],[Close]],-1,0))/OFFSET(Tabla3[[#This Row],[Close]],-1,0),"")</f>
        <v>1.3419317119435725E-2</v>
      </c>
      <c r="K2226" s="2">
        <f ca="1">IFERROR(AVERAGE(OFFSET(Tabla3[[#This Row],[Close]],-6,0,7)),"")</f>
        <v>2665.7143205915158</v>
      </c>
      <c r="L2226" s="2">
        <f ca="1">IFERROR(_xlfn.STDEV.S(OFFSET(Tabla3[[#This Row],[Close]],-29,0,30)),"")</f>
        <v>56.454454182363278</v>
      </c>
    </row>
    <row r="2227" spans="1:12" x14ac:dyDescent="0.3">
      <c r="A2227" s="1">
        <v>45638</v>
      </c>
      <c r="B2227" s="3">
        <f>YEAR(Tabla3[[#This Row],[Date]])</f>
        <v>2024</v>
      </c>
      <c r="C2227" s="1" t="str">
        <f>+TEXT(Tabla3[[#This Row],[Date]],"mmm")</f>
        <v>dic</v>
      </c>
      <c r="D2227" s="2">
        <v>2687.5</v>
      </c>
      <c r="E2227" s="2">
        <v>2687.5</v>
      </c>
      <c r="F2227" s="2">
        <v>2725.10009765625</v>
      </c>
      <c r="G2227" s="2">
        <v>2677.39990234375</v>
      </c>
      <c r="H2227" s="2">
        <v>2725.10009765625</v>
      </c>
      <c r="I2227">
        <v>2365</v>
      </c>
      <c r="J2227" s="2">
        <f ca="1">IFERROR((Tabla3[[#This Row],[Close]]-OFFSET(Tabla3[[#This Row],[Close]],-1,0))/OFFSET(Tabla3[[#This Row],[Close]],-1,0),"")</f>
        <v>-1.6936150413768239E-2</v>
      </c>
      <c r="K2227" s="2">
        <f ca="1">IFERROR(AVERAGE(OFFSET(Tabla3[[#This Row],[Close]],-6,0,7)),"")</f>
        <v>2671.8286132812486</v>
      </c>
      <c r="L2227" s="2">
        <f ca="1">IFERROR(_xlfn.STDEV.S(OFFSET(Tabla3[[#This Row],[Close]],-29,0,30)),"")</f>
        <v>51.344417306660603</v>
      </c>
    </row>
    <row r="2228" spans="1:12" x14ac:dyDescent="0.3">
      <c r="A2228" s="1">
        <v>45639</v>
      </c>
      <c r="B2228" s="3">
        <f>YEAR(Tabla3[[#This Row],[Date]])</f>
        <v>2024</v>
      </c>
      <c r="C2228" s="1" t="str">
        <f>+TEXT(Tabla3[[#This Row],[Date]],"mmm")</f>
        <v>dic</v>
      </c>
      <c r="D2228" s="2">
        <v>2656</v>
      </c>
      <c r="E2228" s="2">
        <v>2656</v>
      </c>
      <c r="F2228" s="2">
        <v>2689.30004882812</v>
      </c>
      <c r="G2228" s="2">
        <v>2647.89990234375</v>
      </c>
      <c r="H2228" s="2">
        <v>2688.19995117187</v>
      </c>
      <c r="I2228">
        <v>1125</v>
      </c>
      <c r="J2228" s="2">
        <f ca="1">IFERROR((Tabla3[[#This Row],[Close]]-OFFSET(Tabla3[[#This Row],[Close]],-1,0))/OFFSET(Tabla3[[#This Row],[Close]],-1,0),"")</f>
        <v>-1.172093023255814E-2</v>
      </c>
      <c r="K2228" s="2">
        <f ca="1">IFERROR(AVERAGE(OFFSET(Tabla3[[#This Row],[Close]],-6,0,7)),"")</f>
        <v>2672.1428920200883</v>
      </c>
      <c r="L2228" s="2">
        <f ca="1">IFERROR(_xlfn.STDEV.S(OFFSET(Tabla3[[#This Row],[Close]],-29,0,30)),"")</f>
        <v>49.009204376902822</v>
      </c>
    </row>
    <row r="2229" spans="1:12" x14ac:dyDescent="0.3">
      <c r="A2229" s="1">
        <v>45642</v>
      </c>
      <c r="B2229" s="3">
        <f>YEAR(Tabla3[[#This Row],[Date]])</f>
        <v>2024</v>
      </c>
      <c r="C2229" s="1" t="str">
        <f>+TEXT(Tabla3[[#This Row],[Date]],"mmm")</f>
        <v>dic</v>
      </c>
      <c r="D2229" s="2">
        <v>2651.39990234375</v>
      </c>
      <c r="E2229" s="2">
        <v>2651.39990234375</v>
      </c>
      <c r="F2229" s="2">
        <v>2663.30004882812</v>
      </c>
      <c r="G2229" s="2">
        <v>2651</v>
      </c>
      <c r="H2229" s="2">
        <v>2658.30004882812</v>
      </c>
      <c r="I2229">
        <v>877</v>
      </c>
      <c r="J2229" s="2">
        <f ca="1">IFERROR((Tabla3[[#This Row],[Close]]-OFFSET(Tabla3[[#This Row],[Close]],-1,0))/OFFSET(Tabla3[[#This Row],[Close]],-1,0),"")</f>
        <v>-1.7319644790097892E-3</v>
      </c>
      <c r="K2229" s="2">
        <f ca="1">IFERROR(AVERAGE(OFFSET(Tabla3[[#This Row],[Close]],-6,0,7)),"")</f>
        <v>2675.6857212611599</v>
      </c>
      <c r="L2229" s="2">
        <f ca="1">IFERROR(_xlfn.STDEV.S(OFFSET(Tabla3[[#This Row],[Close]],-29,0,30)),"")</f>
        <v>46.363162234009998</v>
      </c>
    </row>
    <row r="2230" spans="1:12" x14ac:dyDescent="0.3">
      <c r="A2230" s="1">
        <v>45643</v>
      </c>
      <c r="B2230" s="3">
        <f>YEAR(Tabla3[[#This Row],[Date]])</f>
        <v>2024</v>
      </c>
      <c r="C2230" s="1" t="str">
        <f>+TEXT(Tabla3[[#This Row],[Date]],"mmm")</f>
        <v>dic</v>
      </c>
      <c r="D2230" s="2">
        <v>2644.39990234375</v>
      </c>
      <c r="E2230" s="2">
        <v>2644.39990234375</v>
      </c>
      <c r="F2230" s="2">
        <v>2652.30004882812</v>
      </c>
      <c r="G2230" s="2">
        <v>2632.5</v>
      </c>
      <c r="H2230" s="2">
        <v>2651.80004882812</v>
      </c>
      <c r="I2230">
        <v>705</v>
      </c>
      <c r="J2230" s="2">
        <f ca="1">IFERROR((Tabla3[[#This Row],[Close]]-OFFSET(Tabla3[[#This Row],[Close]],-1,0))/OFFSET(Tabla3[[#This Row],[Close]],-1,0),"")</f>
        <v>-2.6401147536485275E-3</v>
      </c>
      <c r="K2230" s="2">
        <f ca="1">IFERROR(AVERAGE(OFFSET(Tabla3[[#This Row],[Close]],-6,0,7)),"")</f>
        <v>2676.5142647879452</v>
      </c>
      <c r="L2230" s="2">
        <f ca="1">IFERROR(_xlfn.STDEV.S(OFFSET(Tabla3[[#This Row],[Close]],-29,0,30)),"")</f>
        <v>43.535543842464094</v>
      </c>
    </row>
    <row r="2231" spans="1:12" x14ac:dyDescent="0.3">
      <c r="A2231" s="1">
        <v>45644</v>
      </c>
      <c r="B2231" s="3">
        <f>YEAR(Tabla3[[#This Row],[Date]])</f>
        <v>2024</v>
      </c>
      <c r="C2231" s="1" t="str">
        <f>+TEXT(Tabla3[[#This Row],[Date]],"mmm")</f>
        <v>dic</v>
      </c>
      <c r="D2231" s="2">
        <v>2636.5</v>
      </c>
      <c r="E2231" s="2">
        <v>2636.5</v>
      </c>
      <c r="F2231" s="2">
        <v>2647.10009765625</v>
      </c>
      <c r="G2231" s="2">
        <v>2590.19995117187</v>
      </c>
      <c r="H2231" s="2">
        <v>2644.30004882812</v>
      </c>
      <c r="I2231">
        <v>566</v>
      </c>
      <c r="J2231" s="2">
        <f ca="1">IFERROR((Tabla3[[#This Row],[Close]]-OFFSET(Tabla3[[#This Row],[Close]],-1,0))/OFFSET(Tabla3[[#This Row],[Close]],-1,0),"")</f>
        <v>-2.9874083480143309E-3</v>
      </c>
      <c r="K2231" s="2">
        <f ca="1">IFERROR(AVERAGE(OFFSET(Tabla3[[#This Row],[Close]],-6,0,7)),"")</f>
        <v>2672.4571358816952</v>
      </c>
      <c r="L2231" s="2">
        <f ca="1">IFERROR(_xlfn.STDEV.S(OFFSET(Tabla3[[#This Row],[Close]],-29,0,30)),"")</f>
        <v>39.968997809023037</v>
      </c>
    </row>
    <row r="2232" spans="1:12" x14ac:dyDescent="0.3">
      <c r="A2232" s="1">
        <v>45645</v>
      </c>
      <c r="B2232" s="3">
        <f>YEAR(Tabla3[[#This Row],[Date]])</f>
        <v>2024</v>
      </c>
      <c r="C2232" s="1" t="str">
        <f>+TEXT(Tabla3[[#This Row],[Date]],"mmm")</f>
        <v>dic</v>
      </c>
      <c r="D2232" s="2">
        <v>2592.19995117187</v>
      </c>
      <c r="E2232" s="2">
        <v>2592.19995117187</v>
      </c>
      <c r="F2232" s="2">
        <v>2610.30004882812</v>
      </c>
      <c r="G2232" s="2">
        <v>2582.10009765625</v>
      </c>
      <c r="H2232" s="2">
        <v>2582.10009765625</v>
      </c>
      <c r="I2232">
        <v>238</v>
      </c>
      <c r="J2232" s="2">
        <f ca="1">IFERROR((Tabla3[[#This Row],[Close]]-OFFSET(Tabla3[[#This Row],[Close]],-1,0))/OFFSET(Tabla3[[#This Row],[Close]],-1,0),"")</f>
        <v>-1.6802597696996019E-2</v>
      </c>
      <c r="K2232" s="2">
        <f ca="1">IFERROR(AVERAGE(OFFSET(Tabla3[[#This Row],[Close]],-6,0,7)),"")</f>
        <v>2657.3999720982129</v>
      </c>
      <c r="L2232" s="2">
        <f ca="1">IFERROR(_xlfn.STDEV.S(OFFSET(Tabla3[[#This Row],[Close]],-29,0,30)),"")</f>
        <v>40.863832257057886</v>
      </c>
    </row>
    <row r="2233" spans="1:12" x14ac:dyDescent="0.3">
      <c r="A2233" s="1">
        <v>45646</v>
      </c>
      <c r="B2233" s="3">
        <f>YEAR(Tabla3[[#This Row],[Date]])</f>
        <v>2024</v>
      </c>
      <c r="C2233" s="1" t="str">
        <f>+TEXT(Tabla3[[#This Row],[Date]],"mmm")</f>
        <v>dic</v>
      </c>
      <c r="D2233" s="2">
        <v>2628.69995117187</v>
      </c>
      <c r="E2233" s="2">
        <v>2628.69995117187</v>
      </c>
      <c r="F2233" s="2">
        <v>2631.60009765625</v>
      </c>
      <c r="G2233" s="2">
        <v>2604.89990234375</v>
      </c>
      <c r="H2233" s="2">
        <v>2605.30004882812</v>
      </c>
      <c r="I2233">
        <v>592</v>
      </c>
      <c r="J2233" s="2">
        <f ca="1">IFERROR((Tabla3[[#This Row],[Close]]-OFFSET(Tabla3[[#This Row],[Close]],-1,0))/OFFSET(Tabla3[[#This Row],[Close]],-1,0),"")</f>
        <v>1.4080703914641788E-2</v>
      </c>
      <c r="K2233" s="2">
        <f ca="1">IFERROR(AVERAGE(OFFSET(Tabla3[[#This Row],[Close]],-6,0,7)),"")</f>
        <v>2642.385672433034</v>
      </c>
      <c r="L2233" s="2">
        <f ca="1">IFERROR(_xlfn.STDEV.S(OFFSET(Tabla3[[#This Row],[Close]],-29,0,30)),"")</f>
        <v>39.539099354516303</v>
      </c>
    </row>
    <row r="2234" spans="1:12" x14ac:dyDescent="0.3">
      <c r="A2234" s="1">
        <v>45649</v>
      </c>
      <c r="B2234" s="3">
        <f>YEAR(Tabla3[[#This Row],[Date]])</f>
        <v>2024</v>
      </c>
      <c r="C2234" s="1" t="str">
        <f>+TEXT(Tabla3[[#This Row],[Date]],"mmm")</f>
        <v>dic</v>
      </c>
      <c r="D2234" s="2">
        <v>2612.30004882812</v>
      </c>
      <c r="E2234" s="2">
        <v>2612.30004882812</v>
      </c>
      <c r="F2234" s="2">
        <v>2627.69995117187</v>
      </c>
      <c r="G2234" s="2">
        <v>2611.10009765625</v>
      </c>
      <c r="H2234" s="2">
        <v>2620</v>
      </c>
      <c r="I2234">
        <v>451</v>
      </c>
      <c r="J2234" s="2">
        <f ca="1">IFERROR((Tabla3[[#This Row],[Close]]-OFFSET(Tabla3[[#This Row],[Close]],-1,0))/OFFSET(Tabla3[[#This Row],[Close]],-1,0),"")</f>
        <v>-6.2387882407191246E-3</v>
      </c>
      <c r="K2234" s="2">
        <f ca="1">IFERROR(AVERAGE(OFFSET(Tabla3[[#This Row],[Close]],-6,0,7)),"")</f>
        <v>2631.6428222656227</v>
      </c>
      <c r="L2234" s="2">
        <f ca="1">IFERROR(_xlfn.STDEV.S(OFFSET(Tabla3[[#This Row],[Close]],-29,0,30)),"")</f>
        <v>38.816099863401668</v>
      </c>
    </row>
    <row r="2235" spans="1:12" x14ac:dyDescent="0.3">
      <c r="A2235" s="1">
        <v>45650</v>
      </c>
      <c r="B2235" s="3">
        <f>YEAR(Tabla3[[#This Row],[Date]])</f>
        <v>2024</v>
      </c>
      <c r="C2235" s="1" t="str">
        <f>+TEXT(Tabla3[[#This Row],[Date]],"mmm")</f>
        <v>dic</v>
      </c>
      <c r="D2235" s="2">
        <v>2620</v>
      </c>
      <c r="E2235" s="2">
        <v>2620</v>
      </c>
      <c r="F2235" s="2">
        <v>2620</v>
      </c>
      <c r="G2235" s="2">
        <v>2609.5</v>
      </c>
      <c r="H2235" s="2">
        <v>2613</v>
      </c>
      <c r="I2235">
        <v>35</v>
      </c>
      <c r="J2235" s="2">
        <f ca="1">IFERROR((Tabla3[[#This Row],[Close]]-OFFSET(Tabla3[[#This Row],[Close]],-1,0))/OFFSET(Tabla3[[#This Row],[Close]],-1,0),"")</f>
        <v>2.947575327472128E-3</v>
      </c>
      <c r="K2235" s="2">
        <f ca="1">IFERROR(AVERAGE(OFFSET(Tabla3[[#This Row],[Close]],-6,0,7)),"")</f>
        <v>2626.4999651227658</v>
      </c>
      <c r="L2235" s="2">
        <f ca="1">IFERROR(_xlfn.STDEV.S(OFFSET(Tabla3[[#This Row],[Close]],-29,0,30)),"")</f>
        <v>38.641608831444962</v>
      </c>
    </row>
    <row r="2236" spans="1:12" x14ac:dyDescent="0.3">
      <c r="A2236" s="1">
        <v>45652</v>
      </c>
      <c r="B2236" s="3">
        <f>YEAR(Tabla3[[#This Row],[Date]])</f>
        <v>2024</v>
      </c>
      <c r="C2236" s="1" t="str">
        <f>+TEXT(Tabla3[[#This Row],[Date]],"mmm")</f>
        <v>dic</v>
      </c>
      <c r="D2236" s="2">
        <v>2638.80004882812</v>
      </c>
      <c r="E2236" s="2">
        <v>2638.80004882812</v>
      </c>
      <c r="F2236" s="2">
        <v>2638.80004882812</v>
      </c>
      <c r="G2236" s="2">
        <v>2627.89990234375</v>
      </c>
      <c r="H2236" s="2">
        <v>2628.5</v>
      </c>
      <c r="I2236">
        <v>84</v>
      </c>
      <c r="J2236" s="2">
        <f ca="1">IFERROR((Tabla3[[#This Row],[Close]]-OFFSET(Tabla3[[#This Row],[Close]],-1,0))/OFFSET(Tabla3[[#This Row],[Close]],-1,0),"")</f>
        <v>7.1755911557709919E-3</v>
      </c>
      <c r="K2236" s="2">
        <f ca="1">IFERROR(AVERAGE(OFFSET(Tabla3[[#This Row],[Close]],-6,0,7)),"")</f>
        <v>2624.6999860491042</v>
      </c>
      <c r="L2236" s="2">
        <f ca="1">IFERROR(_xlfn.STDEV.S(OFFSET(Tabla3[[#This Row],[Close]],-29,0,30)),"")</f>
        <v>37.968775439518481</v>
      </c>
    </row>
    <row r="2237" spans="1:12" x14ac:dyDescent="0.3">
      <c r="A2237" s="1">
        <v>45653</v>
      </c>
      <c r="B2237" s="3">
        <f>YEAR(Tabla3[[#This Row],[Date]])</f>
        <v>2024</v>
      </c>
      <c r="C2237" s="1" t="str">
        <f>+TEXT(Tabla3[[#This Row],[Date]],"mmm")</f>
        <v>dic</v>
      </c>
      <c r="D2237" s="2">
        <v>2617.19995117187</v>
      </c>
      <c r="E2237" s="2">
        <v>2617.19995117187</v>
      </c>
      <c r="F2237" s="2">
        <v>2617.69995117187</v>
      </c>
      <c r="G2237" s="2">
        <v>2616.39990234375</v>
      </c>
      <c r="H2237" s="2">
        <v>2617.69995117187</v>
      </c>
      <c r="I2237">
        <v>642</v>
      </c>
      <c r="J2237" s="2">
        <f ca="1">IFERROR((Tabla3[[#This Row],[Close]]-OFFSET(Tabla3[[#This Row],[Close]],-1,0))/OFFSET(Tabla3[[#This Row],[Close]],-1,0),"")</f>
        <v>-8.1855757376700488E-3</v>
      </c>
      <c r="K2237" s="2">
        <f ca="1">IFERROR(AVERAGE(OFFSET(Tabla3[[#This Row],[Close]],-6,0,7)),"")</f>
        <v>2620.8142787388356</v>
      </c>
      <c r="L2237" s="2">
        <f ca="1">IFERROR(_xlfn.STDEV.S(OFFSET(Tabla3[[#This Row],[Close]],-29,0,30)),"")</f>
        <v>36.591163433513039</v>
      </c>
    </row>
    <row r="2238" spans="1:12" x14ac:dyDescent="0.3">
      <c r="A2238" s="1">
        <v>45656</v>
      </c>
      <c r="B2238" s="3">
        <f>YEAR(Tabla3[[#This Row],[Date]])</f>
        <v>2024</v>
      </c>
      <c r="C2238" s="1" t="str">
        <f>+TEXT(Tabla3[[#This Row],[Date]],"mmm")</f>
        <v>dic</v>
      </c>
      <c r="D2238" s="2">
        <v>2606.10009765625</v>
      </c>
      <c r="E2238" s="2">
        <v>2606.10009765625</v>
      </c>
      <c r="F2238" s="2">
        <v>2626.89990234375</v>
      </c>
      <c r="G2238" s="2">
        <v>2597</v>
      </c>
      <c r="H2238" s="2">
        <v>2620.69995117187</v>
      </c>
      <c r="I2238">
        <v>794</v>
      </c>
      <c r="J2238" s="2">
        <f ca="1">IFERROR((Tabla3[[#This Row],[Close]]-OFFSET(Tabla3[[#This Row],[Close]],-1,0))/OFFSET(Tabla3[[#This Row],[Close]],-1,0),"")</f>
        <v>-4.2411178827395125E-3</v>
      </c>
      <c r="K2238" s="2">
        <f ca="1">IFERROR(AVERAGE(OFFSET(Tabla3[[#This Row],[Close]],-6,0,7)),"")</f>
        <v>2616.4714355468714</v>
      </c>
      <c r="L2238" s="2">
        <f ca="1">IFERROR(_xlfn.STDEV.S(OFFSET(Tabla3[[#This Row],[Close]],-29,0,30)),"")</f>
        <v>34.608595189262232</v>
      </c>
    </row>
    <row r="2239" spans="1:12" x14ac:dyDescent="0.3">
      <c r="A2239" s="1">
        <v>45657</v>
      </c>
      <c r="B2239" s="3">
        <f>YEAR(Tabla3[[#This Row],[Date]])</f>
        <v>2024</v>
      </c>
      <c r="C2239" s="1" t="str">
        <f>+TEXT(Tabla3[[#This Row],[Date]],"mmm")</f>
        <v>dic</v>
      </c>
      <c r="D2239" s="2">
        <v>2629.19995117187</v>
      </c>
      <c r="E2239" s="2">
        <v>2629.19995117187</v>
      </c>
      <c r="F2239" s="2">
        <v>2629.19995117187</v>
      </c>
      <c r="G2239" s="2">
        <v>2604.89990234375</v>
      </c>
      <c r="H2239" s="2">
        <v>2608.39990234375</v>
      </c>
      <c r="I2239">
        <v>401</v>
      </c>
      <c r="J2239" s="2">
        <f ca="1">IFERROR((Tabla3[[#This Row],[Close]]-OFFSET(Tabla3[[#This Row],[Close]],-1,0))/OFFSET(Tabla3[[#This Row],[Close]],-1,0),"")</f>
        <v>8.8637629599854755E-3</v>
      </c>
      <c r="K2239" s="2">
        <f ca="1">IFERROR(AVERAGE(OFFSET(Tabla3[[#This Row],[Close]],-6,0,7)),"")</f>
        <v>2621.7571498325856</v>
      </c>
      <c r="L2239" s="2">
        <f ca="1">IFERROR(_xlfn.STDEV.S(OFFSET(Tabla3[[#This Row],[Close]],-29,0,30)),"")</f>
        <v>31.606262667099426</v>
      </c>
    </row>
    <row r="2240" spans="1:12" x14ac:dyDescent="0.3">
      <c r="A2240" s="1">
        <v>45659</v>
      </c>
      <c r="B2240" s="3">
        <f>YEAR(Tabla3[[#This Row],[Date]])</f>
        <v>2025</v>
      </c>
      <c r="C2240" s="1" t="str">
        <f>+TEXT(Tabla3[[#This Row],[Date]],"mmm")</f>
        <v>ene</v>
      </c>
      <c r="D2240" s="2">
        <v>2658.89990234375</v>
      </c>
      <c r="E2240" s="2">
        <v>2658.89990234375</v>
      </c>
      <c r="F2240" s="2">
        <v>2663.10009765625</v>
      </c>
      <c r="G2240" s="2">
        <v>2633</v>
      </c>
      <c r="H2240" s="2">
        <v>2633</v>
      </c>
      <c r="I2240">
        <v>1728</v>
      </c>
      <c r="J2240" s="2">
        <f ca="1">IFERROR((Tabla3[[#This Row],[Close]]-OFFSET(Tabla3[[#This Row],[Close]],-1,0))/OFFSET(Tabla3[[#This Row],[Close]],-1,0),"")</f>
        <v>1.1296193413757798E-2</v>
      </c>
      <c r="K2240" s="2">
        <f ca="1">IFERROR(AVERAGE(OFFSET(Tabla3[[#This Row],[Close]],-6,0,7)),"")</f>
        <v>2626.0714285714253</v>
      </c>
      <c r="L2240" s="2">
        <f ca="1">IFERROR(_xlfn.STDEV.S(OFFSET(Tabla3[[#This Row],[Close]],-29,0,30)),"")</f>
        <v>31.077072291234007</v>
      </c>
    </row>
    <row r="2241" spans="1:12" x14ac:dyDescent="0.3">
      <c r="A2241" s="1">
        <v>45660</v>
      </c>
      <c r="B2241" s="3">
        <f>YEAR(Tabla3[[#This Row],[Date]])</f>
        <v>2025</v>
      </c>
      <c r="C2241" s="1" t="str">
        <f>+TEXT(Tabla3[[#This Row],[Date]],"mmm")</f>
        <v>ene</v>
      </c>
      <c r="D2241" s="2">
        <v>2645</v>
      </c>
      <c r="E2241" s="2">
        <v>2645</v>
      </c>
      <c r="F2241" s="2">
        <v>2658.69995117187</v>
      </c>
      <c r="G2241" s="2">
        <v>2641.80004882812</v>
      </c>
      <c r="H2241" s="2">
        <v>2658.69995117187</v>
      </c>
      <c r="I2241">
        <v>591</v>
      </c>
      <c r="J2241" s="2">
        <f ca="1">IFERROR((Tabla3[[#This Row],[Close]]-OFFSET(Tabla3[[#This Row],[Close]],-1,0))/OFFSET(Tabla3[[#This Row],[Close]],-1,0),"")</f>
        <v>-5.2276892151891857E-3</v>
      </c>
      <c r="K2241" s="2">
        <f ca="1">IFERROR(AVERAGE(OFFSET(Tabla3[[#This Row],[Close]],-6,0,7)),"")</f>
        <v>2630.7428501674085</v>
      </c>
      <c r="L2241" s="2">
        <f ca="1">IFERROR(_xlfn.STDEV.S(OFFSET(Tabla3[[#This Row],[Close]],-29,0,30)),"")</f>
        <v>30.88258319907894</v>
      </c>
    </row>
    <row r="2242" spans="1:12" x14ac:dyDescent="0.3">
      <c r="A2242" s="1">
        <v>45663</v>
      </c>
      <c r="B2242" s="3">
        <f>YEAR(Tabla3[[#This Row],[Date]])</f>
        <v>2025</v>
      </c>
      <c r="C2242" s="1" t="str">
        <f>+TEXT(Tabla3[[#This Row],[Date]],"mmm")</f>
        <v>ene</v>
      </c>
      <c r="D2242" s="2">
        <v>2638.39990234375</v>
      </c>
      <c r="E2242" s="2">
        <v>2638.39990234375</v>
      </c>
      <c r="F2242" s="2">
        <v>2647</v>
      </c>
      <c r="G2242" s="2">
        <v>2617.30004882812</v>
      </c>
      <c r="H2242" s="2">
        <v>2645.5</v>
      </c>
      <c r="I2242">
        <v>960</v>
      </c>
      <c r="J2242" s="2">
        <f ca="1">IFERROR((Tabla3[[#This Row],[Close]]-OFFSET(Tabla3[[#This Row],[Close]],-1,0))/OFFSET(Tabla3[[#This Row],[Close]],-1,0),"")</f>
        <v>-2.4953110231568996E-3</v>
      </c>
      <c r="K2242" s="2">
        <f ca="1">IFERROR(AVERAGE(OFFSET(Tabla3[[#This Row],[Close]],-6,0,7)),"")</f>
        <v>2633.3714076450874</v>
      </c>
      <c r="L2242" s="2">
        <f ca="1">IFERROR(_xlfn.STDEV.S(OFFSET(Tabla3[[#This Row],[Close]],-29,0,30)),"")</f>
        <v>30.911531507213297</v>
      </c>
    </row>
    <row r="2243" spans="1:12" x14ac:dyDescent="0.3">
      <c r="A2243" s="1">
        <v>45664</v>
      </c>
      <c r="B2243" s="3">
        <f>YEAR(Tabla3[[#This Row],[Date]])</f>
        <v>2025</v>
      </c>
      <c r="C2243" s="1" t="str">
        <f>+TEXT(Tabla3[[#This Row],[Date]],"mmm")</f>
        <v>ene</v>
      </c>
      <c r="D2243" s="2">
        <v>2656.69995117187</v>
      </c>
      <c r="E2243" s="2">
        <v>2656.69995117187</v>
      </c>
      <c r="F2243" s="2">
        <v>2657.5</v>
      </c>
      <c r="G2243" s="2">
        <v>2653</v>
      </c>
      <c r="H2243" s="2">
        <v>2653.39990234375</v>
      </c>
      <c r="I2243">
        <v>643</v>
      </c>
      <c r="J2243" s="2">
        <f ca="1">IFERROR((Tabla3[[#This Row],[Close]]-OFFSET(Tabla3[[#This Row],[Close]],-1,0))/OFFSET(Tabla3[[#This Row],[Close]],-1,0),"")</f>
        <v>6.9360405948558643E-3</v>
      </c>
      <c r="K2243" s="2">
        <f ca="1">IFERROR(AVERAGE(OFFSET(Tabla3[[#This Row],[Close]],-6,0,7)),"")</f>
        <v>2635.9285365513374</v>
      </c>
      <c r="L2243" s="2">
        <f ca="1">IFERROR(_xlfn.STDEV.S(OFFSET(Tabla3[[#This Row],[Close]],-29,0,30)),"")</f>
        <v>30.58558109111182</v>
      </c>
    </row>
    <row r="2244" spans="1:12" x14ac:dyDescent="0.3">
      <c r="A2244" s="1">
        <v>45665</v>
      </c>
      <c r="B2244" s="3">
        <f>YEAR(Tabla3[[#This Row],[Date]])</f>
        <v>2025</v>
      </c>
      <c r="C2244" s="1" t="str">
        <f>+TEXT(Tabla3[[#This Row],[Date]],"mmm")</f>
        <v>ene</v>
      </c>
      <c r="D2244" s="2">
        <v>2664.5</v>
      </c>
      <c r="E2244" s="2">
        <v>2664.5</v>
      </c>
      <c r="F2244" s="2">
        <v>2676.89990234375</v>
      </c>
      <c r="G2244" s="2">
        <v>2653.5</v>
      </c>
      <c r="H2244" s="2">
        <v>2655.5</v>
      </c>
      <c r="I2244">
        <v>999</v>
      </c>
      <c r="J2244" s="2">
        <f ca="1">IFERROR((Tabla3[[#This Row],[Close]]-OFFSET(Tabla3[[#This Row],[Close]],-1,0))/OFFSET(Tabla3[[#This Row],[Close]],-1,0),"")</f>
        <v>2.9359916330368441E-3</v>
      </c>
      <c r="K2244" s="2">
        <f ca="1">IFERROR(AVERAGE(OFFSET(Tabla3[[#This Row],[Close]],-6,0,7)),"")</f>
        <v>2642.6856863839271</v>
      </c>
      <c r="L2244" s="2">
        <f ca="1">IFERROR(_xlfn.STDEV.S(OFFSET(Tabla3[[#This Row],[Close]],-29,0,30)),"")</f>
        <v>28.316510203313051</v>
      </c>
    </row>
    <row r="2245" spans="1:12" x14ac:dyDescent="0.3">
      <c r="A2245" s="1">
        <v>45666</v>
      </c>
      <c r="B2245" s="3">
        <f>YEAR(Tabla3[[#This Row],[Date]])</f>
        <v>2025</v>
      </c>
      <c r="C2245" s="1" t="str">
        <f>+TEXT(Tabla3[[#This Row],[Date]],"mmm")</f>
        <v>ene</v>
      </c>
      <c r="D2245" s="2">
        <v>2683.80004882812</v>
      </c>
      <c r="E2245" s="2">
        <v>2683.80004882812</v>
      </c>
      <c r="F2245" s="2">
        <v>2686.30004882812</v>
      </c>
      <c r="G2245" s="2">
        <v>2667.89990234375</v>
      </c>
      <c r="H2245" s="2">
        <v>2669.69995117187</v>
      </c>
      <c r="I2245">
        <v>1139</v>
      </c>
      <c r="J2245" s="2">
        <f ca="1">IFERROR((Tabla3[[#This Row],[Close]]-OFFSET(Tabla3[[#This Row],[Close]],-1,0))/OFFSET(Tabla3[[#This Row],[Close]],-1,0),"")</f>
        <v>7.243403575950459E-3</v>
      </c>
      <c r="K2245" s="2">
        <f ca="1">IFERROR(AVERAGE(OFFSET(Tabla3[[#This Row],[Close]],-6,0,7)),"")</f>
        <v>2653.7856794084801</v>
      </c>
      <c r="L2245" s="2">
        <f ca="1">IFERROR(_xlfn.STDEV.S(OFFSET(Tabla3[[#This Row],[Close]],-29,0,30)),"")</f>
        <v>28.755868329205224</v>
      </c>
    </row>
    <row r="2246" spans="1:12" x14ac:dyDescent="0.3">
      <c r="A2246" s="1">
        <v>45667</v>
      </c>
      <c r="B2246" s="3">
        <f>YEAR(Tabla3[[#This Row],[Date]])</f>
        <v>2025</v>
      </c>
      <c r="C2246" s="1" t="str">
        <f>+TEXT(Tabla3[[#This Row],[Date]],"mmm")</f>
        <v>ene</v>
      </c>
      <c r="D2246" s="2">
        <v>2708.5</v>
      </c>
      <c r="E2246" s="2">
        <v>2708.5</v>
      </c>
      <c r="F2246" s="2">
        <v>2720.10009765625</v>
      </c>
      <c r="G2246" s="2">
        <v>2683.69995117187</v>
      </c>
      <c r="H2246" s="2">
        <v>2686.10009765625</v>
      </c>
      <c r="I2246">
        <v>403</v>
      </c>
      <c r="J2246" s="2">
        <f ca="1">IFERROR((Tabla3[[#This Row],[Close]]-OFFSET(Tabla3[[#This Row],[Close]],-1,0))/OFFSET(Tabla3[[#This Row],[Close]],-1,0),"")</f>
        <v>9.2033499972046066E-3</v>
      </c>
      <c r="K2246" s="2">
        <f ca="1">IFERROR(AVERAGE(OFFSET(Tabla3[[#This Row],[Close]],-6,0,7)),"")</f>
        <v>2665.1142578124986</v>
      </c>
      <c r="L2246" s="2">
        <f ca="1">IFERROR(_xlfn.STDEV.S(OFFSET(Tabla3[[#This Row],[Close]],-29,0,30)),"")</f>
        <v>30.49495122496814</v>
      </c>
    </row>
    <row r="2247" spans="1:12" x14ac:dyDescent="0.3">
      <c r="A2247" s="1">
        <v>45670</v>
      </c>
      <c r="B2247" s="3">
        <f>YEAR(Tabla3[[#This Row],[Date]])</f>
        <v>2025</v>
      </c>
      <c r="C2247" s="1" t="str">
        <f>+TEXT(Tabla3[[#This Row],[Date]],"mmm")</f>
        <v>ene</v>
      </c>
      <c r="D2247" s="2">
        <v>2673.5</v>
      </c>
      <c r="E2247" s="2">
        <v>2673.5</v>
      </c>
      <c r="F2247" s="2">
        <v>2711.19995117187</v>
      </c>
      <c r="G2247" s="2">
        <v>2673.5</v>
      </c>
      <c r="H2247" s="2">
        <v>2711.10009765625</v>
      </c>
      <c r="I2247">
        <v>765</v>
      </c>
      <c r="J2247" s="2">
        <f ca="1">IFERROR((Tabla3[[#This Row],[Close]]-OFFSET(Tabla3[[#This Row],[Close]],-1,0))/OFFSET(Tabla3[[#This Row],[Close]],-1,0),"")</f>
        <v>-1.2922281705741185E-2</v>
      </c>
      <c r="K2247" s="2">
        <f ca="1">IFERROR(AVERAGE(OFFSET(Tabla3[[#This Row],[Close]],-6,0,7)),"")</f>
        <v>2667.1999860491055</v>
      </c>
      <c r="L2247" s="2">
        <f ca="1">IFERROR(_xlfn.STDEV.S(OFFSET(Tabla3[[#This Row],[Close]],-29,0,30)),"")</f>
        <v>30.767666772104153</v>
      </c>
    </row>
    <row r="2248" spans="1:12" x14ac:dyDescent="0.3">
      <c r="A2248" s="1">
        <v>45671</v>
      </c>
      <c r="B2248" s="3">
        <f>YEAR(Tabla3[[#This Row],[Date]])</f>
        <v>2025</v>
      </c>
      <c r="C2248" s="1" t="str">
        <f>+TEXT(Tabla3[[#This Row],[Date]],"mmm")</f>
        <v>ene</v>
      </c>
      <c r="D2248" s="2">
        <v>2677.5</v>
      </c>
      <c r="E2248" s="2">
        <v>2677.5</v>
      </c>
      <c r="F2248" s="2">
        <v>2688.30004882812</v>
      </c>
      <c r="G2248" s="2">
        <v>2670.80004882812</v>
      </c>
      <c r="H2248" s="2">
        <v>2673.60009765625</v>
      </c>
      <c r="I2248">
        <v>794</v>
      </c>
      <c r="J2248" s="2">
        <f ca="1">IFERROR((Tabla3[[#This Row],[Close]]-OFFSET(Tabla3[[#This Row],[Close]],-1,0))/OFFSET(Tabla3[[#This Row],[Close]],-1,0),"")</f>
        <v>1.4961660744342623E-3</v>
      </c>
      <c r="K2248" s="2">
        <f ca="1">IFERROR(AVERAGE(OFFSET(Tabla3[[#This Row],[Close]],-6,0,7)),"")</f>
        <v>2671.8428431919629</v>
      </c>
      <c r="L2248" s="2">
        <f ca="1">IFERROR(_xlfn.STDEV.S(OFFSET(Tabla3[[#This Row],[Close]],-29,0,30)),"")</f>
        <v>31.152584571862111</v>
      </c>
    </row>
    <row r="2249" spans="1:12" x14ac:dyDescent="0.3">
      <c r="A2249" s="1">
        <v>45672</v>
      </c>
      <c r="B2249" s="3">
        <f>YEAR(Tabla3[[#This Row],[Date]])</f>
        <v>2025</v>
      </c>
      <c r="C2249" s="1" t="str">
        <f>+TEXT(Tabla3[[#This Row],[Date]],"mmm")</f>
        <v>ene</v>
      </c>
      <c r="D2249" s="2">
        <v>2712.5</v>
      </c>
      <c r="E2249" s="2">
        <v>2712.5</v>
      </c>
      <c r="F2249" s="2">
        <v>2712.5</v>
      </c>
      <c r="G2249" s="2">
        <v>2690.80004882812</v>
      </c>
      <c r="H2249" s="2">
        <v>2690.80004882812</v>
      </c>
      <c r="I2249">
        <v>930</v>
      </c>
      <c r="J2249" s="2">
        <f ca="1">IFERROR((Tabla3[[#This Row],[Close]]-OFFSET(Tabla3[[#This Row],[Close]],-1,0))/OFFSET(Tabla3[[#This Row],[Close]],-1,0),"")</f>
        <v>1.3071895424836602E-2</v>
      </c>
      <c r="K2249" s="2">
        <f ca="1">IFERROR(AVERAGE(OFFSET(Tabla3[[#This Row],[Close]],-6,0,7)),"")</f>
        <v>2682.4285714285697</v>
      </c>
      <c r="L2249" s="2">
        <f ca="1">IFERROR(_xlfn.STDEV.S(OFFSET(Tabla3[[#This Row],[Close]],-29,0,30)),"")</f>
        <v>32.961692100854016</v>
      </c>
    </row>
    <row r="2250" spans="1:12" x14ac:dyDescent="0.3">
      <c r="A2250" s="1">
        <v>45673</v>
      </c>
      <c r="B2250" s="3">
        <f>YEAR(Tabla3[[#This Row],[Date]])</f>
        <v>2025</v>
      </c>
      <c r="C2250" s="1" t="str">
        <f>+TEXT(Tabla3[[#This Row],[Date]],"mmm")</f>
        <v>ene</v>
      </c>
      <c r="D2250" s="2">
        <v>2746.39990234375</v>
      </c>
      <c r="E2250" s="2">
        <v>2746.39990234375</v>
      </c>
      <c r="F2250" s="2">
        <v>2749.80004882812</v>
      </c>
      <c r="G2250" s="2">
        <v>2731.69995117187</v>
      </c>
      <c r="H2250" s="2">
        <v>2731.69995117187</v>
      </c>
      <c r="I2250">
        <v>1721</v>
      </c>
      <c r="J2250" s="2">
        <f ca="1">IFERROR((Tabla3[[#This Row],[Close]]-OFFSET(Tabla3[[#This Row],[Close]],-1,0))/OFFSET(Tabla3[[#This Row],[Close]],-1,0),"")</f>
        <v>1.2497659850230415E-2</v>
      </c>
      <c r="K2250" s="2">
        <f ca="1">IFERROR(AVERAGE(OFFSET(Tabla3[[#This Row],[Close]],-6,0,7)),"")</f>
        <v>2695.2428501674099</v>
      </c>
      <c r="L2250" s="2">
        <f ca="1">IFERROR(_xlfn.STDEV.S(OFFSET(Tabla3[[#This Row],[Close]],-29,0,30)),"")</f>
        <v>37.024000855519041</v>
      </c>
    </row>
    <row r="2251" spans="1:12" x14ac:dyDescent="0.3">
      <c r="A2251" s="1">
        <v>45674</v>
      </c>
      <c r="B2251" s="3">
        <f>YEAR(Tabla3[[#This Row],[Date]])</f>
        <v>2025</v>
      </c>
      <c r="C2251" s="1" t="str">
        <f>+TEXT(Tabla3[[#This Row],[Date]],"mmm")</f>
        <v>ene</v>
      </c>
      <c r="D2251" s="2">
        <v>2744.30004882812</v>
      </c>
      <c r="E2251" s="2">
        <v>2744.30004882812</v>
      </c>
      <c r="F2251" s="2">
        <v>2751.60009765625</v>
      </c>
      <c r="G2251" s="2">
        <v>2725.5</v>
      </c>
      <c r="H2251" s="2">
        <v>2736</v>
      </c>
      <c r="I2251">
        <v>1214</v>
      </c>
      <c r="J2251" s="2">
        <f ca="1">IFERROR((Tabla3[[#This Row],[Close]]-OFFSET(Tabla3[[#This Row],[Close]],-1,0))/OFFSET(Tabla3[[#This Row],[Close]],-1,0),"")</f>
        <v>-7.6458403375197052E-4</v>
      </c>
      <c r="K2251" s="2">
        <f ca="1">IFERROR(AVERAGE(OFFSET(Tabla3[[#This Row],[Close]],-6,0,7)),"")</f>
        <v>2706.6428571428555</v>
      </c>
      <c r="L2251" s="2">
        <f ca="1">IFERROR(_xlfn.STDEV.S(OFFSET(Tabla3[[#This Row],[Close]],-29,0,30)),"")</f>
        <v>40.31901417791007</v>
      </c>
    </row>
    <row r="2252" spans="1:12" x14ac:dyDescent="0.3">
      <c r="A2252" s="1">
        <v>45678</v>
      </c>
      <c r="B2252" s="3">
        <f>YEAR(Tabla3[[#This Row],[Date]])</f>
        <v>2025</v>
      </c>
      <c r="C2252" s="1" t="str">
        <f>+TEXT(Tabla3[[#This Row],[Date]],"mmm")</f>
        <v>ene</v>
      </c>
      <c r="D2252" s="2">
        <v>2755</v>
      </c>
      <c r="E2252" s="2">
        <v>2755</v>
      </c>
      <c r="F2252" s="2">
        <v>2755</v>
      </c>
      <c r="G2252" s="2">
        <v>2724.80004882812</v>
      </c>
      <c r="H2252" s="2">
        <v>2746</v>
      </c>
      <c r="I2252">
        <v>1439</v>
      </c>
      <c r="J2252" s="2">
        <f ca="1">IFERROR((Tabla3[[#This Row],[Close]]-OFFSET(Tabla3[[#This Row],[Close]],-1,0))/OFFSET(Tabla3[[#This Row],[Close]],-1,0),"")</f>
        <v>3.8989727732028174E-3</v>
      </c>
      <c r="K2252" s="2">
        <f ca="1">IFERROR(AVERAGE(OFFSET(Tabla3[[#This Row],[Close]],-6,0,7)),"")</f>
        <v>2716.8142787388383</v>
      </c>
      <c r="L2252" s="2">
        <f ca="1">IFERROR(_xlfn.STDEV.S(OFFSET(Tabla3[[#This Row],[Close]],-29,0,30)),"")</f>
        <v>43.380097614367983</v>
      </c>
    </row>
    <row r="2253" spans="1:12" x14ac:dyDescent="0.3">
      <c r="A2253" s="1">
        <v>45679</v>
      </c>
      <c r="B2253" s="3">
        <f>YEAR(Tabla3[[#This Row],[Date]])</f>
        <v>2025</v>
      </c>
      <c r="C2253" s="1" t="str">
        <f>+TEXT(Tabla3[[#This Row],[Date]],"mmm")</f>
        <v>ene</v>
      </c>
      <c r="D2253" s="2">
        <v>2767.60009765625</v>
      </c>
      <c r="E2253" s="2">
        <v>2767.60009765625</v>
      </c>
      <c r="F2253" s="2">
        <v>2768.80004882812</v>
      </c>
      <c r="G2253" s="2">
        <v>2753.5</v>
      </c>
      <c r="H2253" s="2">
        <v>2754.5</v>
      </c>
      <c r="I2253">
        <v>2079</v>
      </c>
      <c r="J2253" s="2">
        <f ca="1">IFERROR((Tabla3[[#This Row],[Close]]-OFFSET(Tabla3[[#This Row],[Close]],-1,0))/OFFSET(Tabla3[[#This Row],[Close]],-1,0),"")</f>
        <v>4.5735381692377499E-3</v>
      </c>
      <c r="K2253" s="2">
        <f ca="1">IFERROR(AVERAGE(OFFSET(Tabla3[[#This Row],[Close]],-6,0,7)),"")</f>
        <v>2725.2571498325883</v>
      </c>
      <c r="L2253" s="2">
        <f ca="1">IFERROR(_xlfn.STDEV.S(OFFSET(Tabla3[[#This Row],[Close]],-29,0,30)),"")</f>
        <v>47.015977077781194</v>
      </c>
    </row>
    <row r="2254" spans="1:12" x14ac:dyDescent="0.3">
      <c r="A2254" s="1">
        <v>45680</v>
      </c>
      <c r="B2254" s="3">
        <f>YEAR(Tabla3[[#This Row],[Date]])</f>
        <v>2025</v>
      </c>
      <c r="C2254" s="1" t="str">
        <f>+TEXT(Tabla3[[#This Row],[Date]],"mmm")</f>
        <v>ene</v>
      </c>
      <c r="D2254" s="2">
        <v>2763.10009765625</v>
      </c>
      <c r="E2254" s="2">
        <v>2763.10009765625</v>
      </c>
      <c r="F2254" s="2">
        <v>2765</v>
      </c>
      <c r="G2254" s="2">
        <v>2745.39990234375</v>
      </c>
      <c r="H2254" s="2">
        <v>2760</v>
      </c>
      <c r="I2254">
        <v>2201</v>
      </c>
      <c r="J2254" s="2">
        <f ca="1">IFERROR((Tabla3[[#This Row],[Close]]-OFFSET(Tabla3[[#This Row],[Close]],-1,0))/OFFSET(Tabla3[[#This Row],[Close]],-1,0),"")</f>
        <v>-1.6259574509376691E-3</v>
      </c>
      <c r="K2254" s="2">
        <f ca="1">IFERROR(AVERAGE(OFFSET(Tabla3[[#This Row],[Close]],-6,0,7)),"")</f>
        <v>2738.057163783481</v>
      </c>
      <c r="L2254" s="2">
        <f ca="1">IFERROR(_xlfn.STDEV.S(OFFSET(Tabla3[[#This Row],[Close]],-29,0,30)),"")</f>
        <v>50.088648565488164</v>
      </c>
    </row>
    <row r="2255" spans="1:12" x14ac:dyDescent="0.3">
      <c r="A2255" s="1">
        <v>45681</v>
      </c>
      <c r="B2255" s="3">
        <f>YEAR(Tabla3[[#This Row],[Date]])</f>
        <v>2025</v>
      </c>
      <c r="C2255" s="1" t="str">
        <f>+TEXT(Tabla3[[#This Row],[Date]],"mmm")</f>
        <v>ene</v>
      </c>
      <c r="D2255" s="2">
        <v>2777.30004882812</v>
      </c>
      <c r="E2255" s="2">
        <v>2777.30004882812</v>
      </c>
      <c r="F2255" s="2">
        <v>2792</v>
      </c>
      <c r="G2255" s="2">
        <v>2759.80004882812</v>
      </c>
      <c r="H2255" s="2">
        <v>2759.80004882812</v>
      </c>
      <c r="I2255">
        <v>1593</v>
      </c>
      <c r="J2255" s="2">
        <f ca="1">IFERROR((Tabla3[[#This Row],[Close]]-OFFSET(Tabla3[[#This Row],[Close]],-1,0))/OFFSET(Tabla3[[#This Row],[Close]],-1,0),"")</f>
        <v>5.1391374434515968E-3</v>
      </c>
      <c r="K2255" s="2">
        <f ca="1">IFERROR(AVERAGE(OFFSET(Tabla3[[#This Row],[Close]],-6,0,7)),"")</f>
        <v>2752.3143136160697</v>
      </c>
      <c r="L2255" s="2">
        <f ca="1">IFERROR(_xlfn.STDEV.S(OFFSET(Tabla3[[#This Row],[Close]],-29,0,30)),"")</f>
        <v>53.512891268514096</v>
      </c>
    </row>
    <row r="2256" spans="1:12" x14ac:dyDescent="0.3">
      <c r="A2256" s="1">
        <v>45684</v>
      </c>
      <c r="B2256" s="3">
        <f>YEAR(Tabla3[[#This Row],[Date]])</f>
        <v>2025</v>
      </c>
      <c r="C2256" s="1" t="str">
        <f>+TEXT(Tabla3[[#This Row],[Date]],"mmm")</f>
        <v>ene</v>
      </c>
      <c r="D2256" s="2">
        <v>2737.5</v>
      </c>
      <c r="E2256" s="2">
        <v>2737.5</v>
      </c>
      <c r="F2256" s="2">
        <v>2762.19995117187</v>
      </c>
      <c r="G2256" s="2">
        <v>2737.5</v>
      </c>
      <c r="H2256" s="2">
        <v>2761.10009765625</v>
      </c>
      <c r="I2256">
        <v>984</v>
      </c>
      <c r="J2256" s="2">
        <f ca="1">IFERROR((Tabla3[[#This Row],[Close]]-OFFSET(Tabla3[[#This Row],[Close]],-1,0))/OFFSET(Tabla3[[#This Row],[Close]],-1,0),"")</f>
        <v>-1.4330482169153313E-2</v>
      </c>
      <c r="K2256" s="2">
        <f ca="1">IFERROR(AVERAGE(OFFSET(Tabla3[[#This Row],[Close]],-6,0,7)),"")</f>
        <v>2755.8857421874986</v>
      </c>
      <c r="L2256" s="2">
        <f ca="1">IFERROR(_xlfn.STDEV.S(OFFSET(Tabla3[[#This Row],[Close]],-29,0,30)),"")</f>
        <v>53.658965568426829</v>
      </c>
    </row>
    <row r="2257" spans="1:12" x14ac:dyDescent="0.3">
      <c r="A2257" s="1">
        <v>45685</v>
      </c>
      <c r="B2257" s="3">
        <f>YEAR(Tabla3[[#This Row],[Date]])</f>
        <v>2025</v>
      </c>
      <c r="C2257" s="1" t="str">
        <f>+TEXT(Tabla3[[#This Row],[Date]],"mmm")</f>
        <v>ene</v>
      </c>
      <c r="D2257" s="2">
        <v>2766.80004882812</v>
      </c>
      <c r="E2257" s="2">
        <v>2766.80004882812</v>
      </c>
      <c r="F2257" s="2">
        <v>2766.80004882812</v>
      </c>
      <c r="G2257" s="2">
        <v>2738</v>
      </c>
      <c r="H2257" s="2">
        <v>2738</v>
      </c>
      <c r="I2257">
        <v>2307</v>
      </c>
      <c r="J2257" s="2">
        <f ca="1">IFERROR((Tabla3[[#This Row],[Close]]-OFFSET(Tabla3[[#This Row],[Close]],-1,0))/OFFSET(Tabla3[[#This Row],[Close]],-1,0),"")</f>
        <v>1.0703214183788128E-2</v>
      </c>
      <c r="K2257" s="2">
        <f ca="1">IFERROR(AVERAGE(OFFSET(Tabla3[[#This Row],[Close]],-6,0,7)),"")</f>
        <v>2758.8000488281227</v>
      </c>
      <c r="L2257" s="2">
        <f ca="1">IFERROR(_xlfn.STDEV.S(OFFSET(Tabla3[[#This Row],[Close]],-29,0,30)),"")</f>
        <v>56.220667588487686</v>
      </c>
    </row>
    <row r="2258" spans="1:12" x14ac:dyDescent="0.3">
      <c r="A2258" s="1">
        <v>45686</v>
      </c>
      <c r="B2258" s="3">
        <f>YEAR(Tabla3[[#This Row],[Date]])</f>
        <v>2025</v>
      </c>
      <c r="C2258" s="1" t="str">
        <f>+TEXT(Tabla3[[#This Row],[Date]],"mmm")</f>
        <v>ene</v>
      </c>
      <c r="D2258" s="2">
        <v>2769.10009765625</v>
      </c>
      <c r="E2258" s="2">
        <v>2769.10009765625</v>
      </c>
      <c r="F2258" s="2">
        <v>2769.10009765625</v>
      </c>
      <c r="G2258" s="2">
        <v>2769.10009765625</v>
      </c>
      <c r="H2258" s="2">
        <v>2769.10009765625</v>
      </c>
      <c r="I2258">
        <v>125692</v>
      </c>
      <c r="J2258" s="2">
        <f ca="1">IFERROR((Tabla3[[#This Row],[Close]]-OFFSET(Tabla3[[#This Row],[Close]],-1,0))/OFFSET(Tabla3[[#This Row],[Close]],-1,0),"")</f>
        <v>8.3130287246604225E-4</v>
      </c>
      <c r="K2258" s="2">
        <f ca="1">IFERROR(AVERAGE(OFFSET(Tabla3[[#This Row],[Close]],-6,0,7)),"")</f>
        <v>2762.3429129464271</v>
      </c>
      <c r="L2258" s="2">
        <f ca="1">IFERROR(_xlfn.STDEV.S(OFFSET(Tabla3[[#This Row],[Close]],-29,0,30)),"")</f>
        <v>58.509188142154379</v>
      </c>
    </row>
    <row r="2259" spans="1:12" x14ac:dyDescent="0.3">
      <c r="A2259" s="1">
        <v>45687</v>
      </c>
      <c r="B2259" s="3">
        <f>YEAR(Tabla3[[#This Row],[Date]])</f>
        <v>2025</v>
      </c>
      <c r="C2259" s="1" t="str">
        <f>+TEXT(Tabla3[[#This Row],[Date]],"mmm")</f>
        <v>ene</v>
      </c>
      <c r="D2259" s="2">
        <v>2823</v>
      </c>
      <c r="E2259" s="2">
        <v>2823</v>
      </c>
      <c r="F2259" s="2">
        <v>2829.5</v>
      </c>
      <c r="G2259" s="2">
        <v>2770</v>
      </c>
      <c r="H2259" s="2">
        <v>2772.5</v>
      </c>
      <c r="I2259">
        <v>40141</v>
      </c>
      <c r="J2259" s="2">
        <f ca="1">IFERROR((Tabla3[[#This Row],[Close]]-OFFSET(Tabla3[[#This Row],[Close]],-1,0))/OFFSET(Tabla3[[#This Row],[Close]],-1,0),"")</f>
        <v>1.9464772107505454E-2</v>
      </c>
      <c r="K2259" s="2">
        <f ca="1">IFERROR(AVERAGE(OFFSET(Tabla3[[#This Row],[Close]],-6,0,7)),"")</f>
        <v>2772.0571986607129</v>
      </c>
      <c r="L2259" s="2">
        <f ca="1">IFERROR(_xlfn.STDEV.S(OFFSET(Tabla3[[#This Row],[Close]],-29,0,30)),"")</f>
        <v>63.696614298316028</v>
      </c>
    </row>
    <row r="2260" spans="1:12" x14ac:dyDescent="0.3">
      <c r="A2260" s="1">
        <v>45688</v>
      </c>
      <c r="B2260" s="3">
        <f>YEAR(Tabla3[[#This Row],[Date]])</f>
        <v>2025</v>
      </c>
      <c r="C2260" s="1" t="str">
        <f>+TEXT(Tabla3[[#This Row],[Date]],"mmm")</f>
        <v>ene</v>
      </c>
      <c r="D2260" s="2">
        <v>2812.5</v>
      </c>
      <c r="E2260" s="2">
        <v>2812.5</v>
      </c>
      <c r="F2260" s="2">
        <v>2838</v>
      </c>
      <c r="G2260" s="2">
        <v>2804</v>
      </c>
      <c r="H2260" s="2">
        <v>2829</v>
      </c>
      <c r="I2260">
        <v>3443</v>
      </c>
      <c r="J2260" s="2">
        <f ca="1">IFERROR((Tabla3[[#This Row],[Close]]-OFFSET(Tabla3[[#This Row],[Close]],-1,0))/OFFSET(Tabla3[[#This Row],[Close]],-1,0),"")</f>
        <v>-3.7194473963868225E-3</v>
      </c>
      <c r="K2260" s="2">
        <f ca="1">IFERROR(AVERAGE(OFFSET(Tabla3[[#This Row],[Close]],-6,0,7)),"")</f>
        <v>2778.4714704241055</v>
      </c>
      <c r="L2260" s="2">
        <f ca="1">IFERROR(_xlfn.STDEV.S(OFFSET(Tabla3[[#This Row],[Close]],-29,0,30)),"")</f>
        <v>67.16536531936255</v>
      </c>
    </row>
    <row r="2261" spans="1:12" x14ac:dyDescent="0.3">
      <c r="A2261" s="1">
        <v>45691</v>
      </c>
      <c r="B2261" s="3">
        <f>YEAR(Tabla3[[#This Row],[Date]])</f>
        <v>2025</v>
      </c>
      <c r="C2261" s="1" t="str">
        <f>+TEXT(Tabla3[[#This Row],[Date]],"mmm")</f>
        <v>feb</v>
      </c>
      <c r="D2261" s="2">
        <v>2833.89990234375</v>
      </c>
      <c r="E2261" s="2">
        <v>2833.89990234375</v>
      </c>
      <c r="F2261" s="2">
        <v>2848.39990234375</v>
      </c>
      <c r="G2261" s="2">
        <v>2780.89990234375</v>
      </c>
      <c r="H2261" s="2">
        <v>2818.19995117187</v>
      </c>
      <c r="I2261">
        <v>2649</v>
      </c>
      <c r="J2261" s="2">
        <f ca="1">IFERROR((Tabla3[[#This Row],[Close]]-OFFSET(Tabla3[[#This Row],[Close]],-1,0))/OFFSET(Tabla3[[#This Row],[Close]],-1,0),"")</f>
        <v>7.6088541666666665E-3</v>
      </c>
      <c r="K2261" s="2">
        <f ca="1">IFERROR(AVERAGE(OFFSET(Tabla3[[#This Row],[Close]],-6,0,7)),"")</f>
        <v>2788.5857282366055</v>
      </c>
      <c r="L2261" s="2">
        <f ca="1">IFERROR(_xlfn.STDEV.S(OFFSET(Tabla3[[#This Row],[Close]],-29,0,30)),"")</f>
        <v>71.085834060319868</v>
      </c>
    </row>
    <row r="2262" spans="1:12" x14ac:dyDescent="0.3">
      <c r="A2262" s="1">
        <v>45692</v>
      </c>
      <c r="B2262" s="3">
        <f>YEAR(Tabla3[[#This Row],[Date]])</f>
        <v>2025</v>
      </c>
      <c r="C2262" s="1" t="str">
        <f>+TEXT(Tabla3[[#This Row],[Date]],"mmm")</f>
        <v>feb</v>
      </c>
      <c r="D2262" s="2">
        <v>2853.30004882812</v>
      </c>
      <c r="E2262" s="2">
        <v>2853.30004882812</v>
      </c>
      <c r="F2262" s="2">
        <v>2853.30004882812</v>
      </c>
      <c r="G2262" s="2">
        <v>2816.10009765625</v>
      </c>
      <c r="H2262" s="2">
        <v>2827.60009765625</v>
      </c>
      <c r="I2262">
        <v>2187</v>
      </c>
      <c r="J2262" s="2">
        <f ca="1">IFERROR((Tabla3[[#This Row],[Close]]-OFFSET(Tabla3[[#This Row],[Close]],-1,0))/OFFSET(Tabla3[[#This Row],[Close]],-1,0),"")</f>
        <v>6.8457416115245608E-3</v>
      </c>
      <c r="K2262" s="2">
        <f ca="1">IFERROR(AVERAGE(OFFSET(Tabla3[[#This Row],[Close]],-6,0,7)),"")</f>
        <v>2799.4428710937486</v>
      </c>
      <c r="L2262" s="2">
        <f ca="1">IFERROR(_xlfn.STDEV.S(OFFSET(Tabla3[[#This Row],[Close]],-29,0,30)),"")</f>
        <v>73.541293772635186</v>
      </c>
    </row>
    <row r="2263" spans="1:12" x14ac:dyDescent="0.3">
      <c r="A2263" s="1">
        <v>45693</v>
      </c>
      <c r="B2263" s="3">
        <f>YEAR(Tabla3[[#This Row],[Date]])</f>
        <v>2025</v>
      </c>
      <c r="C2263" s="1" t="str">
        <f>+TEXT(Tabla3[[#This Row],[Date]],"mmm")</f>
        <v>feb</v>
      </c>
      <c r="D2263" s="2">
        <v>2871.60009765625</v>
      </c>
      <c r="E2263" s="2">
        <v>2871.60009765625</v>
      </c>
      <c r="F2263" s="2">
        <v>2880.5</v>
      </c>
      <c r="G2263" s="2">
        <v>2848</v>
      </c>
      <c r="H2263" s="2">
        <v>2850</v>
      </c>
      <c r="I2263">
        <v>4519</v>
      </c>
      <c r="J2263" s="2">
        <f ca="1">IFERROR((Tabla3[[#This Row],[Close]]-OFFSET(Tabla3[[#This Row],[Close]],-1,0))/OFFSET(Tabla3[[#This Row],[Close]],-1,0),"")</f>
        <v>6.4136433305168952E-3</v>
      </c>
      <c r="K2263" s="2">
        <f ca="1">IFERROR(AVERAGE(OFFSET(Tabla3[[#This Row],[Close]],-6,0,7)),"")</f>
        <v>2818.600027901784</v>
      </c>
      <c r="L2263" s="2">
        <f ca="1">IFERROR(_xlfn.STDEV.S(OFFSET(Tabla3[[#This Row],[Close]],-29,0,30)),"")</f>
        <v>77.826584438603632</v>
      </c>
    </row>
    <row r="2264" spans="1:12" x14ac:dyDescent="0.3">
      <c r="A2264" s="1">
        <v>45694</v>
      </c>
      <c r="B2264" s="3">
        <f>YEAR(Tabla3[[#This Row],[Date]])</f>
        <v>2025</v>
      </c>
      <c r="C2264" s="1" t="str">
        <f>+TEXT(Tabla3[[#This Row],[Date]],"mmm")</f>
        <v>feb</v>
      </c>
      <c r="D2264" s="2">
        <v>2856</v>
      </c>
      <c r="E2264" s="2">
        <v>2856</v>
      </c>
      <c r="F2264" s="2">
        <v>2871.69995117187</v>
      </c>
      <c r="G2264" s="2">
        <v>2836.30004882812</v>
      </c>
      <c r="H2264" s="2">
        <v>2865.19995117187</v>
      </c>
      <c r="I2264">
        <v>3116</v>
      </c>
      <c r="J2264" s="2">
        <f ca="1">IFERROR((Tabla3[[#This Row],[Close]]-OFFSET(Tabla3[[#This Row],[Close]],-1,0))/OFFSET(Tabla3[[#This Row],[Close]],-1,0),"")</f>
        <v>-5.4325453147123547E-3</v>
      </c>
      <c r="K2264" s="2">
        <f ca="1">IFERROR(AVERAGE(OFFSET(Tabla3[[#This Row],[Close]],-6,0,7)),"")</f>
        <v>2831.3428780691952</v>
      </c>
      <c r="L2264" s="2">
        <f ca="1">IFERROR(_xlfn.STDEV.S(OFFSET(Tabla3[[#This Row],[Close]],-29,0,30)),"")</f>
        <v>79.388627813825366</v>
      </c>
    </row>
    <row r="2265" spans="1:12" x14ac:dyDescent="0.3">
      <c r="A2265" s="1">
        <v>45695</v>
      </c>
      <c r="B2265" s="3">
        <f>YEAR(Tabla3[[#This Row],[Date]])</f>
        <v>2025</v>
      </c>
      <c r="C2265" s="1" t="str">
        <f>+TEXT(Tabla3[[#This Row],[Date]],"mmm")</f>
        <v>feb</v>
      </c>
      <c r="D2265" s="2">
        <v>2867.30004882812</v>
      </c>
      <c r="E2265" s="2">
        <v>2867.30004882812</v>
      </c>
      <c r="F2265" s="2">
        <v>2889.5</v>
      </c>
      <c r="G2265" s="2">
        <v>2857.80004882812</v>
      </c>
      <c r="H2265" s="2">
        <v>2859.89990234375</v>
      </c>
      <c r="I2265">
        <v>1822</v>
      </c>
      <c r="J2265" s="2">
        <f ca="1">IFERROR((Tabla3[[#This Row],[Close]]-OFFSET(Tabla3[[#This Row],[Close]],-1,0))/OFFSET(Tabla3[[#This Row],[Close]],-1,0),"")</f>
        <v>3.956599729733893E-3</v>
      </c>
      <c r="K2265" s="2">
        <f ca="1">IFERROR(AVERAGE(OFFSET(Tabla3[[#This Row],[Close]],-6,0,7)),"")</f>
        <v>2845.3714425223197</v>
      </c>
      <c r="L2265" s="2">
        <f ca="1">IFERROR(_xlfn.STDEV.S(OFFSET(Tabla3[[#This Row],[Close]],-29,0,30)),"")</f>
        <v>81.081533130396735</v>
      </c>
    </row>
    <row r="2266" spans="1:12" x14ac:dyDescent="0.3">
      <c r="A2266" s="1">
        <v>45698</v>
      </c>
      <c r="B2266" s="3">
        <f>YEAR(Tabla3[[#This Row],[Date]])</f>
        <v>2025</v>
      </c>
      <c r="C2266" s="1" t="str">
        <f>+TEXT(Tabla3[[#This Row],[Date]],"mmm")</f>
        <v>feb</v>
      </c>
      <c r="D2266" s="2">
        <v>2914.30004882812</v>
      </c>
      <c r="E2266" s="2">
        <v>2914.30004882812</v>
      </c>
      <c r="F2266" s="2">
        <v>2916.10009765625</v>
      </c>
      <c r="G2266" s="2">
        <v>2863.80004882812</v>
      </c>
      <c r="H2266" s="2">
        <v>2864.19995117187</v>
      </c>
      <c r="I2266">
        <v>2237</v>
      </c>
      <c r="J2266" s="2">
        <f ca="1">IFERROR((Tabla3[[#This Row],[Close]]-OFFSET(Tabla3[[#This Row],[Close]],-1,0))/OFFSET(Tabla3[[#This Row],[Close]],-1,0),"")</f>
        <v>1.6391727129921103E-2</v>
      </c>
      <c r="K2266" s="2">
        <f ca="1">IFERROR(AVERAGE(OFFSET(Tabla3[[#This Row],[Close]],-6,0,7)),"")</f>
        <v>2858.4143066406227</v>
      </c>
      <c r="L2266" s="2">
        <f ca="1">IFERROR(_xlfn.STDEV.S(OFFSET(Tabla3[[#This Row],[Close]],-29,0,30)),"")</f>
        <v>85.652791880726582</v>
      </c>
    </row>
    <row r="2267" spans="1:12" x14ac:dyDescent="0.3">
      <c r="A2267" s="1">
        <v>45699</v>
      </c>
      <c r="B2267" s="3">
        <f>YEAR(Tabla3[[#This Row],[Date]])</f>
        <v>2025</v>
      </c>
      <c r="C2267" s="1" t="str">
        <f>+TEXT(Tabla3[[#This Row],[Date]],"mmm")</f>
        <v>feb</v>
      </c>
      <c r="D2267" s="2">
        <v>2912.5</v>
      </c>
      <c r="E2267" s="2">
        <v>2912.5</v>
      </c>
      <c r="F2267" s="2">
        <v>2945.39990234375</v>
      </c>
      <c r="G2267" s="2">
        <v>2890</v>
      </c>
      <c r="H2267" s="2">
        <v>2925.5</v>
      </c>
      <c r="I2267">
        <v>2554</v>
      </c>
      <c r="J2267" s="2">
        <f ca="1">IFERROR((Tabla3[[#This Row],[Close]]-OFFSET(Tabla3[[#This Row],[Close]],-1,0))/OFFSET(Tabla3[[#This Row],[Close]],-1,0),"")</f>
        <v>-6.1766077547293805E-4</v>
      </c>
      <c r="K2267" s="2">
        <f ca="1">IFERROR(AVERAGE(OFFSET(Tabla3[[#This Row],[Close]],-6,0,7)),"")</f>
        <v>2872.7000209263374</v>
      </c>
      <c r="L2267" s="2">
        <f ca="1">IFERROR(_xlfn.STDEV.S(OFFSET(Tabla3[[#This Row],[Close]],-29,0,30)),"")</f>
        <v>87.871168914176664</v>
      </c>
    </row>
    <row r="2268" spans="1:12" x14ac:dyDescent="0.3">
      <c r="A2268" s="1">
        <v>45700</v>
      </c>
      <c r="B2268" s="3">
        <f>YEAR(Tabla3[[#This Row],[Date]])</f>
        <v>2025</v>
      </c>
      <c r="C2268" s="1" t="str">
        <f>+TEXT(Tabla3[[#This Row],[Date]],"mmm")</f>
        <v>feb</v>
      </c>
      <c r="D2268" s="2">
        <v>2909</v>
      </c>
      <c r="E2268" s="2">
        <v>2909</v>
      </c>
      <c r="F2268" s="2">
        <v>2912.30004882812</v>
      </c>
      <c r="G2268" s="2">
        <v>2868.60009765625</v>
      </c>
      <c r="H2268" s="2">
        <v>2902</v>
      </c>
      <c r="I2268">
        <v>2504</v>
      </c>
      <c r="J2268" s="2">
        <f ca="1">IFERROR((Tabla3[[#This Row],[Close]]-OFFSET(Tabla3[[#This Row],[Close]],-1,0))/OFFSET(Tabla3[[#This Row],[Close]],-1,0),"")</f>
        <v>-1.2017167381974249E-3</v>
      </c>
      <c r="K2268" s="2">
        <f ca="1">IFERROR(AVERAGE(OFFSET(Tabla3[[#This Row],[Close]],-6,0,7)),"")</f>
        <v>2883.4286063058016</v>
      </c>
      <c r="L2268" s="2">
        <f ca="1">IFERROR(_xlfn.STDEV.S(OFFSET(Tabla3[[#This Row],[Close]],-29,0,30)),"")</f>
        <v>88.064908365248101</v>
      </c>
    </row>
    <row r="2269" spans="1:12" x14ac:dyDescent="0.3">
      <c r="A2269" s="1">
        <v>45701</v>
      </c>
      <c r="B2269" s="3">
        <f>YEAR(Tabla3[[#This Row],[Date]])</f>
        <v>2025</v>
      </c>
      <c r="C2269" s="1" t="str">
        <f>+TEXT(Tabla3[[#This Row],[Date]],"mmm")</f>
        <v>feb</v>
      </c>
      <c r="D2269" s="2">
        <v>2925.89990234375</v>
      </c>
      <c r="E2269" s="2">
        <v>2925.89990234375</v>
      </c>
      <c r="F2269" s="2">
        <v>2937.69995117187</v>
      </c>
      <c r="G2269" s="2">
        <v>2910.60009765625</v>
      </c>
      <c r="H2269" s="2">
        <v>2911.30004882812</v>
      </c>
      <c r="I2269">
        <v>4670</v>
      </c>
      <c r="J2269" s="2">
        <f ca="1">IFERROR((Tabla3[[#This Row],[Close]]-OFFSET(Tabla3[[#This Row],[Close]],-1,0))/OFFSET(Tabla3[[#This Row],[Close]],-1,0),"")</f>
        <v>5.8095229782571334E-3</v>
      </c>
      <c r="K2269" s="2">
        <f ca="1">IFERROR(AVERAGE(OFFSET(Tabla3[[#This Row],[Close]],-6,0,7)),"")</f>
        <v>2893.8000139508913</v>
      </c>
      <c r="L2269" s="2">
        <f ca="1">IFERROR(_xlfn.STDEV.S(OFFSET(Tabla3[[#This Row],[Close]],-29,0,30)),"")</f>
        <v>89.406771426683306</v>
      </c>
    </row>
    <row r="2270" spans="1:12" x14ac:dyDescent="0.3">
      <c r="A2270" s="1">
        <v>45702</v>
      </c>
      <c r="B2270" s="3">
        <f>YEAR(Tabla3[[#This Row],[Date]])</f>
        <v>2025</v>
      </c>
      <c r="C2270" s="1" t="str">
        <f>+TEXT(Tabla3[[#This Row],[Date]],"mmm")</f>
        <v>feb</v>
      </c>
      <c r="D2270" s="2">
        <v>2883.60009765625</v>
      </c>
      <c r="E2270" s="2">
        <v>2883.60009765625</v>
      </c>
      <c r="F2270" s="2">
        <v>2944.39990234375</v>
      </c>
      <c r="G2270" s="2">
        <v>2874.80004882812</v>
      </c>
      <c r="H2270" s="2">
        <v>2937.30004882812</v>
      </c>
      <c r="I2270">
        <v>1992</v>
      </c>
      <c r="J2270" s="2">
        <f ca="1">IFERROR((Tabla3[[#This Row],[Close]]-OFFSET(Tabla3[[#This Row],[Close]],-1,0))/OFFSET(Tabla3[[#This Row],[Close]],-1,0),"")</f>
        <v>-1.4457023855674744E-2</v>
      </c>
      <c r="K2270" s="2">
        <f ca="1">IFERROR(AVERAGE(OFFSET(Tabla3[[#This Row],[Close]],-6,0,7)),"")</f>
        <v>2895.5142996651771</v>
      </c>
      <c r="L2270" s="2">
        <f ca="1">IFERROR(_xlfn.STDEV.S(OFFSET(Tabla3[[#This Row],[Close]],-29,0,30)),"")</f>
        <v>89.115830830448587</v>
      </c>
    </row>
    <row r="2271" spans="1:12" x14ac:dyDescent="0.3">
      <c r="A2271" s="1">
        <v>45706</v>
      </c>
      <c r="B2271" s="3">
        <f>YEAR(Tabla3[[#This Row],[Date]])</f>
        <v>2025</v>
      </c>
      <c r="C2271" s="1" t="str">
        <f>+TEXT(Tabla3[[#This Row],[Date]],"mmm")</f>
        <v>feb</v>
      </c>
      <c r="D2271" s="2">
        <v>2931.60009765625</v>
      </c>
      <c r="E2271" s="2">
        <v>2931.60009765625</v>
      </c>
      <c r="F2271" s="2">
        <v>2936.39990234375</v>
      </c>
      <c r="G2271" s="2">
        <v>2873.80004882812</v>
      </c>
      <c r="H2271" s="2">
        <v>2879.19995117187</v>
      </c>
      <c r="I2271">
        <v>4010</v>
      </c>
      <c r="J2271" s="2">
        <f ca="1">IFERROR((Tabla3[[#This Row],[Close]]-OFFSET(Tabla3[[#This Row],[Close]],-1,0))/OFFSET(Tabla3[[#This Row],[Close]],-1,0),"")</f>
        <v>1.6645858778758446E-2</v>
      </c>
      <c r="K2271" s="2">
        <f ca="1">IFERROR(AVERAGE(OFFSET(Tabla3[[#This Row],[Close]],-6,0,7)),"")</f>
        <v>2906.3143136160697</v>
      </c>
      <c r="L2271" s="2">
        <f ca="1">IFERROR(_xlfn.STDEV.S(OFFSET(Tabla3[[#This Row],[Close]],-29,0,30)),"")</f>
        <v>89.688078969826677</v>
      </c>
    </row>
    <row r="2272" spans="1:12" x14ac:dyDescent="0.3">
      <c r="A2272" s="1">
        <v>45707</v>
      </c>
      <c r="B2272" s="3">
        <f>YEAR(Tabla3[[#This Row],[Date]])</f>
        <v>2025</v>
      </c>
      <c r="C2272" s="1" t="str">
        <f>+TEXT(Tabla3[[#This Row],[Date]],"mmm")</f>
        <v>feb</v>
      </c>
      <c r="D2272" s="2">
        <v>2919.39990234375</v>
      </c>
      <c r="E2272" s="2">
        <v>2919.39990234375</v>
      </c>
      <c r="F2272" s="2">
        <v>2946</v>
      </c>
      <c r="G2272" s="2">
        <v>2917.10009765625</v>
      </c>
      <c r="H2272" s="2">
        <v>2938.69995117187</v>
      </c>
      <c r="I2272">
        <v>2630</v>
      </c>
      <c r="J2272" s="2">
        <f ca="1">IFERROR((Tabla3[[#This Row],[Close]]-OFFSET(Tabla3[[#This Row],[Close]],-1,0))/OFFSET(Tabla3[[#This Row],[Close]],-1,0),"")</f>
        <v>-4.1616164913672194E-3</v>
      </c>
      <c r="K2272" s="2">
        <f ca="1">IFERROR(AVERAGE(OFFSET(Tabla3[[#This Row],[Close]],-6,0,7)),"")</f>
        <v>2913.7571498325883</v>
      </c>
      <c r="L2272" s="2">
        <f ca="1">IFERROR(_xlfn.STDEV.S(OFFSET(Tabla3[[#This Row],[Close]],-29,0,30)),"")</f>
        <v>88.197368090835127</v>
      </c>
    </row>
    <row r="2273" spans="1:12" x14ac:dyDescent="0.3">
      <c r="A2273" s="1">
        <v>45708</v>
      </c>
      <c r="B2273" s="3">
        <f>YEAR(Tabla3[[#This Row],[Date]])</f>
        <v>2025</v>
      </c>
      <c r="C2273" s="1" t="str">
        <f>+TEXT(Tabla3[[#This Row],[Date]],"mmm")</f>
        <v>feb</v>
      </c>
      <c r="D2273" s="2">
        <v>2940</v>
      </c>
      <c r="E2273" s="2">
        <v>2940</v>
      </c>
      <c r="F2273" s="2">
        <v>2955.80004882812</v>
      </c>
      <c r="G2273" s="2">
        <v>2924.19995117187</v>
      </c>
      <c r="H2273" s="2">
        <v>2949.10009765625</v>
      </c>
      <c r="I2273">
        <v>656</v>
      </c>
      <c r="J2273" s="2">
        <f ca="1">IFERROR((Tabla3[[#This Row],[Close]]-OFFSET(Tabla3[[#This Row],[Close]],-1,0))/OFFSET(Tabla3[[#This Row],[Close]],-1,0),"")</f>
        <v>7.0562781206205587E-3</v>
      </c>
      <c r="K2273" s="2">
        <f ca="1">IFERROR(AVERAGE(OFFSET(Tabla3[[#This Row],[Close]],-6,0,7)),"")</f>
        <v>2917.4285714285716</v>
      </c>
      <c r="L2273" s="2">
        <f ca="1">IFERROR(_xlfn.STDEV.S(OFFSET(Tabla3[[#This Row],[Close]],-29,0,30)),"")</f>
        <v>87.793447416368068</v>
      </c>
    </row>
    <row r="2274" spans="1:12" x14ac:dyDescent="0.3">
      <c r="A2274" s="1">
        <v>45709</v>
      </c>
      <c r="B2274" s="3">
        <f>YEAR(Tabla3[[#This Row],[Date]])</f>
        <v>2025</v>
      </c>
      <c r="C2274" s="1" t="str">
        <f>+TEXT(Tabla3[[#This Row],[Date]],"mmm")</f>
        <v>feb</v>
      </c>
      <c r="D2274" s="2">
        <v>2937.60009765625</v>
      </c>
      <c r="E2274" s="2">
        <v>2937.60009765625</v>
      </c>
      <c r="F2274" s="2">
        <v>2940</v>
      </c>
      <c r="G2274" s="2">
        <v>2917.30004882812</v>
      </c>
      <c r="H2274" s="2">
        <v>2938.80004882812</v>
      </c>
      <c r="I2274">
        <v>570</v>
      </c>
      <c r="J2274" s="2">
        <f ca="1">IFERROR((Tabla3[[#This Row],[Close]]-OFFSET(Tabla3[[#This Row],[Close]],-1,0))/OFFSET(Tabla3[[#This Row],[Close]],-1,0),"")</f>
        <v>-8.1629331420068028E-4</v>
      </c>
      <c r="K2274" s="2">
        <f ca="1">IFERROR(AVERAGE(OFFSET(Tabla3[[#This Row],[Close]],-6,0,7)),"")</f>
        <v>2921.0142996651784</v>
      </c>
      <c r="L2274" s="2">
        <f ca="1">IFERROR(_xlfn.STDEV.S(OFFSET(Tabla3[[#This Row],[Close]],-29,0,30)),"")</f>
        <v>86.691166980826125</v>
      </c>
    </row>
    <row r="2275" spans="1:12" x14ac:dyDescent="0.3">
      <c r="A2275" s="1">
        <v>45712</v>
      </c>
      <c r="B2275" s="3">
        <f>YEAR(Tabla3[[#This Row],[Date]])</f>
        <v>2025</v>
      </c>
      <c r="C2275" s="1" t="str">
        <f>+TEXT(Tabla3[[#This Row],[Date]],"mmm")</f>
        <v>feb</v>
      </c>
      <c r="D2275" s="2">
        <v>2947.89990234375</v>
      </c>
      <c r="E2275" s="2">
        <v>2947.89990234375</v>
      </c>
      <c r="F2275" s="2">
        <v>2957.89990234375</v>
      </c>
      <c r="G2275" s="2">
        <v>2933.10009765625</v>
      </c>
      <c r="H2275" s="2">
        <v>2933.10009765625</v>
      </c>
      <c r="I2275">
        <v>415</v>
      </c>
      <c r="J2275" s="2">
        <f ca="1">IFERROR((Tabla3[[#This Row],[Close]]-OFFSET(Tabla3[[#This Row],[Close]],-1,0))/OFFSET(Tabla3[[#This Row],[Close]],-1,0),"")</f>
        <v>3.5061970129009897E-3</v>
      </c>
      <c r="K2275" s="2">
        <f ca="1">IFERROR(AVERAGE(OFFSET(Tabla3[[#This Row],[Close]],-6,0,7)),"")</f>
        <v>2926.5714285714284</v>
      </c>
      <c r="L2275" s="2">
        <f ca="1">IFERROR(_xlfn.STDEV.S(OFFSET(Tabla3[[#This Row],[Close]],-29,0,30)),"")</f>
        <v>86.231400801041019</v>
      </c>
    </row>
    <row r="2276" spans="1:12" x14ac:dyDescent="0.3">
      <c r="A2276" s="1">
        <v>45713</v>
      </c>
      <c r="B2276" s="3">
        <f>YEAR(Tabla3[[#This Row],[Date]])</f>
        <v>2025</v>
      </c>
      <c r="C2276" s="1" t="str">
        <f>+TEXT(Tabla3[[#This Row],[Date]],"mmm")</f>
        <v>feb</v>
      </c>
      <c r="D2276" s="2">
        <v>2904.5</v>
      </c>
      <c r="E2276" s="2">
        <v>2904.5</v>
      </c>
      <c r="F2276" s="2">
        <v>2943.19995117187</v>
      </c>
      <c r="G2276" s="2">
        <v>2890</v>
      </c>
      <c r="H2276" s="2">
        <v>2938.69995117187</v>
      </c>
      <c r="I2276">
        <v>1854</v>
      </c>
      <c r="J2276" s="2">
        <f ca="1">IFERROR((Tabla3[[#This Row],[Close]]-OFFSET(Tabla3[[#This Row],[Close]],-1,0))/OFFSET(Tabla3[[#This Row],[Close]],-1,0),"")</f>
        <v>-1.4722312080286234E-2</v>
      </c>
      <c r="K2276" s="2">
        <f ca="1">IFERROR(AVERAGE(OFFSET(Tabla3[[#This Row],[Close]],-6,0,7)),"")</f>
        <v>2923.5142996651784</v>
      </c>
      <c r="L2276" s="2">
        <f ca="1">IFERROR(_xlfn.STDEV.S(OFFSET(Tabla3[[#This Row],[Close]],-29,0,30)),"")</f>
        <v>84.538811122121217</v>
      </c>
    </row>
    <row r="2277" spans="1:12" x14ac:dyDescent="0.3">
      <c r="A2277" s="1">
        <v>45714</v>
      </c>
      <c r="B2277" s="3">
        <f>YEAR(Tabla3[[#This Row],[Date]])</f>
        <v>2025</v>
      </c>
      <c r="C2277" s="1" t="str">
        <f>+TEXT(Tabla3[[#This Row],[Date]],"mmm")</f>
        <v>feb</v>
      </c>
      <c r="D2277" s="2">
        <v>2916.80004882812</v>
      </c>
      <c r="E2277" s="2">
        <v>2916.80004882812</v>
      </c>
      <c r="F2277" s="2">
        <v>2917</v>
      </c>
      <c r="G2277" s="2">
        <v>2913</v>
      </c>
      <c r="H2277" s="2">
        <v>2913.5</v>
      </c>
      <c r="I2277">
        <v>2050</v>
      </c>
      <c r="J2277" s="2">
        <f ca="1">IFERROR((Tabla3[[#This Row],[Close]]-OFFSET(Tabla3[[#This Row],[Close]],-1,0))/OFFSET(Tabla3[[#This Row],[Close]],-1,0),"")</f>
        <v>4.2348248676605258E-3</v>
      </c>
      <c r="K2277" s="2">
        <f ca="1">IFERROR(AVERAGE(OFFSET(Tabla3[[#This Row],[Close]],-6,0,7)),"")</f>
        <v>2928.2571498325888</v>
      </c>
      <c r="L2277" s="2">
        <f ca="1">IFERROR(_xlfn.STDEV.S(OFFSET(Tabla3[[#This Row],[Close]],-29,0,30)),"")</f>
        <v>80.465615626126208</v>
      </c>
    </row>
    <row r="2278" spans="1:12" x14ac:dyDescent="0.3">
      <c r="A2278" s="1">
        <v>45715</v>
      </c>
      <c r="B2278" s="3">
        <f>YEAR(Tabla3[[#This Row],[Date]])</f>
        <v>2025</v>
      </c>
      <c r="C2278" s="1" t="str">
        <f>+TEXT(Tabla3[[#This Row],[Date]],"mmm")</f>
        <v>feb</v>
      </c>
      <c r="D2278" s="2">
        <v>2883.19995117187</v>
      </c>
      <c r="E2278" s="2">
        <v>2883.19995117187</v>
      </c>
      <c r="F2278" s="2">
        <v>2922.80004882812</v>
      </c>
      <c r="G2278" s="2">
        <v>2870.39990234375</v>
      </c>
      <c r="H2278" s="2">
        <v>2918.5</v>
      </c>
      <c r="I2278">
        <v>3215</v>
      </c>
      <c r="J2278" s="2">
        <f ca="1">IFERROR((Tabla3[[#This Row],[Close]]-OFFSET(Tabla3[[#This Row],[Close]],-1,0))/OFFSET(Tabla3[[#This Row],[Close]],-1,0),"")</f>
        <v>-1.1519506683274186E-2</v>
      </c>
      <c r="K2278" s="2">
        <f ca="1">IFERROR(AVERAGE(OFFSET(Tabla3[[#This Row],[Close]],-6,0,7)),"")</f>
        <v>2921.3428431919633</v>
      </c>
      <c r="L2278" s="2">
        <f ca="1">IFERROR(_xlfn.STDEV.S(OFFSET(Tabla3[[#This Row],[Close]],-29,0,30)),"")</f>
        <v>74.768779747815927</v>
      </c>
    </row>
    <row r="2279" spans="1:12" x14ac:dyDescent="0.3">
      <c r="A2279" s="1">
        <v>45716</v>
      </c>
      <c r="B2279" s="3">
        <f>YEAR(Tabla3[[#This Row],[Date]])</f>
        <v>2025</v>
      </c>
      <c r="C2279" s="1" t="str">
        <f>+TEXT(Tabla3[[#This Row],[Date]],"mmm")</f>
        <v>feb</v>
      </c>
      <c r="D2279" s="2">
        <v>2836.80004882812</v>
      </c>
      <c r="E2279" s="2">
        <v>2836.80004882812</v>
      </c>
      <c r="F2279" s="2">
        <v>2877.10009765625</v>
      </c>
      <c r="G2279" s="2">
        <v>2834.10009765625</v>
      </c>
      <c r="H2279" s="2">
        <v>2877.10009765625</v>
      </c>
      <c r="I2279">
        <v>990</v>
      </c>
      <c r="J2279" s="2">
        <f ca="1">IFERROR((Tabla3[[#This Row],[Close]]-OFFSET(Tabla3[[#This Row],[Close]],-1,0))/OFFSET(Tabla3[[#This Row],[Close]],-1,0),"")</f>
        <v>-1.6093196146486775E-2</v>
      </c>
      <c r="K2279" s="2">
        <f ca="1">IFERROR(AVERAGE(OFFSET(Tabla3[[#This Row],[Close]],-6,0,7)),"")</f>
        <v>2909.5428641183016</v>
      </c>
      <c r="L2279" s="2">
        <f ca="1">IFERROR(_xlfn.STDEV.S(OFFSET(Tabla3[[#This Row],[Close]],-29,0,30)),"")</f>
        <v>70.427048902662449</v>
      </c>
    </row>
    <row r="2280" spans="1:12" x14ac:dyDescent="0.3">
      <c r="A2280" s="1">
        <v>45719</v>
      </c>
      <c r="B2280" s="3">
        <f>YEAR(Tabla3[[#This Row],[Date]])</f>
        <v>2025</v>
      </c>
      <c r="C2280" s="1" t="str">
        <f>+TEXT(Tabla3[[#This Row],[Date]],"mmm")</f>
        <v>mar</v>
      </c>
      <c r="D2280" s="2">
        <v>2890.19995117187</v>
      </c>
      <c r="E2280" s="2">
        <v>2890.19995117187</v>
      </c>
      <c r="F2280" s="2">
        <v>2891.80004882812</v>
      </c>
      <c r="G2280" s="2">
        <v>2863.39990234375</v>
      </c>
      <c r="H2280" s="2">
        <v>2872.69995117187</v>
      </c>
      <c r="I2280">
        <v>423</v>
      </c>
      <c r="J2280" s="2">
        <f ca="1">IFERROR((Tabla3[[#This Row],[Close]]-OFFSET(Tabla3[[#This Row],[Close]],-1,0))/OFFSET(Tabla3[[#This Row],[Close]],-1,0),"")</f>
        <v>1.8823992323960041E-2</v>
      </c>
      <c r="K2280" s="2">
        <f ca="1">IFERROR(AVERAGE(OFFSET(Tabla3[[#This Row],[Close]],-6,0,7)),"")</f>
        <v>2902.4285714285688</v>
      </c>
      <c r="L2280" s="2">
        <f ca="1">IFERROR(_xlfn.STDEV.S(OFFSET(Tabla3[[#This Row],[Close]],-29,0,30)),"")</f>
        <v>67.965026544064315</v>
      </c>
    </row>
    <row r="2281" spans="1:12" x14ac:dyDescent="0.3">
      <c r="A2281" s="1">
        <v>45720</v>
      </c>
      <c r="B2281" s="3">
        <f>YEAR(Tabla3[[#This Row],[Date]])</f>
        <v>2025</v>
      </c>
      <c r="C2281" s="1" t="str">
        <f>+TEXT(Tabla3[[#This Row],[Date]],"mmm")</f>
        <v>mar</v>
      </c>
      <c r="D2281" s="2">
        <v>2909.60009765625</v>
      </c>
      <c r="E2281" s="2">
        <v>2909.60009765625</v>
      </c>
      <c r="F2281" s="2">
        <v>2927.89990234375</v>
      </c>
      <c r="G2281" s="2">
        <v>2886.10009765625</v>
      </c>
      <c r="H2281" s="2">
        <v>2886.10009765625</v>
      </c>
      <c r="I2281">
        <v>885</v>
      </c>
      <c r="J2281" s="2">
        <f ca="1">IFERROR((Tabla3[[#This Row],[Close]]-OFFSET(Tabla3[[#This Row],[Close]],-1,0))/OFFSET(Tabla3[[#This Row],[Close]],-1,0),"")</f>
        <v>6.7123890430189634E-3</v>
      </c>
      <c r="K2281" s="2">
        <f ca="1">IFERROR(AVERAGE(OFFSET(Tabla3[[#This Row],[Close]],-6,0,7)),"")</f>
        <v>2898.4285714285684</v>
      </c>
      <c r="L2281" s="2">
        <f ca="1">IFERROR(_xlfn.STDEV.S(OFFSET(Tabla3[[#This Row],[Close]],-29,0,30)),"")</f>
        <v>65.32580142829292</v>
      </c>
    </row>
    <row r="2282" spans="1:12" x14ac:dyDescent="0.3">
      <c r="A2282" s="1">
        <v>45721</v>
      </c>
      <c r="B2282" s="3">
        <f>YEAR(Tabla3[[#This Row],[Date]])</f>
        <v>2025</v>
      </c>
      <c r="C2282" s="1" t="str">
        <f>+TEXT(Tabla3[[#This Row],[Date]],"mmm")</f>
        <v>mar</v>
      </c>
      <c r="D2282" s="2">
        <v>2915.30004882812</v>
      </c>
      <c r="E2282" s="2">
        <v>2915.30004882812</v>
      </c>
      <c r="F2282" s="2">
        <v>2922</v>
      </c>
      <c r="G2282" s="2">
        <v>2893</v>
      </c>
      <c r="H2282" s="2">
        <v>2916.69995117187</v>
      </c>
      <c r="I2282">
        <v>551</v>
      </c>
      <c r="J2282" s="2">
        <f ca="1">IFERROR((Tabla3[[#This Row],[Close]]-OFFSET(Tabla3[[#This Row],[Close]],-1,0))/OFFSET(Tabla3[[#This Row],[Close]],-1,0),"")</f>
        <v>1.9590153218861381E-3</v>
      </c>
      <c r="K2282" s="2">
        <f ca="1">IFERROR(AVERAGE(OFFSET(Tabla3[[#This Row],[Close]],-6,0,7)),"")</f>
        <v>2893.771449497764</v>
      </c>
      <c r="L2282" s="2">
        <f ca="1">IFERROR(_xlfn.STDEV.S(OFFSET(Tabla3[[#This Row],[Close]],-29,0,30)),"")</f>
        <v>62.904497036559547</v>
      </c>
    </row>
    <row r="2283" spans="1:12" x14ac:dyDescent="0.3">
      <c r="A2283" s="1">
        <v>45722</v>
      </c>
      <c r="B2283" s="3">
        <f>YEAR(Tabla3[[#This Row],[Date]])</f>
        <v>2025</v>
      </c>
      <c r="C2283" s="1" t="str">
        <f>+TEXT(Tabla3[[#This Row],[Date]],"mmm")</f>
        <v>mar</v>
      </c>
      <c r="D2283" s="2">
        <v>2916.60009765625</v>
      </c>
      <c r="E2283" s="2">
        <v>2916.60009765625</v>
      </c>
      <c r="F2283" s="2">
        <v>2918.60009765625</v>
      </c>
      <c r="G2283" s="2">
        <v>2903.80004882812</v>
      </c>
      <c r="H2283" s="2">
        <v>2904</v>
      </c>
      <c r="I2283">
        <v>870</v>
      </c>
      <c r="J2283" s="2">
        <f ca="1">IFERROR((Tabla3[[#This Row],[Close]]-OFFSET(Tabla3[[#This Row],[Close]],-1,0))/OFFSET(Tabla3[[#This Row],[Close]],-1,0),"")</f>
        <v>4.4593997405261609E-4</v>
      </c>
      <c r="K2283" s="2">
        <f ca="1">IFERROR(AVERAGE(OFFSET(Tabla3[[#This Row],[Close]],-6,0,7)),"")</f>
        <v>2895.5000348772287</v>
      </c>
      <c r="L2283" s="2">
        <f ca="1">IFERROR(_xlfn.STDEV.S(OFFSET(Tabla3[[#This Row],[Close]],-29,0,30)),"")</f>
        <v>60.719223504431383</v>
      </c>
    </row>
    <row r="2284" spans="1:12" x14ac:dyDescent="0.3">
      <c r="A2284" s="1">
        <v>45723</v>
      </c>
      <c r="B2284" s="3">
        <f>YEAR(Tabla3[[#This Row],[Date]])</f>
        <v>2025</v>
      </c>
      <c r="C2284" s="1" t="str">
        <f>+TEXT(Tabla3[[#This Row],[Date]],"mmm")</f>
        <v>mar</v>
      </c>
      <c r="D2284" s="2">
        <v>2904.69995117187</v>
      </c>
      <c r="E2284" s="2">
        <v>2904.69995117187</v>
      </c>
      <c r="F2284" s="2">
        <v>2927.30004882812</v>
      </c>
      <c r="G2284" s="2">
        <v>2900.5</v>
      </c>
      <c r="H2284" s="2">
        <v>2900.89990234375</v>
      </c>
      <c r="I2284">
        <v>531</v>
      </c>
      <c r="J2284" s="2">
        <f ca="1">IFERROR((Tabla3[[#This Row],[Close]]-OFFSET(Tabla3[[#This Row],[Close]],-1,0))/OFFSET(Tabla3[[#This Row],[Close]],-1,0),"")</f>
        <v>-4.0801433470234192E-3</v>
      </c>
      <c r="K2284" s="2">
        <f ca="1">IFERROR(AVERAGE(OFFSET(Tabla3[[#This Row],[Close]],-6,0,7)),"")</f>
        <v>2893.771449497764</v>
      </c>
      <c r="L2284" s="2">
        <f ca="1">IFERROR(_xlfn.STDEV.S(OFFSET(Tabla3[[#This Row],[Close]],-29,0,30)),"")</f>
        <v>57.469245647123103</v>
      </c>
    </row>
    <row r="2285" spans="1:12" x14ac:dyDescent="0.3">
      <c r="A2285" s="1">
        <v>45726</v>
      </c>
      <c r="B2285" s="3">
        <f>YEAR(Tabla3[[#This Row],[Date]])</f>
        <v>2025</v>
      </c>
      <c r="C2285" s="1" t="str">
        <f>+TEXT(Tabla3[[#This Row],[Date]],"mmm")</f>
        <v>mar</v>
      </c>
      <c r="D2285" s="2">
        <v>2891</v>
      </c>
      <c r="E2285" s="2">
        <v>2891</v>
      </c>
      <c r="F2285" s="2">
        <v>2915.10009765625</v>
      </c>
      <c r="G2285" s="2">
        <v>2880.19995117187</v>
      </c>
      <c r="H2285" s="2">
        <v>2910.10009765625</v>
      </c>
      <c r="I2285">
        <v>55</v>
      </c>
      <c r="J2285" s="2">
        <f ca="1">IFERROR((Tabla3[[#This Row],[Close]]-OFFSET(Tabla3[[#This Row],[Close]],-1,0))/OFFSET(Tabla3[[#This Row],[Close]],-1,0),"")</f>
        <v>-4.7164772273097944E-3</v>
      </c>
      <c r="K2285" s="2">
        <f ca="1">IFERROR(AVERAGE(OFFSET(Tabla3[[#This Row],[Close]],-6,0,7)),"")</f>
        <v>2894.8857421874968</v>
      </c>
      <c r="L2285" s="2">
        <f ca="1">IFERROR(_xlfn.STDEV.S(OFFSET(Tabla3[[#This Row],[Close]],-29,0,30)),"")</f>
        <v>54.432362508680903</v>
      </c>
    </row>
    <row r="2286" spans="1:12" x14ac:dyDescent="0.3">
      <c r="A2286" s="1">
        <v>45727</v>
      </c>
      <c r="B2286" s="3">
        <f>YEAR(Tabla3[[#This Row],[Date]])</f>
        <v>2025</v>
      </c>
      <c r="C2286" s="1" t="str">
        <f>+TEXT(Tabla3[[#This Row],[Date]],"mmm")</f>
        <v>mar</v>
      </c>
      <c r="D2286" s="2">
        <v>2912.89990234375</v>
      </c>
      <c r="E2286" s="2">
        <v>2912.89990234375</v>
      </c>
      <c r="F2286" s="2">
        <v>2916.69995117187</v>
      </c>
      <c r="G2286" s="2">
        <v>2880.39990234375</v>
      </c>
      <c r="H2286" s="2">
        <v>2884.39990234375</v>
      </c>
      <c r="I2286">
        <v>197</v>
      </c>
      <c r="J2286" s="2">
        <f ca="1">IFERROR((Tabla3[[#This Row],[Close]]-OFFSET(Tabla3[[#This Row],[Close]],-1,0))/OFFSET(Tabla3[[#This Row],[Close]],-1,0),"")</f>
        <v>7.5751997038222066E-3</v>
      </c>
      <c r="K2286" s="2">
        <f ca="1">IFERROR(AVERAGE(OFFSET(Tabla3[[#This Row],[Close]],-6,0,7)),"")</f>
        <v>2905.7571498325874</v>
      </c>
      <c r="L2286" s="2">
        <f ca="1">IFERROR(_xlfn.STDEV.S(OFFSET(Tabla3[[#This Row],[Close]],-29,0,30)),"")</f>
        <v>47.666423800316899</v>
      </c>
    </row>
    <row r="2287" spans="1:12" x14ac:dyDescent="0.3">
      <c r="A2287" s="1">
        <v>45728</v>
      </c>
      <c r="B2287" s="3">
        <f>YEAR(Tabla3[[#This Row],[Date]])</f>
        <v>2025</v>
      </c>
      <c r="C2287" s="1" t="str">
        <f>+TEXT(Tabla3[[#This Row],[Date]],"mmm")</f>
        <v>mar</v>
      </c>
      <c r="D2287" s="2">
        <v>2939.10009765625</v>
      </c>
      <c r="E2287" s="2">
        <v>2939.10009765625</v>
      </c>
      <c r="F2287" s="2">
        <v>2939.10009765625</v>
      </c>
      <c r="G2287" s="2">
        <v>2910</v>
      </c>
      <c r="H2287" s="2">
        <v>2912</v>
      </c>
      <c r="I2287">
        <v>213</v>
      </c>
      <c r="J2287" s="2">
        <f ca="1">IFERROR((Tabla3[[#This Row],[Close]]-OFFSET(Tabla3[[#This Row],[Close]],-1,0))/OFFSET(Tabla3[[#This Row],[Close]],-1,0),"")</f>
        <v>8.994540214519231E-3</v>
      </c>
      <c r="K2287" s="2">
        <f ca="1">IFERROR(AVERAGE(OFFSET(Tabla3[[#This Row],[Close]],-6,0,7)),"")</f>
        <v>2912.7428850446413</v>
      </c>
      <c r="L2287" s="2">
        <f ca="1">IFERROR(_xlfn.STDEV.S(OFFSET(Tabla3[[#This Row],[Close]],-29,0,30)),"")</f>
        <v>43.062626201272622</v>
      </c>
    </row>
    <row r="2288" spans="1:12" x14ac:dyDescent="0.3">
      <c r="A2288" s="1">
        <v>45729</v>
      </c>
      <c r="B2288" s="3">
        <f>YEAR(Tabla3[[#This Row],[Date]])</f>
        <v>2025</v>
      </c>
      <c r="C2288" s="1" t="str">
        <f>+TEXT(Tabla3[[#This Row],[Date]],"mmm")</f>
        <v>mar</v>
      </c>
      <c r="D2288" s="2">
        <v>2984.30004882812</v>
      </c>
      <c r="E2288" s="2">
        <v>2984.30004882812</v>
      </c>
      <c r="F2288" s="2">
        <v>2988</v>
      </c>
      <c r="G2288" s="2">
        <v>2935.19995117187</v>
      </c>
      <c r="H2288" s="2">
        <v>2937.10009765625</v>
      </c>
      <c r="I2288">
        <v>2366</v>
      </c>
      <c r="J2288" s="2">
        <f ca="1">IFERROR((Tabla3[[#This Row],[Close]]-OFFSET(Tabla3[[#This Row],[Close]],-1,0))/OFFSET(Tabla3[[#This Row],[Close]],-1,0),"")</f>
        <v>1.5378840349096702E-2</v>
      </c>
      <c r="K2288" s="2">
        <f ca="1">IFERROR(AVERAGE(OFFSET(Tabla3[[#This Row],[Close]],-6,0,7)),"")</f>
        <v>2923.4143066406227</v>
      </c>
      <c r="L2288" s="2">
        <f ca="1">IFERROR(_xlfn.STDEV.S(OFFSET(Tabla3[[#This Row],[Close]],-29,0,30)),"")</f>
        <v>39.866322663375406</v>
      </c>
    </row>
    <row r="2289" spans="1:12" x14ac:dyDescent="0.3">
      <c r="A2289" s="1">
        <v>45730</v>
      </c>
      <c r="B2289" s="3">
        <f>YEAR(Tabla3[[#This Row],[Date]])</f>
        <v>2025</v>
      </c>
      <c r="C2289" s="1" t="str">
        <f>+TEXT(Tabla3[[#This Row],[Date]],"mmm")</f>
        <v>mar</v>
      </c>
      <c r="D2289" s="2">
        <v>2994.5</v>
      </c>
      <c r="E2289" s="2">
        <v>2994.5</v>
      </c>
      <c r="F2289" s="2">
        <v>3004.80004882812</v>
      </c>
      <c r="G2289" s="2">
        <v>2986</v>
      </c>
      <c r="H2289" s="2">
        <v>2994.39990234375</v>
      </c>
      <c r="I2289">
        <v>1800</v>
      </c>
      <c r="J2289" s="2">
        <f ca="1">IFERROR((Tabla3[[#This Row],[Close]]-OFFSET(Tabla3[[#This Row],[Close]],-1,0))/OFFSET(Tabla3[[#This Row],[Close]],-1,0),"")</f>
        <v>3.4178705240732535E-3</v>
      </c>
      <c r="K2289" s="2">
        <f ca="1">IFERROR(AVERAGE(OFFSET(Tabla3[[#This Row],[Close]],-6,0,7)),"")</f>
        <v>2934.7285853794629</v>
      </c>
      <c r="L2289" s="2">
        <f ca="1">IFERROR(_xlfn.STDEV.S(OFFSET(Tabla3[[#This Row],[Close]],-29,0,30)),"")</f>
        <v>40.999124184155022</v>
      </c>
    </row>
    <row r="2290" spans="1:12" x14ac:dyDescent="0.3">
      <c r="A2290" s="1">
        <v>45733</v>
      </c>
      <c r="B2290" s="3">
        <f>YEAR(Tabla3[[#This Row],[Date]])</f>
        <v>2025</v>
      </c>
      <c r="C2290" s="1" t="str">
        <f>+TEXT(Tabla3[[#This Row],[Date]],"mmm")</f>
        <v>mar</v>
      </c>
      <c r="D2290" s="2">
        <v>3000</v>
      </c>
      <c r="E2290" s="2">
        <v>3000</v>
      </c>
      <c r="F2290" s="2">
        <v>3001.5</v>
      </c>
      <c r="G2290" s="2">
        <v>2989</v>
      </c>
      <c r="H2290" s="2">
        <v>2991</v>
      </c>
      <c r="I2290">
        <v>214</v>
      </c>
      <c r="J2290" s="2">
        <f ca="1">IFERROR((Tabla3[[#This Row],[Close]]-OFFSET(Tabla3[[#This Row],[Close]],-1,0))/OFFSET(Tabla3[[#This Row],[Close]],-1,0),"")</f>
        <v>1.8367006177992986E-3</v>
      </c>
      <c r="K2290" s="2">
        <f ca="1">IFERROR(AVERAGE(OFFSET(Tabla3[[#This Row],[Close]],-6,0,7)),"")</f>
        <v>2946.6428571428555</v>
      </c>
      <c r="L2290" s="2">
        <f ca="1">IFERROR(_xlfn.STDEV.S(OFFSET(Tabla3[[#This Row],[Close]],-29,0,30)),"")</f>
        <v>40.882521958678602</v>
      </c>
    </row>
    <row r="2291" spans="1:12" x14ac:dyDescent="0.3">
      <c r="A2291" s="1">
        <v>45734</v>
      </c>
      <c r="B2291" s="3">
        <f>YEAR(Tabla3[[#This Row],[Date]])</f>
        <v>2025</v>
      </c>
      <c r="C2291" s="1" t="str">
        <f>+TEXT(Tabla3[[#This Row],[Date]],"mmm")</f>
        <v>mar</v>
      </c>
      <c r="D2291" s="2">
        <v>3035.10009765625</v>
      </c>
      <c r="E2291" s="2">
        <v>3035.10009765625</v>
      </c>
      <c r="F2291" s="2">
        <v>3039.19995117187</v>
      </c>
      <c r="G2291" s="2">
        <v>3004.39990234375</v>
      </c>
      <c r="H2291" s="2">
        <v>3006.39990234375</v>
      </c>
      <c r="I2291">
        <v>428</v>
      </c>
      <c r="J2291" s="2">
        <f ca="1">IFERROR((Tabla3[[#This Row],[Close]]-OFFSET(Tabla3[[#This Row],[Close]],-1,0))/OFFSET(Tabla3[[#This Row],[Close]],-1,0),"")</f>
        <v>1.1700032552083333E-2</v>
      </c>
      <c r="K2291" s="2">
        <f ca="1">IFERROR(AVERAGE(OFFSET(Tabla3[[#This Row],[Close]],-6,0,7)),"")</f>
        <v>2965.2714494977668</v>
      </c>
      <c r="L2291" s="2">
        <f ca="1">IFERROR(_xlfn.STDEV.S(OFFSET(Tabla3[[#This Row],[Close]],-29,0,30)),"")</f>
        <v>44.308422352379175</v>
      </c>
    </row>
    <row r="2292" spans="1:12" x14ac:dyDescent="0.3">
      <c r="A2292" s="1">
        <v>45735</v>
      </c>
      <c r="B2292" s="3">
        <f>YEAR(Tabla3[[#This Row],[Date]])</f>
        <v>2025</v>
      </c>
      <c r="C2292" s="1" t="str">
        <f>+TEXT(Tabla3[[#This Row],[Date]],"mmm")</f>
        <v>mar</v>
      </c>
      <c r="D2292" s="2">
        <v>3035.89990234375</v>
      </c>
      <c r="E2292" s="2">
        <v>3035.89990234375</v>
      </c>
      <c r="F2292" s="2">
        <v>3050.89990234375</v>
      </c>
      <c r="G2292" s="2">
        <v>3030.89990234375</v>
      </c>
      <c r="H2292" s="2">
        <v>3035.19995117187</v>
      </c>
      <c r="I2292">
        <v>175</v>
      </c>
      <c r="J2292" s="2">
        <f ca="1">IFERROR((Tabla3[[#This Row],[Close]]-OFFSET(Tabla3[[#This Row],[Close]],-1,0))/OFFSET(Tabla3[[#This Row],[Close]],-1,0),"")</f>
        <v>2.6351838877328008E-4</v>
      </c>
      <c r="K2292" s="2">
        <f ca="1">IFERROR(AVERAGE(OFFSET(Tabla3[[#This Row],[Close]],-6,0,7)),"")</f>
        <v>2985.9714355468741</v>
      </c>
      <c r="L2292" s="2">
        <f ca="1">IFERROR(_xlfn.STDEV.S(OFFSET(Tabla3[[#This Row],[Close]],-29,0,30)),"")</f>
        <v>47.694307009265998</v>
      </c>
    </row>
    <row r="2293" spans="1:12" x14ac:dyDescent="0.3">
      <c r="A2293" s="1">
        <v>45736</v>
      </c>
      <c r="B2293" s="3">
        <f>YEAR(Tabla3[[#This Row],[Date]])</f>
        <v>2025</v>
      </c>
      <c r="C2293" s="1" t="str">
        <f>+TEXT(Tabla3[[#This Row],[Date]],"mmm")</f>
        <v>mar</v>
      </c>
      <c r="D2293" s="2">
        <v>3040</v>
      </c>
      <c r="E2293" s="2">
        <v>3040</v>
      </c>
      <c r="F2293" s="2">
        <v>3047.30004882812</v>
      </c>
      <c r="G2293" s="2">
        <v>3034.39990234375</v>
      </c>
      <c r="H2293" s="2">
        <v>3047.30004882812</v>
      </c>
      <c r="I2293">
        <v>185</v>
      </c>
      <c r="J2293" s="2">
        <f ca="1">IFERROR((Tabla3[[#This Row],[Close]]-OFFSET(Tabla3[[#This Row],[Close]],-1,0))/OFFSET(Tabla3[[#This Row],[Close]],-1,0),"")</f>
        <v>1.3505378267197404E-3</v>
      </c>
      <c r="K2293" s="2">
        <f ca="1">IFERROR(AVERAGE(OFFSET(Tabla3[[#This Row],[Close]],-6,0,7)),"")</f>
        <v>3004.1285923549099</v>
      </c>
      <c r="L2293" s="2">
        <f ca="1">IFERROR(_xlfn.STDEV.S(OFFSET(Tabla3[[#This Row],[Close]],-29,0,30)),"")</f>
        <v>51.226628389543137</v>
      </c>
    </row>
    <row r="2294" spans="1:12" x14ac:dyDescent="0.3">
      <c r="A2294" s="1">
        <v>45737</v>
      </c>
      <c r="B2294" s="3">
        <f>YEAR(Tabla3[[#This Row],[Date]])</f>
        <v>2025</v>
      </c>
      <c r="C2294" s="1" t="str">
        <f>+TEXT(Tabla3[[#This Row],[Date]],"mmm")</f>
        <v>mar</v>
      </c>
      <c r="D2294" s="2">
        <v>3018.19995117187</v>
      </c>
      <c r="E2294" s="2">
        <v>3018.19995117187</v>
      </c>
      <c r="F2294" s="2">
        <v>3037.5</v>
      </c>
      <c r="G2294" s="2">
        <v>3000.89990234375</v>
      </c>
      <c r="H2294" s="2">
        <v>3034.5</v>
      </c>
      <c r="I2294">
        <v>151</v>
      </c>
      <c r="J2294" s="2">
        <f ca="1">IFERROR((Tabla3[[#This Row],[Close]]-OFFSET(Tabla3[[#This Row],[Close]],-1,0))/OFFSET(Tabla3[[#This Row],[Close]],-1,0),"")</f>
        <v>-7.1710686934638168E-3</v>
      </c>
      <c r="K2294" s="2">
        <f ca="1">IFERROR(AVERAGE(OFFSET(Tabla3[[#This Row],[Close]],-6,0,7)),"")</f>
        <v>3015.4285714285697</v>
      </c>
      <c r="L2294" s="2">
        <f ca="1">IFERROR(_xlfn.STDEV.S(OFFSET(Tabla3[[#This Row],[Close]],-29,0,30)),"")</f>
        <v>51.864290741530617</v>
      </c>
    </row>
    <row r="2295" spans="1:12" x14ac:dyDescent="0.3">
      <c r="A2295" s="1">
        <v>45740</v>
      </c>
      <c r="B2295" s="3">
        <f>YEAR(Tabla3[[#This Row],[Date]])</f>
        <v>2025</v>
      </c>
      <c r="C2295" s="1" t="str">
        <f>+TEXT(Tabla3[[#This Row],[Date]],"mmm")</f>
        <v>mar</v>
      </c>
      <c r="D2295" s="2">
        <v>3013.10009765625</v>
      </c>
      <c r="E2295" s="2">
        <v>3013.10009765625</v>
      </c>
      <c r="F2295" s="2">
        <v>3024.30004882812</v>
      </c>
      <c r="G2295" s="2">
        <v>3006</v>
      </c>
      <c r="H2295" s="2">
        <v>3024.30004882812</v>
      </c>
      <c r="I2295">
        <v>137</v>
      </c>
      <c r="J2295" s="2">
        <f ca="1">IFERROR((Tabla3[[#This Row],[Close]]-OFFSET(Tabla3[[#This Row],[Close]],-1,0))/OFFSET(Tabla3[[#This Row],[Close]],-1,0),"")</f>
        <v>-1.6897003505814414E-3</v>
      </c>
      <c r="K2295" s="2">
        <f ca="1">IFERROR(AVERAGE(OFFSET(Tabla3[[#This Row],[Close]],-6,0,7)),"")</f>
        <v>3019.542864118303</v>
      </c>
      <c r="L2295" s="2">
        <f ca="1">IFERROR(_xlfn.STDEV.S(OFFSET(Tabla3[[#This Row],[Close]],-29,0,30)),"")</f>
        <v>52.235530785660515</v>
      </c>
    </row>
    <row r="2296" spans="1:12" x14ac:dyDescent="0.3">
      <c r="A2296" s="1">
        <v>45741</v>
      </c>
      <c r="B2296" s="3">
        <f>YEAR(Tabla3[[#This Row],[Date]])</f>
        <v>2025</v>
      </c>
      <c r="C2296" s="1" t="str">
        <f>+TEXT(Tabla3[[#This Row],[Date]],"mmm")</f>
        <v>mar</v>
      </c>
      <c r="D2296" s="2">
        <v>3023.69995117187</v>
      </c>
      <c r="E2296" s="2">
        <v>3023.69995117187</v>
      </c>
      <c r="F2296" s="2">
        <v>3028.80004882812</v>
      </c>
      <c r="G2296" s="2">
        <v>3023.69995117187</v>
      </c>
      <c r="H2296" s="2">
        <v>3026.39990234375</v>
      </c>
      <c r="I2296">
        <v>74</v>
      </c>
      <c r="J2296" s="2">
        <f ca="1">IFERROR((Tabla3[[#This Row],[Close]]-OFFSET(Tabla3[[#This Row],[Close]],-1,0))/OFFSET(Tabla3[[#This Row],[Close]],-1,0),"")</f>
        <v>3.5179227944883507E-3</v>
      </c>
      <c r="K2296" s="2">
        <f ca="1">IFERROR(AVERAGE(OFFSET(Tabla3[[#This Row],[Close]],-6,0,7)),"")</f>
        <v>3023.714285714284</v>
      </c>
      <c r="L2296" s="2">
        <f ca="1">IFERROR(_xlfn.STDEV.S(OFFSET(Tabla3[[#This Row],[Close]],-29,0,30)),"")</f>
        <v>54.247101920268328</v>
      </c>
    </row>
    <row r="2297" spans="1:12" x14ac:dyDescent="0.3">
      <c r="A2297" s="1">
        <v>45742</v>
      </c>
      <c r="B2297" s="3">
        <f>YEAR(Tabla3[[#This Row],[Date]])</f>
        <v>2025</v>
      </c>
      <c r="C2297" s="1" t="str">
        <f>+TEXT(Tabla3[[#This Row],[Date]],"mmm")</f>
        <v>mar</v>
      </c>
      <c r="D2297" s="2">
        <v>3020.89990234375</v>
      </c>
      <c r="E2297" s="2">
        <v>3020.89990234375</v>
      </c>
      <c r="F2297" s="2">
        <v>3033.19995117187</v>
      </c>
      <c r="G2297" s="2">
        <v>3019.5</v>
      </c>
      <c r="H2297" s="2">
        <v>3033.19995117187</v>
      </c>
      <c r="I2297">
        <v>83</v>
      </c>
      <c r="J2297" s="2">
        <f ca="1">IFERROR((Tabla3[[#This Row],[Close]]-OFFSET(Tabla3[[#This Row],[Close]],-1,0))/OFFSET(Tabla3[[#This Row],[Close]],-1,0),"")</f>
        <v>-9.2603395619158787E-4</v>
      </c>
      <c r="K2297" s="2">
        <f ca="1">IFERROR(AVERAGE(OFFSET(Tabla3[[#This Row],[Close]],-6,0,7)),"")</f>
        <v>3026.6999860491055</v>
      </c>
      <c r="L2297" s="2">
        <f ca="1">IFERROR(_xlfn.STDEV.S(OFFSET(Tabla3[[#This Row],[Close]],-29,0,30)),"")</f>
        <v>55.773249536384924</v>
      </c>
    </row>
    <row r="2298" spans="1:12" x14ac:dyDescent="0.3">
      <c r="A2298" s="1">
        <v>45743</v>
      </c>
      <c r="B2298" s="3">
        <f>YEAR(Tabla3[[#This Row],[Date]])</f>
        <v>2025</v>
      </c>
      <c r="C2298" s="1" t="str">
        <f>+TEXT(Tabla3[[#This Row],[Date]],"mmm")</f>
        <v>mar</v>
      </c>
      <c r="D2298" s="2">
        <v>3060.19995117187</v>
      </c>
      <c r="E2298" s="2">
        <v>3060.19995117187</v>
      </c>
      <c r="F2298" s="2">
        <v>3065</v>
      </c>
      <c r="G2298" s="2">
        <v>3025.5</v>
      </c>
      <c r="H2298" s="2">
        <v>3025.5</v>
      </c>
      <c r="I2298">
        <v>124359</v>
      </c>
      <c r="J2298" s="2">
        <f ca="1">IFERROR((Tabla3[[#This Row],[Close]]-OFFSET(Tabla3[[#This Row],[Close]],-1,0))/OFFSET(Tabla3[[#This Row],[Close]],-1,0),"")</f>
        <v>1.3009384653105934E-2</v>
      </c>
      <c r="K2298" s="2">
        <f ca="1">IFERROR(AVERAGE(OFFSET(Tabla3[[#This Row],[Close]],-6,0,7)),"")</f>
        <v>3030.2856794084801</v>
      </c>
      <c r="L2298" s="2">
        <f ca="1">IFERROR(_xlfn.STDEV.S(OFFSET(Tabla3[[#This Row],[Close]],-29,0,30)),"")</f>
        <v>59.045708016355533</v>
      </c>
    </row>
    <row r="2299" spans="1:12" x14ac:dyDescent="0.3">
      <c r="A2299" s="1">
        <v>45744</v>
      </c>
      <c r="B2299" s="3">
        <f>YEAR(Tabla3[[#This Row],[Date]])</f>
        <v>2025</v>
      </c>
      <c r="C2299" s="1" t="str">
        <f>+TEXT(Tabla3[[#This Row],[Date]],"mmm")</f>
        <v>mar</v>
      </c>
      <c r="D2299" s="2">
        <v>3086.5</v>
      </c>
      <c r="E2299" s="2">
        <v>3086.5</v>
      </c>
      <c r="F2299" s="2">
        <v>3094.89990234375</v>
      </c>
      <c r="G2299" s="2">
        <v>3066.80004882812</v>
      </c>
      <c r="H2299" s="2">
        <v>3069.69995117187</v>
      </c>
      <c r="I2299">
        <v>31206</v>
      </c>
      <c r="J2299" s="2">
        <f ca="1">IFERROR((Tabla3[[#This Row],[Close]]-OFFSET(Tabla3[[#This Row],[Close]],-1,0))/OFFSET(Tabla3[[#This Row],[Close]],-1,0),"")</f>
        <v>8.5942256217796126E-3</v>
      </c>
      <c r="K2299" s="2">
        <f ca="1">IFERROR(AVERAGE(OFFSET(Tabla3[[#This Row],[Close]],-6,0,7)),"")</f>
        <v>3037.5142647879443</v>
      </c>
      <c r="L2299" s="2">
        <f ca="1">IFERROR(_xlfn.STDEV.S(OFFSET(Tabla3[[#This Row],[Close]],-29,0,30)),"")</f>
        <v>63.774420269965489</v>
      </c>
    </row>
    <row r="2300" spans="1:12" x14ac:dyDescent="0.3">
      <c r="A2300" s="1">
        <v>45747</v>
      </c>
      <c r="B2300" s="3">
        <f>YEAR(Tabla3[[#This Row],[Date]])</f>
        <v>2025</v>
      </c>
      <c r="C2300" s="1" t="str">
        <f>+TEXT(Tabla3[[#This Row],[Date]],"mmm")</f>
        <v>mar</v>
      </c>
      <c r="D2300" s="2">
        <v>3122.80004882812</v>
      </c>
      <c r="E2300" s="2">
        <v>3122.80004882812</v>
      </c>
      <c r="F2300" s="2">
        <v>3132.5</v>
      </c>
      <c r="G2300" s="2">
        <v>3086</v>
      </c>
      <c r="H2300" s="2">
        <v>3091</v>
      </c>
      <c r="I2300">
        <v>3438</v>
      </c>
      <c r="J2300" s="2">
        <f ca="1">IFERROR((Tabla3[[#This Row],[Close]]-OFFSET(Tabla3[[#This Row],[Close]],-1,0))/OFFSET(Tabla3[[#This Row],[Close]],-1,0),"")</f>
        <v>1.1760910036649926E-2</v>
      </c>
      <c r="K2300" s="2">
        <f ca="1">IFERROR(AVERAGE(OFFSET(Tabla3[[#This Row],[Close]],-6,0,7)),"")</f>
        <v>3049.3428431919615</v>
      </c>
      <c r="L2300" s="2">
        <f ca="1">IFERROR(_xlfn.STDEV.S(OFFSET(Tabla3[[#This Row],[Close]],-29,0,30)),"")</f>
        <v>69.085383090410204</v>
      </c>
    </row>
    <row r="2301" spans="1:12" x14ac:dyDescent="0.3">
      <c r="A2301" s="1">
        <v>45748</v>
      </c>
      <c r="B2301" s="3">
        <f>YEAR(Tabla3[[#This Row],[Date]])</f>
        <v>2025</v>
      </c>
      <c r="C2301" s="1" t="str">
        <f>+TEXT(Tabla3[[#This Row],[Date]],"mmm")</f>
        <v>abr</v>
      </c>
      <c r="D2301" s="2">
        <v>3118.89990234375</v>
      </c>
      <c r="E2301" s="2">
        <v>3118.89990234375</v>
      </c>
      <c r="F2301" s="2">
        <v>3149.5</v>
      </c>
      <c r="G2301" s="2">
        <v>3104</v>
      </c>
      <c r="H2301" s="2">
        <v>3129.69995117187</v>
      </c>
      <c r="I2301">
        <v>1721</v>
      </c>
      <c r="J2301" s="2">
        <f ca="1">IFERROR((Tabla3[[#This Row],[Close]]-OFFSET(Tabla3[[#This Row],[Close]],-1,0))/OFFSET(Tabla3[[#This Row],[Close]],-1,0),"")</f>
        <v>-1.2489260994579493E-3</v>
      </c>
      <c r="K2301" s="2">
        <f ca="1">IFERROR(AVERAGE(OFFSET(Tabla3[[#This Row],[Close]],-6,0,7)),"")</f>
        <v>3063.7285505022301</v>
      </c>
      <c r="L2301" s="2">
        <f ca="1">IFERROR(_xlfn.STDEV.S(OFFSET(Tabla3[[#This Row],[Close]],-29,0,30)),"")</f>
        <v>74.28531446066863</v>
      </c>
    </row>
    <row r="2302" spans="1:12" x14ac:dyDescent="0.3">
      <c r="A2302" s="1">
        <v>45749</v>
      </c>
      <c r="B2302" s="3">
        <f>YEAR(Tabla3[[#This Row],[Date]])</f>
        <v>2025</v>
      </c>
      <c r="C2302" s="1" t="str">
        <f>+TEXT(Tabla3[[#This Row],[Date]],"mmm")</f>
        <v>abr</v>
      </c>
      <c r="D2302" s="2">
        <v>3139.89990234375</v>
      </c>
      <c r="E2302" s="2">
        <v>3139.89990234375</v>
      </c>
      <c r="F2302" s="2">
        <v>3168.60009765625</v>
      </c>
      <c r="G2302" s="2">
        <v>3117.39990234375</v>
      </c>
      <c r="H2302" s="2">
        <v>3120.69995117187</v>
      </c>
      <c r="I2302">
        <v>5946</v>
      </c>
      <c r="J2302" s="2">
        <f ca="1">IFERROR((Tabla3[[#This Row],[Close]]-OFFSET(Tabla3[[#This Row],[Close]],-1,0))/OFFSET(Tabla3[[#This Row],[Close]],-1,0),"")</f>
        <v>6.7331433061443222E-3</v>
      </c>
      <c r="K2302" s="2">
        <f ca="1">IFERROR(AVERAGE(OFFSET(Tabla3[[#This Row],[Close]],-6,0,7)),"")</f>
        <v>3081.8428083147301</v>
      </c>
      <c r="L2302" s="2">
        <f ca="1">IFERROR(_xlfn.STDEV.S(OFFSET(Tabla3[[#This Row],[Close]],-29,0,30)),"")</f>
        <v>79.746640409716093</v>
      </c>
    </row>
    <row r="2303" spans="1:12" x14ac:dyDescent="0.3">
      <c r="A2303" s="1">
        <v>45750</v>
      </c>
      <c r="B2303" s="3">
        <f>YEAR(Tabla3[[#This Row],[Date]])</f>
        <v>2025</v>
      </c>
      <c r="C2303" s="1" t="str">
        <f>+TEXT(Tabla3[[#This Row],[Date]],"mmm")</f>
        <v>abr</v>
      </c>
      <c r="D2303" s="2">
        <v>3097</v>
      </c>
      <c r="E2303" s="2">
        <v>3097</v>
      </c>
      <c r="F2303" s="2">
        <v>3166.89990234375</v>
      </c>
      <c r="G2303" s="2">
        <v>3052</v>
      </c>
      <c r="H2303" s="2">
        <v>3150</v>
      </c>
      <c r="I2303">
        <v>5516</v>
      </c>
      <c r="J2303" s="2">
        <f ca="1">IFERROR((Tabla3[[#This Row],[Close]]-OFFSET(Tabla3[[#This Row],[Close]],-1,0))/OFFSET(Tabla3[[#This Row],[Close]],-1,0),"")</f>
        <v>-1.3662824828182502E-2</v>
      </c>
      <c r="K2303" s="2">
        <f ca="1">IFERROR(AVERAGE(OFFSET(Tabla3[[#This Row],[Close]],-6,0,7)),"")</f>
        <v>3092.3142438616055</v>
      </c>
      <c r="L2303" s="2">
        <f ca="1">IFERROR(_xlfn.STDEV.S(OFFSET(Tabla3[[#This Row],[Close]],-29,0,30)),"")</f>
        <v>82.27781929428383</v>
      </c>
    </row>
    <row r="2304" spans="1:12" x14ac:dyDescent="0.3">
      <c r="A2304" s="1">
        <v>45751</v>
      </c>
      <c r="B2304" s="3">
        <f>YEAR(Tabla3[[#This Row],[Date]])</f>
        <v>2025</v>
      </c>
      <c r="C2304" s="1" t="str">
        <f>+TEXT(Tabla3[[#This Row],[Date]],"mmm")</f>
        <v>abr</v>
      </c>
      <c r="D2304" s="2">
        <v>3012</v>
      </c>
      <c r="E2304" s="2">
        <v>3012</v>
      </c>
      <c r="F2304" s="2">
        <v>3127.69995117187</v>
      </c>
      <c r="G2304" s="2">
        <v>3011</v>
      </c>
      <c r="H2304" s="2">
        <v>3110.5</v>
      </c>
      <c r="I2304">
        <v>3247</v>
      </c>
      <c r="J2304" s="2">
        <f ca="1">IFERROR((Tabla3[[#This Row],[Close]]-OFFSET(Tabla3[[#This Row],[Close]],-1,0))/OFFSET(Tabla3[[#This Row],[Close]],-1,0),"")</f>
        <v>-2.7445915402001936E-2</v>
      </c>
      <c r="K2304" s="2">
        <f ca="1">IFERROR(AVERAGE(OFFSET(Tabla3[[#This Row],[Close]],-6,0,7)),"")</f>
        <v>3091.0428292410697</v>
      </c>
      <c r="L2304" s="2">
        <f ca="1">IFERROR(_xlfn.STDEV.S(OFFSET(Tabla3[[#This Row],[Close]],-29,0,30)),"")</f>
        <v>81.975432090747319</v>
      </c>
    </row>
    <row r="2305" spans="1:12" x14ac:dyDescent="0.3">
      <c r="A2305" s="1">
        <v>45754</v>
      </c>
      <c r="B2305" s="3">
        <f>YEAR(Tabla3[[#This Row],[Date]])</f>
        <v>2025</v>
      </c>
      <c r="C2305" s="1" t="str">
        <f>+TEXT(Tabla3[[#This Row],[Date]],"mmm")</f>
        <v>abr</v>
      </c>
      <c r="D2305" s="2">
        <v>2951.30004882812</v>
      </c>
      <c r="E2305" s="2">
        <v>2951.30004882812</v>
      </c>
      <c r="F2305" s="2">
        <v>3050.80004882812</v>
      </c>
      <c r="G2305" s="2">
        <v>2949.69995117187</v>
      </c>
      <c r="H2305" s="2">
        <v>3016.39990234375</v>
      </c>
      <c r="I2305">
        <v>4424</v>
      </c>
      <c r="J2305" s="2">
        <f ca="1">IFERROR((Tabla3[[#This Row],[Close]]-OFFSET(Tabla3[[#This Row],[Close]],-1,0))/OFFSET(Tabla3[[#This Row],[Close]],-1,0),"")</f>
        <v>-2.0152706232363878E-2</v>
      </c>
      <c r="K2305" s="2">
        <f ca="1">IFERROR(AVERAGE(OFFSET(Tabla3[[#This Row],[Close]],-6,0,7)),"")</f>
        <v>3075.4857003348197</v>
      </c>
      <c r="L2305" s="2">
        <f ca="1">IFERROR(_xlfn.STDEV.S(OFFSET(Tabla3[[#This Row],[Close]],-29,0,30)),"")</f>
        <v>81.923673570247743</v>
      </c>
    </row>
    <row r="2306" spans="1:12" x14ac:dyDescent="0.3">
      <c r="A2306" s="1">
        <v>45755</v>
      </c>
      <c r="B2306" s="3">
        <f>YEAR(Tabla3[[#This Row],[Date]])</f>
        <v>2025</v>
      </c>
      <c r="C2306" s="1" t="str">
        <f>+TEXT(Tabla3[[#This Row],[Date]],"mmm")</f>
        <v>abr</v>
      </c>
      <c r="D2306" s="2">
        <v>2968.39990234375</v>
      </c>
      <c r="E2306" s="2">
        <v>2968.39990234375</v>
      </c>
      <c r="F2306" s="2">
        <v>3014.5</v>
      </c>
      <c r="G2306" s="2">
        <v>2968.39990234375</v>
      </c>
      <c r="H2306" s="2">
        <v>2994</v>
      </c>
      <c r="I2306">
        <v>3213</v>
      </c>
      <c r="J2306" s="2">
        <f ca="1">IFERROR((Tabla3[[#This Row],[Close]]-OFFSET(Tabla3[[#This Row],[Close]],-1,0))/OFFSET(Tabla3[[#This Row],[Close]],-1,0),"")</f>
        <v>5.7940071265948998E-3</v>
      </c>
      <c r="K2306" s="2">
        <f ca="1">IFERROR(AVERAGE(OFFSET(Tabla3[[#This Row],[Close]],-6,0,7)),"")</f>
        <v>3058.6142578124986</v>
      </c>
      <c r="L2306" s="2">
        <f ca="1">IFERROR(_xlfn.STDEV.S(OFFSET(Tabla3[[#This Row],[Close]],-29,0,30)),"")</f>
        <v>80.555371247330868</v>
      </c>
    </row>
    <row r="2307" spans="1:12" x14ac:dyDescent="0.3">
      <c r="A2307" s="1">
        <v>45756</v>
      </c>
      <c r="B2307" s="3">
        <f>YEAR(Tabla3[[#This Row],[Date]])</f>
        <v>2025</v>
      </c>
      <c r="C2307" s="1" t="str">
        <f>+TEXT(Tabla3[[#This Row],[Date]],"mmm")</f>
        <v>abr</v>
      </c>
      <c r="D2307" s="2">
        <v>3056.5</v>
      </c>
      <c r="E2307" s="2">
        <v>3056.5</v>
      </c>
      <c r="F2307" s="2">
        <v>3090.39990234375</v>
      </c>
      <c r="G2307" s="2">
        <v>2965.80004882812</v>
      </c>
      <c r="H2307" s="2">
        <v>2965.80004882812</v>
      </c>
      <c r="I2307">
        <v>2175</v>
      </c>
      <c r="J2307" s="2">
        <f ca="1">IFERROR((Tabla3[[#This Row],[Close]]-OFFSET(Tabla3[[#This Row],[Close]],-1,0))/OFFSET(Tabla3[[#This Row],[Close]],-1,0),"")</f>
        <v>2.9679322380616265E-2</v>
      </c>
      <c r="K2307" s="2">
        <f ca="1">IFERROR(AVERAGE(OFFSET(Tabla3[[#This Row],[Close]],-6,0,7)),"")</f>
        <v>3049.1428222656241</v>
      </c>
      <c r="L2307" s="2">
        <f ca="1">IFERROR(_xlfn.STDEV.S(OFFSET(Tabla3[[#This Row],[Close]],-29,0,30)),"")</f>
        <v>80.33730483881935</v>
      </c>
    </row>
    <row r="2308" spans="1:12" x14ac:dyDescent="0.3">
      <c r="A2308" s="1">
        <v>45757</v>
      </c>
      <c r="B2308" s="3">
        <f>YEAR(Tabla3[[#This Row],[Date]])</f>
        <v>2025</v>
      </c>
      <c r="C2308" s="1" t="str">
        <f>+TEXT(Tabla3[[#This Row],[Date]],"mmm")</f>
        <v>abr</v>
      </c>
      <c r="D2308" s="2">
        <v>3155.19995117187</v>
      </c>
      <c r="E2308" s="2">
        <v>3155.19995117187</v>
      </c>
      <c r="F2308" s="2">
        <v>3167</v>
      </c>
      <c r="G2308" s="2">
        <v>3072.10009765625</v>
      </c>
      <c r="H2308" s="2">
        <v>3073.89990234375</v>
      </c>
      <c r="I2308">
        <v>3456</v>
      </c>
      <c r="J2308" s="2">
        <f ca="1">IFERROR((Tabla3[[#This Row],[Close]]-OFFSET(Tabla3[[#This Row],[Close]],-1,0))/OFFSET(Tabla3[[#This Row],[Close]],-1,0),"")</f>
        <v>3.229182109336496E-2</v>
      </c>
      <c r="K2308" s="2">
        <f ca="1">IFERROR(AVERAGE(OFFSET(Tabla3[[#This Row],[Close]],-6,0,7)),"")</f>
        <v>3054.328543526784</v>
      </c>
      <c r="L2308" s="2">
        <f ca="1">IFERROR(_xlfn.STDEV.S(OFFSET(Tabla3[[#This Row],[Close]],-29,0,30)),"")</f>
        <v>82.871266322430131</v>
      </c>
    </row>
    <row r="2309" spans="1:12" x14ac:dyDescent="0.3">
      <c r="A2309" s="1">
        <v>45758</v>
      </c>
      <c r="B2309" s="3">
        <f>YEAR(Tabla3[[#This Row],[Date]])</f>
        <v>2025</v>
      </c>
      <c r="C2309" s="1" t="str">
        <f>+TEXT(Tabla3[[#This Row],[Date]],"mmm")</f>
        <v>abr</v>
      </c>
      <c r="D2309" s="2">
        <v>3222.19995117187</v>
      </c>
      <c r="E2309" s="2">
        <v>3222.19995117187</v>
      </c>
      <c r="F2309" s="2">
        <v>3235</v>
      </c>
      <c r="G2309" s="2">
        <v>3182.10009765625</v>
      </c>
      <c r="H2309" s="2">
        <v>3182.10009765625</v>
      </c>
      <c r="I2309">
        <v>862</v>
      </c>
      <c r="J2309" s="2">
        <f ca="1">IFERROR((Tabla3[[#This Row],[Close]]-OFFSET(Tabla3[[#This Row],[Close]],-1,0))/OFFSET(Tabla3[[#This Row],[Close]],-1,0),"")</f>
        <v>2.1234787346873403E-2</v>
      </c>
      <c r="K2309" s="2">
        <f ca="1">IFERROR(AVERAGE(OFFSET(Tabla3[[#This Row],[Close]],-6,0,7)),"")</f>
        <v>3066.0856933593727</v>
      </c>
      <c r="L2309" s="2">
        <f ca="1">IFERROR(_xlfn.STDEV.S(OFFSET(Tabla3[[#This Row],[Close]],-29,0,30)),"")</f>
        <v>86.233278142150311</v>
      </c>
    </row>
    <row r="2310" spans="1:12" x14ac:dyDescent="0.3">
      <c r="A2310" s="1">
        <v>45761</v>
      </c>
      <c r="B2310" s="3">
        <f>YEAR(Tabla3[[#This Row],[Date]])</f>
        <v>2025</v>
      </c>
      <c r="C2310" s="1" t="str">
        <f>+TEXT(Tabla3[[#This Row],[Date]],"mmm")</f>
        <v>abr</v>
      </c>
      <c r="D2310" s="2">
        <v>3204.80004882812</v>
      </c>
      <c r="E2310" s="2">
        <v>3204.80004882812</v>
      </c>
      <c r="F2310" s="2">
        <v>3228.80004882812</v>
      </c>
      <c r="G2310" s="2">
        <v>3194.5</v>
      </c>
      <c r="H2310" s="2">
        <v>3215.5</v>
      </c>
      <c r="I2310">
        <v>263</v>
      </c>
      <c r="J2310" s="2">
        <f ca="1">IFERROR((Tabla3[[#This Row],[Close]]-OFFSET(Tabla3[[#This Row],[Close]],-1,0))/OFFSET(Tabla3[[#This Row],[Close]],-1,0),"")</f>
        <v>-5.4000070161449457E-3</v>
      </c>
      <c r="K2310" s="2">
        <f ca="1">IFERROR(AVERAGE(OFFSET(Tabla3[[#This Row],[Close]],-6,0,7)),"")</f>
        <v>3081.4857003348188</v>
      </c>
      <c r="L2310" s="2">
        <f ca="1">IFERROR(_xlfn.STDEV.S(OFFSET(Tabla3[[#This Row],[Close]],-29,0,30)),"")</f>
        <v>89.653105482975135</v>
      </c>
    </row>
    <row r="2311" spans="1:12" x14ac:dyDescent="0.3">
      <c r="A2311" s="1">
        <v>45762</v>
      </c>
      <c r="B2311" s="3">
        <f>YEAR(Tabla3[[#This Row],[Date]])</f>
        <v>2025</v>
      </c>
      <c r="C2311" s="1" t="str">
        <f>+TEXT(Tabla3[[#This Row],[Date]],"mmm")</f>
        <v>abr</v>
      </c>
      <c r="D2311" s="2">
        <v>3218.69995117187</v>
      </c>
      <c r="E2311" s="2">
        <v>3218.69995117187</v>
      </c>
      <c r="F2311" s="2">
        <v>3218.69995117187</v>
      </c>
      <c r="G2311" s="2">
        <v>3214</v>
      </c>
      <c r="H2311" s="2">
        <v>3216</v>
      </c>
      <c r="I2311">
        <v>390</v>
      </c>
      <c r="J2311" s="2">
        <f ca="1">IFERROR((Tabla3[[#This Row],[Close]]-OFFSET(Tabla3[[#This Row],[Close]],-1,0))/OFFSET(Tabla3[[#This Row],[Close]],-1,0),"")</f>
        <v>4.3372135958474828E-3</v>
      </c>
      <c r="K2311" s="2">
        <f ca="1">IFERROR(AVERAGE(OFFSET(Tabla3[[#This Row],[Close]],-6,0,7)),"")</f>
        <v>3111.0142647879429</v>
      </c>
      <c r="L2311" s="2">
        <f ca="1">IFERROR(_xlfn.STDEV.S(OFFSET(Tabla3[[#This Row],[Close]],-29,0,30)),"")</f>
        <v>93.605576700244413</v>
      </c>
    </row>
    <row r="2312" spans="1:12" x14ac:dyDescent="0.3">
      <c r="A2312" s="1">
        <v>45763</v>
      </c>
      <c r="B2312" s="3">
        <f>YEAR(Tabla3[[#This Row],[Date]])</f>
        <v>2025</v>
      </c>
      <c r="C2312" s="1" t="str">
        <f>+TEXT(Tabla3[[#This Row],[Date]],"mmm")</f>
        <v>abr</v>
      </c>
      <c r="D2312" s="2">
        <v>3326.60009765625</v>
      </c>
      <c r="E2312" s="2">
        <v>3326.60009765625</v>
      </c>
      <c r="F2312" s="2">
        <v>3334.89990234375</v>
      </c>
      <c r="G2312" s="2">
        <v>3238.30004882812</v>
      </c>
      <c r="H2312" s="2">
        <v>3238.30004882812</v>
      </c>
      <c r="I2312">
        <v>1874</v>
      </c>
      <c r="J2312" s="2">
        <f ca="1">IFERROR((Tabla3[[#This Row],[Close]]-OFFSET(Tabla3[[#This Row],[Close]],-1,0))/OFFSET(Tabla3[[#This Row],[Close]],-1,0),"")</f>
        <v>3.35228968593657E-2</v>
      </c>
      <c r="K2312" s="2">
        <f ca="1">IFERROR(AVERAGE(OFFSET(Tabla3[[#This Row],[Close]],-6,0,7)),"")</f>
        <v>3164.6285574776753</v>
      </c>
      <c r="L2312" s="2">
        <f ca="1">IFERROR(_xlfn.STDEV.S(OFFSET(Tabla3[[#This Row],[Close]],-29,0,30)),"")</f>
        <v>104.86374804996699</v>
      </c>
    </row>
    <row r="2313" spans="1:12" x14ac:dyDescent="0.3">
      <c r="A2313" s="1">
        <v>45764</v>
      </c>
      <c r="B2313" s="3">
        <f>YEAR(Tabla3[[#This Row],[Date]])</f>
        <v>2025</v>
      </c>
      <c r="C2313" s="1" t="str">
        <f>+TEXT(Tabla3[[#This Row],[Date]],"mmm")</f>
        <v>abr</v>
      </c>
      <c r="D2313" s="2">
        <v>3308.69995117187</v>
      </c>
      <c r="E2313" s="2">
        <v>3308.69995117187</v>
      </c>
      <c r="F2313" s="2">
        <v>3345</v>
      </c>
      <c r="G2313" s="2">
        <v>3287.80004882812</v>
      </c>
      <c r="H2313" s="2">
        <v>3345</v>
      </c>
      <c r="I2313">
        <v>824</v>
      </c>
      <c r="J2313" s="2">
        <f ca="1">IFERROR((Tabla3[[#This Row],[Close]]-OFFSET(Tabla3[[#This Row],[Close]],-1,0))/OFFSET(Tabla3[[#This Row],[Close]],-1,0),"")</f>
        <v>-5.3809132323995052E-3</v>
      </c>
      <c r="K2313" s="2">
        <f ca="1">IFERROR(AVERAGE(OFFSET(Tabla3[[#This Row],[Close]],-6,0,7)),"")</f>
        <v>3213.2428501674071</v>
      </c>
      <c r="L2313" s="2">
        <f ca="1">IFERROR(_xlfn.STDEV.S(OFFSET(Tabla3[[#This Row],[Close]],-29,0,30)),"")</f>
        <v>111.98202098863298</v>
      </c>
    </row>
    <row r="2314" spans="1:12" x14ac:dyDescent="0.3">
      <c r="A2314" s="1">
        <v>45768</v>
      </c>
      <c r="B2314" s="3">
        <f>YEAR(Tabla3[[#This Row],[Date]])</f>
        <v>2025</v>
      </c>
      <c r="C2314" s="1" t="str">
        <f>+TEXT(Tabla3[[#This Row],[Date]],"mmm")</f>
        <v>abr</v>
      </c>
      <c r="D2314" s="2">
        <v>3406.19995117187</v>
      </c>
      <c r="E2314" s="2">
        <v>3406.19995117187</v>
      </c>
      <c r="F2314" s="2">
        <v>3418.5</v>
      </c>
      <c r="G2314" s="2">
        <v>3342.19995117187</v>
      </c>
      <c r="H2314" s="2">
        <v>3342.19995117187</v>
      </c>
      <c r="I2314">
        <v>78</v>
      </c>
      <c r="J2314" s="2">
        <f ca="1">IFERROR((Tabla3[[#This Row],[Close]]-OFFSET(Tabla3[[#This Row],[Close]],-1,0))/OFFSET(Tabla3[[#This Row],[Close]],-1,0),"")</f>
        <v>2.9467767231497556E-2</v>
      </c>
      <c r="K2314" s="2">
        <f ca="1">IFERROR(AVERAGE(OFFSET(Tabla3[[#This Row],[Close]],-6,0,7)),"")</f>
        <v>3263.1999860491028</v>
      </c>
      <c r="L2314" s="2">
        <f ca="1">IFERROR(_xlfn.STDEV.S(OFFSET(Tabla3[[#This Row],[Close]],-29,0,30)),"")</f>
        <v>124.41622027179537</v>
      </c>
    </row>
    <row r="2315" spans="1:12" x14ac:dyDescent="0.3">
      <c r="A2315" s="1">
        <v>45769</v>
      </c>
      <c r="B2315" s="3">
        <f>YEAR(Tabla3[[#This Row],[Date]])</f>
        <v>2025</v>
      </c>
      <c r="C2315" s="1" t="str">
        <f>+TEXT(Tabla3[[#This Row],[Date]],"mmm")</f>
        <v>abr</v>
      </c>
      <c r="D2315" s="2">
        <v>3400.80004882812</v>
      </c>
      <c r="E2315" s="2">
        <v>3400.80004882812</v>
      </c>
      <c r="F2315" s="2">
        <v>3485.60009765625</v>
      </c>
      <c r="G2315" s="2">
        <v>3361.69995117187</v>
      </c>
      <c r="H2315" s="2">
        <v>3422.19995117187</v>
      </c>
      <c r="I2315">
        <v>785</v>
      </c>
      <c r="J2315" s="2">
        <f ca="1">IFERROR((Tabla3[[#This Row],[Close]]-OFFSET(Tabla3[[#This Row],[Close]],-1,0))/OFFSET(Tabla3[[#This Row],[Close]],-1,0),"")</f>
        <v>-1.5853157246074811E-3</v>
      </c>
      <c r="K2315" s="2">
        <f ca="1">IFERROR(AVERAGE(OFFSET(Tabla3[[#This Row],[Close]],-6,0,7)),"")</f>
        <v>3298.2857142857101</v>
      </c>
      <c r="L2315" s="2">
        <f ca="1">IFERROR(_xlfn.STDEV.S(OFFSET(Tabla3[[#This Row],[Close]],-29,0,30)),"")</f>
        <v>132.4352919238157</v>
      </c>
    </row>
    <row r="2316" spans="1:12" x14ac:dyDescent="0.3">
      <c r="A2316" s="1">
        <v>45770</v>
      </c>
      <c r="B2316" s="3">
        <f>YEAR(Tabla3[[#This Row],[Date]])</f>
        <v>2025</v>
      </c>
      <c r="C2316" s="1" t="str">
        <f>+TEXT(Tabla3[[#This Row],[Date]],"mmm")</f>
        <v>abr</v>
      </c>
      <c r="D2316" s="2">
        <v>3276.30004882812</v>
      </c>
      <c r="E2316" s="2">
        <v>3276.30004882812</v>
      </c>
      <c r="F2316" s="2">
        <v>3370.30004882812</v>
      </c>
      <c r="G2316" s="2">
        <v>3256.19995117187</v>
      </c>
      <c r="H2316" s="2">
        <v>3321.19995117187</v>
      </c>
      <c r="I2316">
        <v>331</v>
      </c>
      <c r="J2316" s="2">
        <f ca="1">IFERROR((Tabla3[[#This Row],[Close]]-OFFSET(Tabla3[[#This Row],[Close]],-1,0))/OFFSET(Tabla3[[#This Row],[Close]],-1,0),"")</f>
        <v>-3.6609032643039802E-2</v>
      </c>
      <c r="K2316" s="2">
        <f ca="1">IFERROR(AVERAGE(OFFSET(Tabla3[[#This Row],[Close]],-6,0,7)),"")</f>
        <v>3306.0142996651743</v>
      </c>
      <c r="L2316" s="2">
        <f ca="1">IFERROR(_xlfn.STDEV.S(OFFSET(Tabla3[[#This Row],[Close]],-29,0,30)),"")</f>
        <v>131.74560654764494</v>
      </c>
    </row>
    <row r="2317" spans="1:12" x14ac:dyDescent="0.3">
      <c r="A2317" s="1">
        <v>45771</v>
      </c>
      <c r="B2317" s="3">
        <f>YEAR(Tabla3[[#This Row],[Date]])</f>
        <v>2025</v>
      </c>
      <c r="C2317" s="1" t="str">
        <f>+TEXT(Tabla3[[#This Row],[Date]],"mmm")</f>
        <v>abr</v>
      </c>
      <c r="D2317" s="2">
        <v>3332</v>
      </c>
      <c r="E2317" s="2">
        <v>3332</v>
      </c>
      <c r="F2317" s="2">
        <v>3353.89990234375</v>
      </c>
      <c r="G2317" s="2">
        <v>3304.89990234375</v>
      </c>
      <c r="H2317" s="2">
        <v>3305.39990234375</v>
      </c>
      <c r="I2317">
        <v>560</v>
      </c>
      <c r="J2317" s="2">
        <f ca="1">IFERROR((Tabla3[[#This Row],[Close]]-OFFSET(Tabla3[[#This Row],[Close]],-1,0))/OFFSET(Tabla3[[#This Row],[Close]],-1,0),"")</f>
        <v>1.7000869988022915E-2</v>
      </c>
      <c r="K2317" s="2">
        <f ca="1">IFERROR(AVERAGE(OFFSET(Tabla3[[#This Row],[Close]],-6,0,7)),"")</f>
        <v>3324.1857212611571</v>
      </c>
      <c r="L2317" s="2">
        <f ca="1">IFERROR(_xlfn.STDEV.S(OFFSET(Tabla3[[#This Row],[Close]],-29,0,30)),"")</f>
        <v>133.89535493750543</v>
      </c>
    </row>
    <row r="2318" spans="1:12" x14ac:dyDescent="0.3">
      <c r="A2318" s="1">
        <v>45772</v>
      </c>
      <c r="B2318" s="3">
        <f>YEAR(Tabla3[[#This Row],[Date]])</f>
        <v>2025</v>
      </c>
      <c r="C2318" s="1" t="str">
        <f>+TEXT(Tabla3[[#This Row],[Date]],"mmm")</f>
        <v>abr</v>
      </c>
      <c r="D2318" s="2">
        <v>3282.39990234375</v>
      </c>
      <c r="E2318" s="2">
        <v>3282.39990234375</v>
      </c>
      <c r="F2318" s="2">
        <v>3355.5</v>
      </c>
      <c r="G2318" s="2">
        <v>3266.10009765625</v>
      </c>
      <c r="H2318" s="2">
        <v>3355.5</v>
      </c>
      <c r="I2318">
        <v>162</v>
      </c>
      <c r="J2318" s="2">
        <f ca="1">IFERROR((Tabla3[[#This Row],[Close]]-OFFSET(Tabla3[[#This Row],[Close]],-1,0))/OFFSET(Tabla3[[#This Row],[Close]],-1,0),"")</f>
        <v>-1.4885983690351141E-2</v>
      </c>
      <c r="K2318" s="2">
        <f ca="1">IFERROR(AVERAGE(OFFSET(Tabla3[[#This Row],[Close]],-6,0,7)),"")</f>
        <v>3333.285714285711</v>
      </c>
      <c r="L2318" s="2">
        <f ca="1">IFERROR(_xlfn.STDEV.S(OFFSET(Tabla3[[#This Row],[Close]],-29,0,30)),"")</f>
        <v>134.45907530714464</v>
      </c>
    </row>
    <row r="2319" spans="1:12" x14ac:dyDescent="0.3">
      <c r="A2319" s="1">
        <v>45775</v>
      </c>
      <c r="B2319" s="3">
        <f>YEAR(Tabla3[[#This Row],[Date]])</f>
        <v>2025</v>
      </c>
      <c r="C2319" s="1" t="str">
        <f>+TEXT(Tabla3[[#This Row],[Date]],"mmm")</f>
        <v>abr</v>
      </c>
      <c r="D2319" s="2">
        <v>3332.5</v>
      </c>
      <c r="E2319" s="2">
        <v>3332.5</v>
      </c>
      <c r="F2319" s="2">
        <v>3332.5</v>
      </c>
      <c r="G2319" s="2">
        <v>3284.5</v>
      </c>
      <c r="H2319" s="2">
        <v>3284.5</v>
      </c>
      <c r="I2319">
        <v>1300</v>
      </c>
      <c r="J2319" s="2">
        <f ca="1">IFERROR((Tabla3[[#This Row],[Close]]-OFFSET(Tabla3[[#This Row],[Close]],-1,0))/OFFSET(Tabla3[[#This Row],[Close]],-1,0),"")</f>
        <v>1.5263252238240915E-2</v>
      </c>
      <c r="K2319" s="2">
        <f ca="1">IFERROR(AVERAGE(OFFSET(Tabla3[[#This Row],[Close]],-6,0,7)),"")</f>
        <v>3334.1285574776753</v>
      </c>
      <c r="L2319" s="2">
        <f ca="1">IFERROR(_xlfn.STDEV.S(OFFSET(Tabla3[[#This Row],[Close]],-29,0,30)),"")</f>
        <v>136.77151367179312</v>
      </c>
    </row>
    <row r="2320" spans="1:12" x14ac:dyDescent="0.3">
      <c r="A2320" s="1">
        <v>45776</v>
      </c>
      <c r="B2320" s="3">
        <f>YEAR(Tabla3[[#This Row],[Date]])</f>
        <v>2025</v>
      </c>
      <c r="C2320" s="1" t="str">
        <f>+TEXT(Tabla3[[#This Row],[Date]],"mmm")</f>
        <v>abr</v>
      </c>
      <c r="D2320" s="2">
        <v>3318.80004882812</v>
      </c>
      <c r="E2320" s="2">
        <v>3318.80004882812</v>
      </c>
      <c r="F2320" s="2">
        <v>3340</v>
      </c>
      <c r="G2320" s="2">
        <v>3299.89990234375</v>
      </c>
      <c r="H2320" s="2">
        <v>3340</v>
      </c>
      <c r="I2320">
        <v>1278</v>
      </c>
      <c r="J2320" s="2">
        <f ca="1">IFERROR((Tabla3[[#This Row],[Close]]-OFFSET(Tabla3[[#This Row],[Close]],-1,0))/OFFSET(Tabla3[[#This Row],[Close]],-1,0),"")</f>
        <v>-4.1110131048402105E-3</v>
      </c>
      <c r="K2320" s="2">
        <f ca="1">IFERROR(AVERAGE(OFFSET(Tabla3[[#This Row],[Close]],-6,0,7)),"")</f>
        <v>3335.5714285714262</v>
      </c>
      <c r="L2320" s="2">
        <f ca="1">IFERROR(_xlfn.STDEV.S(OFFSET(Tabla3[[#This Row],[Close]],-29,0,30)),"")</f>
        <v>137.72147344095814</v>
      </c>
    </row>
    <row r="2321" spans="1:12" x14ac:dyDescent="0.3">
      <c r="A2321" s="1">
        <v>45777</v>
      </c>
      <c r="B2321" s="3">
        <f>YEAR(Tabla3[[#This Row],[Date]])</f>
        <v>2025</v>
      </c>
      <c r="C2321" s="1" t="str">
        <f>+TEXT(Tabla3[[#This Row],[Date]],"mmm")</f>
        <v>abr</v>
      </c>
      <c r="D2321" s="2">
        <v>3305</v>
      </c>
      <c r="E2321" s="2">
        <v>3305</v>
      </c>
      <c r="F2321" s="2">
        <v>3318.69995117187</v>
      </c>
      <c r="G2321" s="2">
        <v>3268</v>
      </c>
      <c r="H2321" s="2">
        <v>3318.69995117187</v>
      </c>
      <c r="I2321">
        <v>207</v>
      </c>
      <c r="J2321" s="2">
        <f ca="1">IFERROR((Tabla3[[#This Row],[Close]]-OFFSET(Tabla3[[#This Row],[Close]],-1,0))/OFFSET(Tabla3[[#This Row],[Close]],-1,0),"")</f>
        <v>-4.1581440957833065E-3</v>
      </c>
      <c r="K2321" s="2">
        <f ca="1">IFERROR(AVERAGE(OFFSET(Tabla3[[#This Row],[Close]],-6,0,7)),"")</f>
        <v>3321.1142926897301</v>
      </c>
      <c r="L2321" s="2">
        <f ca="1">IFERROR(_xlfn.STDEV.S(OFFSET(Tabla3[[#This Row],[Close]],-29,0,30)),"")</f>
        <v>138.57694430240142</v>
      </c>
    </row>
    <row r="2322" spans="1:12" x14ac:dyDescent="0.3">
      <c r="A2322" s="1">
        <v>45778</v>
      </c>
      <c r="B2322" s="3">
        <f>YEAR(Tabla3[[#This Row],[Date]])</f>
        <v>2025</v>
      </c>
      <c r="C2322" s="1" t="str">
        <f>+TEXT(Tabla3[[#This Row],[Date]],"mmm")</f>
        <v>may</v>
      </c>
      <c r="D2322" s="2">
        <v>3210</v>
      </c>
      <c r="E2322" s="2">
        <v>3210</v>
      </c>
      <c r="F2322" s="2">
        <v>3275</v>
      </c>
      <c r="G2322" s="2">
        <v>3198.60009765625</v>
      </c>
      <c r="H2322" s="2">
        <v>3272.89990234375</v>
      </c>
      <c r="I2322">
        <v>2131</v>
      </c>
      <c r="J2322" s="2">
        <f ca="1">IFERROR((Tabla3[[#This Row],[Close]]-OFFSET(Tabla3[[#This Row],[Close]],-1,0))/OFFSET(Tabla3[[#This Row],[Close]],-1,0),"")</f>
        <v>-2.8744326777609682E-2</v>
      </c>
      <c r="K2322" s="2">
        <f ca="1">IFERROR(AVERAGE(OFFSET(Tabla3[[#This Row],[Close]],-6,0,7)),"")</f>
        <v>3293.8571428571413</v>
      </c>
      <c r="L2322" s="2">
        <f ca="1">IFERROR(_xlfn.STDEV.S(OFFSET(Tabla3[[#This Row],[Close]],-29,0,30)),"")</f>
        <v>136.75401461350867</v>
      </c>
    </row>
    <row r="2323" spans="1:12" x14ac:dyDescent="0.3">
      <c r="A2323" s="1">
        <v>45779</v>
      </c>
      <c r="B2323" s="3">
        <f>YEAR(Tabla3[[#This Row],[Date]])</f>
        <v>2025</v>
      </c>
      <c r="C2323" s="1" t="str">
        <f>+TEXT(Tabla3[[#This Row],[Date]],"mmm")</f>
        <v>may</v>
      </c>
      <c r="D2323" s="2">
        <v>3231.89990234375</v>
      </c>
      <c r="E2323" s="2">
        <v>3231.89990234375</v>
      </c>
      <c r="F2323" s="2">
        <v>3257</v>
      </c>
      <c r="G2323" s="2">
        <v>3225</v>
      </c>
      <c r="H2323" s="2">
        <v>3239.89990234375</v>
      </c>
      <c r="I2323">
        <v>1349</v>
      </c>
      <c r="J2323" s="2">
        <f ca="1">IFERROR((Tabla3[[#This Row],[Close]]-OFFSET(Tabla3[[#This Row],[Close]],-1,0))/OFFSET(Tabla3[[#This Row],[Close]],-1,0),"")</f>
        <v>6.8223994840342682E-3</v>
      </c>
      <c r="K2323" s="2">
        <f ca="1">IFERROR(AVERAGE(OFFSET(Tabla3[[#This Row],[Close]],-6,0,7)),"")</f>
        <v>3287.5142647879452</v>
      </c>
      <c r="L2323" s="2">
        <f ca="1">IFERROR(_xlfn.STDEV.S(OFFSET(Tabla3[[#This Row],[Close]],-29,0,30)),"")</f>
        <v>135.05463631387897</v>
      </c>
    </row>
    <row r="2324" spans="1:12" x14ac:dyDescent="0.3">
      <c r="A2324" s="1">
        <v>45782</v>
      </c>
      <c r="B2324" s="3">
        <f>YEAR(Tabla3[[#This Row],[Date]])</f>
        <v>2025</v>
      </c>
      <c r="C2324" s="1" t="str">
        <f>+TEXT(Tabla3[[#This Row],[Date]],"mmm")</f>
        <v>may</v>
      </c>
      <c r="D2324" s="2">
        <v>3311.30004882812</v>
      </c>
      <c r="E2324" s="2">
        <v>3311.30004882812</v>
      </c>
      <c r="F2324" s="2">
        <v>3315.69995117187</v>
      </c>
      <c r="G2324" s="2">
        <v>3239.69995117187</v>
      </c>
      <c r="H2324" s="2">
        <v>3242.69995117187</v>
      </c>
      <c r="I2324">
        <v>244</v>
      </c>
      <c r="J2324" s="2">
        <f ca="1">IFERROR((Tabla3[[#This Row],[Close]]-OFFSET(Tabla3[[#This Row],[Close]],-1,0))/OFFSET(Tabla3[[#This Row],[Close]],-1,0),"")</f>
        <v>2.456763788593502E-2</v>
      </c>
      <c r="K2324" s="2">
        <f ca="1">IFERROR(AVERAGE(OFFSET(Tabla3[[#This Row],[Close]],-6,0,7)),"")</f>
        <v>3284.5571289062486</v>
      </c>
      <c r="L2324" s="2">
        <f ca="1">IFERROR(_xlfn.STDEV.S(OFFSET(Tabla3[[#This Row],[Close]],-29,0,30)),"")</f>
        <v>133.98888885003663</v>
      </c>
    </row>
    <row r="2325" spans="1:12" x14ac:dyDescent="0.3">
      <c r="A2325" s="1">
        <v>45783</v>
      </c>
      <c r="B2325" s="3">
        <f>YEAR(Tabla3[[#This Row],[Date]])</f>
        <v>2025</v>
      </c>
      <c r="C2325" s="1" t="str">
        <f>+TEXT(Tabla3[[#This Row],[Date]],"mmm")</f>
        <v>may</v>
      </c>
      <c r="D2325" s="2">
        <v>3411.39990234375</v>
      </c>
      <c r="E2325" s="2">
        <v>3411.39990234375</v>
      </c>
      <c r="F2325" s="2">
        <v>3430.89990234375</v>
      </c>
      <c r="G2325" s="2">
        <v>3356.80004882812</v>
      </c>
      <c r="H2325" s="2">
        <v>3365.5</v>
      </c>
      <c r="I2325">
        <v>2357</v>
      </c>
      <c r="J2325" s="2">
        <f ca="1">IFERROR((Tabla3[[#This Row],[Close]]-OFFSET(Tabla3[[#This Row],[Close]],-1,0))/OFFSET(Tabla3[[#This Row],[Close]],-1,0),"")</f>
        <v>3.0229774420791517E-2</v>
      </c>
      <c r="K2325" s="2">
        <f ca="1">IFERROR(AVERAGE(OFFSET(Tabla3[[#This Row],[Close]],-6,0,7)),"")</f>
        <v>3302.9857003348197</v>
      </c>
      <c r="L2325" s="2">
        <f ca="1">IFERROR(_xlfn.STDEV.S(OFFSET(Tabla3[[#This Row],[Close]],-29,0,30)),"")</f>
        <v>136.20432088980598</v>
      </c>
    </row>
    <row r="2326" spans="1:12" x14ac:dyDescent="0.3">
      <c r="A2326" s="1">
        <v>45784</v>
      </c>
      <c r="B2326" s="3">
        <f>YEAR(Tabla3[[#This Row],[Date]])</f>
        <v>2025</v>
      </c>
      <c r="C2326" s="1" t="str">
        <f>+TEXT(Tabla3[[#This Row],[Date]],"mmm")</f>
        <v>may</v>
      </c>
      <c r="D2326" s="2">
        <v>3381.39990234375</v>
      </c>
      <c r="E2326" s="2">
        <v>3381.39990234375</v>
      </c>
      <c r="F2326" s="2">
        <v>3418.69995117187</v>
      </c>
      <c r="G2326" s="2">
        <v>3364.69995117187</v>
      </c>
      <c r="H2326" s="2">
        <v>3418.69995117187</v>
      </c>
      <c r="I2326">
        <v>1080</v>
      </c>
      <c r="J2326" s="2">
        <f ca="1">IFERROR((Tabla3[[#This Row],[Close]]-OFFSET(Tabla3[[#This Row],[Close]],-1,0))/OFFSET(Tabla3[[#This Row],[Close]],-1,0),"")</f>
        <v>-8.7940437529440505E-3</v>
      </c>
      <c r="K2326" s="2">
        <f ca="1">IFERROR(AVERAGE(OFFSET(Tabla3[[#This Row],[Close]],-6,0,7)),"")</f>
        <v>3309.9714006696413</v>
      </c>
      <c r="L2326" s="2">
        <f ca="1">IFERROR(_xlfn.STDEV.S(OFFSET(Tabla3[[#This Row],[Close]],-29,0,30)),"")</f>
        <v>136.15827432945943</v>
      </c>
    </row>
    <row r="2327" spans="1:12" x14ac:dyDescent="0.3">
      <c r="A2327" s="1">
        <v>45785</v>
      </c>
      <c r="B2327" s="3">
        <f>YEAR(Tabla3[[#This Row],[Date]])</f>
        <v>2025</v>
      </c>
      <c r="C2327" s="1" t="str">
        <f>+TEXT(Tabla3[[#This Row],[Date]],"mmm")</f>
        <v>may</v>
      </c>
      <c r="D2327" s="2">
        <v>3296.60009765625</v>
      </c>
      <c r="E2327" s="2">
        <v>3296.60009765625</v>
      </c>
      <c r="F2327" s="2">
        <v>3390</v>
      </c>
      <c r="G2327" s="2">
        <v>3288.69995117187</v>
      </c>
      <c r="H2327" s="2">
        <v>3390</v>
      </c>
      <c r="I2327">
        <v>200</v>
      </c>
      <c r="J2327" s="2">
        <f ca="1">IFERROR((Tabla3[[#This Row],[Close]]-OFFSET(Tabla3[[#This Row],[Close]],-1,0))/OFFSET(Tabla3[[#This Row],[Close]],-1,0),"")</f>
        <v>-2.50783128693896E-2</v>
      </c>
      <c r="K2327" s="2">
        <f ca="1">IFERROR(AVERAGE(OFFSET(Tabla3[[#This Row],[Close]],-6,0,7)),"")</f>
        <v>3306.7999790736599</v>
      </c>
      <c r="L2327" s="2">
        <f ca="1">IFERROR(_xlfn.STDEV.S(OFFSET(Tabla3[[#This Row],[Close]],-29,0,30)),"")</f>
        <v>132.27200577276375</v>
      </c>
    </row>
    <row r="2328" spans="1:12" x14ac:dyDescent="0.3">
      <c r="A2328" s="1">
        <v>45786</v>
      </c>
      <c r="B2328" s="3">
        <f>YEAR(Tabla3[[#This Row],[Date]])</f>
        <v>2025</v>
      </c>
      <c r="C2328" s="1" t="str">
        <f>+TEXT(Tabla3[[#This Row],[Date]],"mmm")</f>
        <v>may</v>
      </c>
      <c r="D2328" s="2">
        <v>3335.39990234375</v>
      </c>
      <c r="E2328" s="2">
        <v>3335.39990234375</v>
      </c>
      <c r="F2328" s="2">
        <v>3335.5</v>
      </c>
      <c r="G2328" s="2">
        <v>3299</v>
      </c>
      <c r="H2328" s="2">
        <v>3299</v>
      </c>
      <c r="I2328">
        <v>216</v>
      </c>
      <c r="J2328" s="2">
        <f ca="1">IFERROR((Tabla3[[#This Row],[Close]]-OFFSET(Tabla3[[#This Row],[Close]],-1,0))/OFFSET(Tabla3[[#This Row],[Close]],-1,0),"")</f>
        <v>1.1769642522029014E-2</v>
      </c>
      <c r="K2328" s="2">
        <f ca="1">IFERROR(AVERAGE(OFFSET(Tabla3[[#This Row],[Close]],-6,0,7)),"")</f>
        <v>3311.1428222656241</v>
      </c>
      <c r="L2328" s="2">
        <f ca="1">IFERROR(_xlfn.STDEV.S(OFFSET(Tabla3[[#This Row],[Close]],-29,0,30)),"")</f>
        <v>130.46632900656394</v>
      </c>
    </row>
    <row r="2329" spans="1:12" x14ac:dyDescent="0.3">
      <c r="A2329" s="1">
        <v>45789</v>
      </c>
      <c r="B2329" s="3">
        <f>YEAR(Tabla3[[#This Row],[Date]])</f>
        <v>2025</v>
      </c>
      <c r="C2329" s="1" t="str">
        <f>+TEXT(Tabla3[[#This Row],[Date]],"mmm")</f>
        <v>may</v>
      </c>
      <c r="D2329" s="2">
        <v>3220</v>
      </c>
      <c r="E2329" s="2">
        <v>3220</v>
      </c>
      <c r="F2329" s="2">
        <v>3300.69995117187</v>
      </c>
      <c r="G2329" s="2">
        <v>3205</v>
      </c>
      <c r="H2329" s="2">
        <v>3300.69995117187</v>
      </c>
      <c r="I2329">
        <v>886</v>
      </c>
      <c r="J2329" s="2">
        <f ca="1">IFERROR((Tabla3[[#This Row],[Close]]-OFFSET(Tabla3[[#This Row],[Close]],-1,0))/OFFSET(Tabla3[[#This Row],[Close]],-1,0),"")</f>
        <v>-3.4598520633960482E-2</v>
      </c>
      <c r="K2329" s="2">
        <f ca="1">IFERROR(AVERAGE(OFFSET(Tabla3[[#This Row],[Close]],-6,0,7)),"")</f>
        <v>3312.5713936941952</v>
      </c>
      <c r="L2329" s="2">
        <f ca="1">IFERROR(_xlfn.STDEV.S(OFFSET(Tabla3[[#This Row],[Close]],-29,0,30)),"")</f>
        <v>127.74364907281601</v>
      </c>
    </row>
    <row r="2330" spans="1:12" x14ac:dyDescent="0.3">
      <c r="A2330" s="1">
        <v>45790</v>
      </c>
      <c r="B2330" s="3">
        <f>YEAR(Tabla3[[#This Row],[Date]])</f>
        <v>2025</v>
      </c>
      <c r="C2330" s="1" t="str">
        <f>+TEXT(Tabla3[[#This Row],[Date]],"mmm")</f>
        <v>may</v>
      </c>
      <c r="D2330" s="2">
        <v>3240.30004882812</v>
      </c>
      <c r="E2330" s="2">
        <v>3240.30004882812</v>
      </c>
      <c r="F2330" s="2">
        <v>3251.39990234375</v>
      </c>
      <c r="G2330" s="2">
        <v>3223.5</v>
      </c>
      <c r="H2330" s="2">
        <v>3232</v>
      </c>
      <c r="I2330">
        <v>2424</v>
      </c>
      <c r="J2330" s="2">
        <f ca="1">IFERROR((Tabla3[[#This Row],[Close]]-OFFSET(Tabla3[[#This Row],[Close]],-1,0))/OFFSET(Tabla3[[#This Row],[Close]],-1,0),"")</f>
        <v>6.3043629900993783E-3</v>
      </c>
      <c r="K2330" s="2">
        <f ca="1">IFERROR(AVERAGE(OFFSET(Tabla3[[#This Row],[Close]],-6,0,7)),"")</f>
        <v>3313.771414620534</v>
      </c>
      <c r="L2330" s="2">
        <f ca="1">IFERROR(_xlfn.STDEV.S(OFFSET(Tabla3[[#This Row],[Close]],-29,0,30)),"")</f>
        <v>126.07578182319089</v>
      </c>
    </row>
    <row r="2331" spans="1:12" x14ac:dyDescent="0.3">
      <c r="A2331" s="1">
        <v>45791</v>
      </c>
      <c r="B2331" s="3">
        <f>YEAR(Tabla3[[#This Row],[Date]])</f>
        <v>2025</v>
      </c>
      <c r="C2331" s="1" t="str">
        <f>+TEXT(Tabla3[[#This Row],[Date]],"mmm")</f>
        <v>may</v>
      </c>
      <c r="D2331" s="2">
        <v>3181.39990234375</v>
      </c>
      <c r="E2331" s="2">
        <v>3181.39990234375</v>
      </c>
      <c r="F2331" s="2">
        <v>3233</v>
      </c>
      <c r="G2331" s="2">
        <v>3171.69995117187</v>
      </c>
      <c r="H2331" s="2">
        <v>3233</v>
      </c>
      <c r="I2331">
        <v>3518</v>
      </c>
      <c r="J2331" s="2">
        <f ca="1">IFERROR((Tabla3[[#This Row],[Close]]-OFFSET(Tabla3[[#This Row],[Close]],-1,0))/OFFSET(Tabla3[[#This Row],[Close]],-1,0),"")</f>
        <v>-1.8177374192760852E-2</v>
      </c>
      <c r="K2331" s="2">
        <f ca="1">IFERROR(AVERAGE(OFFSET(Tabla3[[#This Row],[Close]],-6,0,7)),"")</f>
        <v>3295.214250837053</v>
      </c>
      <c r="L2331" s="2">
        <f ca="1">IFERROR(_xlfn.STDEV.S(OFFSET(Tabla3[[#This Row],[Close]],-29,0,30)),"")</f>
        <v>124.58590189817613</v>
      </c>
    </row>
    <row r="2332" spans="1:12" x14ac:dyDescent="0.3">
      <c r="A2332" s="1">
        <v>45792</v>
      </c>
      <c r="B2332" s="3">
        <f>YEAR(Tabla3[[#This Row],[Date]])</f>
        <v>2025</v>
      </c>
      <c r="C2332" s="1" t="str">
        <f>+TEXT(Tabla3[[#This Row],[Date]],"mmm")</f>
        <v>may</v>
      </c>
      <c r="D2332" s="2">
        <v>3220.69995117187</v>
      </c>
      <c r="E2332" s="2">
        <v>3220.69995117187</v>
      </c>
      <c r="F2332" s="2">
        <v>3228.10009765625</v>
      </c>
      <c r="G2332" s="2">
        <v>3125</v>
      </c>
      <c r="H2332" s="2">
        <v>3151</v>
      </c>
      <c r="I2332">
        <v>652</v>
      </c>
      <c r="J2332" s="2">
        <f ca="1">IFERROR((Tabla3[[#This Row],[Close]]-OFFSET(Tabla3[[#This Row],[Close]],-1,0))/OFFSET(Tabla3[[#This Row],[Close]],-1,0),"")</f>
        <v>1.2353067842608374E-2</v>
      </c>
      <c r="K2332" s="2">
        <f ca="1">IFERROR(AVERAGE(OFFSET(Tabla3[[#This Row],[Close]],-6,0,7)),"")</f>
        <v>3267.9714006696418</v>
      </c>
      <c r="L2332" s="2">
        <f ca="1">IFERROR(_xlfn.STDEV.S(OFFSET(Tabla3[[#This Row],[Close]],-29,0,30)),"")</f>
        <v>123.26208949792395</v>
      </c>
    </row>
    <row r="2333" spans="1:12" x14ac:dyDescent="0.3">
      <c r="A2333" s="1">
        <v>45793</v>
      </c>
      <c r="B2333" s="3">
        <f>YEAR(Tabla3[[#This Row],[Date]])</f>
        <v>2025</v>
      </c>
      <c r="C2333" s="1" t="str">
        <f>+TEXT(Tabla3[[#This Row],[Date]],"mmm")</f>
        <v>may</v>
      </c>
      <c r="D2333" s="2">
        <v>3182</v>
      </c>
      <c r="E2333" s="2">
        <v>3182</v>
      </c>
      <c r="F2333" s="2">
        <v>3228.10009765625</v>
      </c>
      <c r="G2333" s="2">
        <v>3173.89990234375</v>
      </c>
      <c r="H2333" s="2">
        <v>3227.69995117187</v>
      </c>
      <c r="I2333">
        <v>199</v>
      </c>
      <c r="J2333" s="2">
        <f ca="1">IFERROR((Tabla3[[#This Row],[Close]]-OFFSET(Tabla3[[#This Row],[Close]],-1,0))/OFFSET(Tabla3[[#This Row],[Close]],-1,0),"")</f>
        <v>-1.2016006383267339E-2</v>
      </c>
      <c r="K2333" s="2">
        <f ca="1">IFERROR(AVERAGE(OFFSET(Tabla3[[#This Row],[Close]],-6,0,7)),"")</f>
        <v>3239.4857003348197</v>
      </c>
      <c r="L2333" s="2">
        <f ca="1">IFERROR(_xlfn.STDEV.S(OFFSET(Tabla3[[#This Row],[Close]],-29,0,30)),"")</f>
        <v>120.80154348437318</v>
      </c>
    </row>
    <row r="2334" spans="1:12" x14ac:dyDescent="0.3">
      <c r="A2334" s="1">
        <v>45796</v>
      </c>
      <c r="B2334" s="3">
        <f>YEAR(Tabla3[[#This Row],[Date]])</f>
        <v>2025</v>
      </c>
      <c r="C2334" s="1" t="str">
        <f>+TEXT(Tabla3[[#This Row],[Date]],"mmm")</f>
        <v>may</v>
      </c>
      <c r="D2334" s="2">
        <v>3228.89990234375</v>
      </c>
      <c r="E2334" s="2">
        <v>3228.89990234375</v>
      </c>
      <c r="F2334" s="2">
        <v>3241</v>
      </c>
      <c r="G2334" s="2">
        <v>3228.30004882812</v>
      </c>
      <c r="H2334" s="2">
        <v>3234.39990234375</v>
      </c>
      <c r="I2334">
        <v>266</v>
      </c>
      <c r="J2334" s="2">
        <f ca="1">IFERROR((Tabla3[[#This Row],[Close]]-OFFSET(Tabla3[[#This Row],[Close]],-1,0))/OFFSET(Tabla3[[#This Row],[Close]],-1,0),"")</f>
        <v>1.4739127072203017E-2</v>
      </c>
      <c r="K2334" s="2">
        <f ca="1">IFERROR(AVERAGE(OFFSET(Tabla3[[#This Row],[Close]],-6,0,7)),"")</f>
        <v>3229.8142438616055</v>
      </c>
      <c r="L2334" s="2">
        <f ca="1">IFERROR(_xlfn.STDEV.S(OFFSET(Tabla3[[#This Row],[Close]],-29,0,30)),"")</f>
        <v>112.69593511147258</v>
      </c>
    </row>
    <row r="2335" spans="1:12" x14ac:dyDescent="0.3">
      <c r="A2335" s="1">
        <v>45797</v>
      </c>
      <c r="B2335" s="3">
        <f>YEAR(Tabla3[[#This Row],[Date]])</f>
        <v>2025</v>
      </c>
      <c r="C2335" s="1" t="str">
        <f>+TEXT(Tabla3[[#This Row],[Date]],"mmm")</f>
        <v>may</v>
      </c>
      <c r="D2335" s="2">
        <v>3280.30004882812</v>
      </c>
      <c r="E2335" s="2">
        <v>3280.30004882812</v>
      </c>
      <c r="F2335" s="2">
        <v>3293.19995117187</v>
      </c>
      <c r="G2335" s="2">
        <v>3207.5</v>
      </c>
      <c r="H2335" s="2">
        <v>3219</v>
      </c>
      <c r="I2335">
        <v>356</v>
      </c>
      <c r="J2335" s="2">
        <f ca="1">IFERROR((Tabla3[[#This Row],[Close]]-OFFSET(Tabla3[[#This Row],[Close]],-1,0))/OFFSET(Tabla3[[#This Row],[Close]],-1,0),"")</f>
        <v>1.5918779782259695E-2</v>
      </c>
      <c r="K2335" s="2">
        <f ca="1">IFERROR(AVERAGE(OFFSET(Tabla3[[#This Row],[Close]],-6,0,7)),"")</f>
        <v>3221.9428362165158</v>
      </c>
      <c r="L2335" s="2">
        <f ca="1">IFERROR(_xlfn.STDEV.S(OFFSET(Tabla3[[#This Row],[Close]],-29,0,30)),"")</f>
        <v>97.558299193618851</v>
      </c>
    </row>
    <row r="2336" spans="1:12" x14ac:dyDescent="0.3">
      <c r="A2336" s="1">
        <v>45798</v>
      </c>
      <c r="B2336" s="3">
        <f>YEAR(Tabla3[[#This Row],[Date]])</f>
        <v>2025</v>
      </c>
      <c r="C2336" s="1" t="str">
        <f>+TEXT(Tabla3[[#This Row],[Date]],"mmm")</f>
        <v>may</v>
      </c>
      <c r="D2336" s="2">
        <v>3309.30004882812</v>
      </c>
      <c r="E2336" s="2">
        <v>3309.30004882812</v>
      </c>
      <c r="F2336" s="2">
        <v>3317.5</v>
      </c>
      <c r="G2336" s="2">
        <v>3290.19995117187</v>
      </c>
      <c r="H2336" s="2">
        <v>3293.39990234375</v>
      </c>
      <c r="I2336">
        <v>979</v>
      </c>
      <c r="J2336" s="2">
        <f ca="1">IFERROR((Tabla3[[#This Row],[Close]]-OFFSET(Tabla3[[#This Row],[Close]],-1,0))/OFFSET(Tabla3[[#This Row],[Close]],-1,0),"")</f>
        <v>8.8406546865614274E-3</v>
      </c>
      <c r="K2336" s="2">
        <f ca="1">IFERROR(AVERAGE(OFFSET(Tabla3[[#This Row],[Close]],-6,0,7)),"")</f>
        <v>3234.6999860491046</v>
      </c>
      <c r="L2336" s="2">
        <f ca="1">IFERROR(_xlfn.STDEV.S(OFFSET(Tabla3[[#This Row],[Close]],-29,0,30)),"")</f>
        <v>80.617406591621844</v>
      </c>
    </row>
    <row r="2337" spans="1:12" x14ac:dyDescent="0.3">
      <c r="A2337" s="1">
        <v>45799</v>
      </c>
      <c r="B2337" s="3">
        <f>YEAR(Tabla3[[#This Row],[Date]])</f>
        <v>2025</v>
      </c>
      <c r="C2337" s="1" t="str">
        <f>+TEXT(Tabla3[[#This Row],[Date]],"mmm")</f>
        <v>may</v>
      </c>
      <c r="D2337" s="2">
        <v>3292.30004882812</v>
      </c>
      <c r="E2337" s="2">
        <v>3292.30004882812</v>
      </c>
      <c r="F2337" s="2">
        <v>3328</v>
      </c>
      <c r="G2337" s="2">
        <v>3282.69995117187</v>
      </c>
      <c r="H2337" s="2">
        <v>3327.30004882812</v>
      </c>
      <c r="I2337">
        <v>1210</v>
      </c>
      <c r="J2337" s="2">
        <f ca="1">IFERROR((Tabla3[[#This Row],[Close]]-OFFSET(Tabla3[[#This Row],[Close]],-1,0))/OFFSET(Tabla3[[#This Row],[Close]],-1,0),"")</f>
        <v>-5.1370379685033371E-3</v>
      </c>
      <c r="K2337" s="2">
        <f ca="1">IFERROR(AVERAGE(OFFSET(Tabla3[[#This Row],[Close]],-6,0,7)),"")</f>
        <v>3242.1285574776762</v>
      </c>
      <c r="L2337" s="2">
        <f ca="1">IFERROR(_xlfn.STDEV.S(OFFSET(Tabla3[[#This Row],[Close]],-29,0,30)),"")</f>
        <v>69.520626655551538</v>
      </c>
    </row>
    <row r="2338" spans="1:12" x14ac:dyDescent="0.3">
      <c r="A2338" s="1">
        <v>45800</v>
      </c>
      <c r="B2338" s="3">
        <f>YEAR(Tabla3[[#This Row],[Date]])</f>
        <v>2025</v>
      </c>
      <c r="C2338" s="1" t="str">
        <f>+TEXT(Tabla3[[#This Row],[Date]],"mmm")</f>
        <v>may</v>
      </c>
      <c r="D2338" s="2">
        <v>3363.60009765625</v>
      </c>
      <c r="E2338" s="2">
        <v>3363.60009765625</v>
      </c>
      <c r="F2338" s="2">
        <v>3363.60009765625</v>
      </c>
      <c r="G2338" s="2">
        <v>3323.5</v>
      </c>
      <c r="H2338" s="2">
        <v>3328</v>
      </c>
      <c r="I2338">
        <v>47</v>
      </c>
      <c r="J2338" s="2">
        <f ca="1">IFERROR((Tabla3[[#This Row],[Close]]-OFFSET(Tabla3[[#This Row],[Close]],-1,0))/OFFSET(Tabla3[[#This Row],[Close]],-1,0),"")</f>
        <v>2.1656607165409771E-2</v>
      </c>
      <c r="K2338" s="2">
        <f ca="1">IFERROR(AVERAGE(OFFSET(Tabla3[[#This Row],[Close]],-6,0,7)),"")</f>
        <v>3268.1571568080326</v>
      </c>
      <c r="L2338" s="2">
        <f ca="1">IFERROR(_xlfn.STDEV.S(OFFSET(Tabla3[[#This Row],[Close]],-29,0,30)),"")</f>
        <v>66.902282234965924</v>
      </c>
    </row>
    <row r="2339" spans="1:12" x14ac:dyDescent="0.3">
      <c r="A2339" s="1">
        <v>45804</v>
      </c>
      <c r="B2339" s="3">
        <f>YEAR(Tabla3[[#This Row],[Date]])</f>
        <v>2025</v>
      </c>
      <c r="C2339" s="1" t="str">
        <f>+TEXT(Tabla3[[#This Row],[Date]],"mmm")</f>
        <v>may</v>
      </c>
      <c r="D2339" s="2">
        <v>3299.10009765625</v>
      </c>
      <c r="E2339" s="2">
        <v>3299.10009765625</v>
      </c>
      <c r="F2339" s="2">
        <v>3341</v>
      </c>
      <c r="G2339" s="2">
        <v>3296.30004882812</v>
      </c>
      <c r="H2339" s="2">
        <v>3332.5</v>
      </c>
      <c r="I2339">
        <v>189</v>
      </c>
      <c r="J2339" s="2">
        <f ca="1">IFERROR((Tabla3[[#This Row],[Close]]-OFFSET(Tabla3[[#This Row],[Close]],-1,0))/OFFSET(Tabla3[[#This Row],[Close]],-1,0),"")</f>
        <v>-1.9175882425780482E-2</v>
      </c>
      <c r="K2339" s="2">
        <f ca="1">IFERROR(AVERAGE(OFFSET(Tabla3[[#This Row],[Close]],-6,0,7)),"")</f>
        <v>3279.3571777343727</v>
      </c>
      <c r="L2339" s="2">
        <f ca="1">IFERROR(_xlfn.STDEV.S(OFFSET(Tabla3[[#This Row],[Close]],-29,0,30)),"")</f>
        <v>65.768672472511071</v>
      </c>
    </row>
    <row r="2340" spans="1:12" x14ac:dyDescent="0.3">
      <c r="A2340" s="1">
        <v>45805</v>
      </c>
      <c r="B2340" s="3">
        <f>YEAR(Tabla3[[#This Row],[Date]])</f>
        <v>2025</v>
      </c>
      <c r="C2340" s="1" t="str">
        <f>+TEXT(Tabla3[[#This Row],[Date]],"mmm")</f>
        <v>may</v>
      </c>
      <c r="D2340" s="2">
        <v>3293.60009765625</v>
      </c>
      <c r="E2340" s="2">
        <v>3293.60009765625</v>
      </c>
      <c r="F2340" s="2">
        <v>3293.60009765625</v>
      </c>
      <c r="G2340" s="2">
        <v>3293.60009765625</v>
      </c>
      <c r="H2340" s="2">
        <v>3293.60009765625</v>
      </c>
      <c r="I2340">
        <v>127758</v>
      </c>
      <c r="J2340" s="2">
        <f ca="1">IFERROR((Tabla3[[#This Row],[Close]]-OFFSET(Tabla3[[#This Row],[Close]],-1,0))/OFFSET(Tabla3[[#This Row],[Close]],-1,0),"")</f>
        <v>-1.6671212867737221E-3</v>
      </c>
      <c r="K2340" s="2">
        <f ca="1">IFERROR(AVERAGE(OFFSET(Tabla3[[#This Row],[Close]],-6,0,7)),"")</f>
        <v>3295.3000488281227</v>
      </c>
      <c r="L2340" s="2">
        <f ca="1">IFERROR(_xlfn.STDEV.S(OFFSET(Tabla3[[#This Row],[Close]],-29,0,30)),"")</f>
        <v>63.755894137318649</v>
      </c>
    </row>
    <row r="2341" spans="1:12" x14ac:dyDescent="0.3">
      <c r="A2341" s="1">
        <v>45806</v>
      </c>
      <c r="B2341" s="3">
        <f>YEAR(Tabla3[[#This Row],[Date]])</f>
        <v>2025</v>
      </c>
      <c r="C2341" s="1" t="str">
        <f>+TEXT(Tabla3[[#This Row],[Date]],"mmm")</f>
        <v>may</v>
      </c>
      <c r="D2341" s="2">
        <v>3317.10009765625</v>
      </c>
      <c r="E2341" s="2">
        <v>3317.10009765625</v>
      </c>
      <c r="F2341" s="2">
        <v>3328.80004882812</v>
      </c>
      <c r="G2341" s="2">
        <v>3242.39990234375</v>
      </c>
      <c r="H2341" s="2">
        <v>3283.69995117187</v>
      </c>
      <c r="I2341">
        <v>24370</v>
      </c>
      <c r="J2341" s="2">
        <f ca="1">IFERROR((Tabla3[[#This Row],[Close]]-OFFSET(Tabla3[[#This Row],[Close]],-1,0))/OFFSET(Tabla3[[#This Row],[Close]],-1,0),"")</f>
        <v>7.1350495819825768E-3</v>
      </c>
      <c r="K2341" s="2">
        <f ca="1">IFERROR(AVERAGE(OFFSET(Tabla3[[#This Row],[Close]],-6,0,7)),"")</f>
        <v>3307.9000767299085</v>
      </c>
      <c r="L2341" s="2">
        <f ca="1">IFERROR(_xlfn.STDEV.S(OFFSET(Tabla3[[#This Row],[Close]],-29,0,30)),"")</f>
        <v>62.302922801095526</v>
      </c>
    </row>
    <row r="2342" spans="1:12" x14ac:dyDescent="0.3">
      <c r="A2342" s="1">
        <v>45807</v>
      </c>
      <c r="B2342" s="3">
        <f>YEAR(Tabla3[[#This Row],[Date]])</f>
        <v>2025</v>
      </c>
      <c r="C2342" s="1" t="str">
        <f>+TEXT(Tabla3[[#This Row],[Date]],"mmm")</f>
        <v>may</v>
      </c>
      <c r="D2342" s="2">
        <v>3288.89990234375</v>
      </c>
      <c r="E2342" s="2">
        <v>3288.89990234375</v>
      </c>
      <c r="F2342" s="2">
        <v>3318</v>
      </c>
      <c r="G2342" s="2">
        <v>3270.89990234375</v>
      </c>
      <c r="H2342" s="2">
        <v>3315.10009765625</v>
      </c>
      <c r="I2342">
        <v>2213</v>
      </c>
      <c r="J2342" s="2">
        <f ca="1">IFERROR((Tabla3[[#This Row],[Close]]-OFFSET(Tabla3[[#This Row],[Close]],-1,0))/OFFSET(Tabla3[[#This Row],[Close]],-1,0),"")</f>
        <v>-8.5014604571099009E-3</v>
      </c>
      <c r="K2342" s="2">
        <f ca="1">IFERROR(AVERAGE(OFFSET(Tabla3[[#This Row],[Close]],-6,0,7)),"")</f>
        <v>3309.1286272321413</v>
      </c>
      <c r="L2342" s="2">
        <f ca="1">IFERROR(_xlfn.STDEV.S(OFFSET(Tabla3[[#This Row],[Close]],-29,0,30)),"")</f>
        <v>62.055204193761078</v>
      </c>
    </row>
    <row r="2343" spans="1:12" x14ac:dyDescent="0.3">
      <c r="A2343" s="1">
        <v>45810</v>
      </c>
      <c r="B2343" s="3">
        <f>YEAR(Tabla3[[#This Row],[Date]])</f>
        <v>2025</v>
      </c>
      <c r="C2343" s="1" t="str">
        <f>+TEXT(Tabla3[[#This Row],[Date]],"mmm")</f>
        <v>jun</v>
      </c>
      <c r="D2343" s="2">
        <v>3370.60009765625</v>
      </c>
      <c r="E2343" s="2">
        <v>3370.60009765625</v>
      </c>
      <c r="F2343" s="2">
        <v>3380.80004882812</v>
      </c>
      <c r="G2343" s="2">
        <v>3296.89990234375</v>
      </c>
      <c r="H2343" s="2">
        <v>3296.89990234375</v>
      </c>
      <c r="I2343">
        <v>976</v>
      </c>
      <c r="J2343" s="2">
        <f ca="1">IFERROR((Tabla3[[#This Row],[Close]]-OFFSET(Tabla3[[#This Row],[Close]],-1,0))/OFFSET(Tabla3[[#This Row],[Close]],-1,0),"")</f>
        <v>2.4841192416430326E-2</v>
      </c>
      <c r="K2343" s="2">
        <f ca="1">IFERROR(AVERAGE(OFFSET(Tabla3[[#This Row],[Close]],-6,0,7)),"")</f>
        <v>3317.885777064731</v>
      </c>
      <c r="L2343" s="2">
        <f ca="1">IFERROR(_xlfn.STDEV.S(OFFSET(Tabla3[[#This Row],[Close]],-29,0,30)),"")</f>
        <v>63.528633044560436</v>
      </c>
    </row>
    <row r="2344" spans="1:12" x14ac:dyDescent="0.3">
      <c r="A2344" s="1">
        <v>45811</v>
      </c>
      <c r="B2344" s="3">
        <f>YEAR(Tabla3[[#This Row],[Date]])</f>
        <v>2025</v>
      </c>
      <c r="C2344" s="1" t="str">
        <f>+TEXT(Tabla3[[#This Row],[Date]],"mmm")</f>
        <v>jun</v>
      </c>
      <c r="D2344" s="2">
        <v>3350.19995117187</v>
      </c>
      <c r="E2344" s="2">
        <v>3350.19995117187</v>
      </c>
      <c r="F2344" s="2">
        <v>3390</v>
      </c>
      <c r="G2344" s="2">
        <v>3331.30004882812</v>
      </c>
      <c r="H2344" s="2">
        <v>3385.10009765625</v>
      </c>
      <c r="I2344">
        <v>6410</v>
      </c>
      <c r="J2344" s="2">
        <f ca="1">IFERROR((Tabla3[[#This Row],[Close]]-OFFSET(Tabla3[[#This Row],[Close]],-1,0))/OFFSET(Tabla3[[#This Row],[Close]],-1,0),"")</f>
        <v>-6.0523781799464325E-3</v>
      </c>
      <c r="K2344" s="2">
        <f ca="1">IFERROR(AVERAGE(OFFSET(Tabla3[[#This Row],[Close]],-6,0,7)),"")</f>
        <v>3326.1571916852672</v>
      </c>
      <c r="L2344" s="2">
        <f ca="1">IFERROR(_xlfn.STDEV.S(OFFSET(Tabla3[[#This Row],[Close]],-29,0,30)),"")</f>
        <v>60.991663773369559</v>
      </c>
    </row>
    <row r="2345" spans="1:12" x14ac:dyDescent="0.3">
      <c r="A2345" s="1">
        <v>45812</v>
      </c>
      <c r="B2345" s="3">
        <f>YEAR(Tabla3[[#This Row],[Date]])</f>
        <v>2025</v>
      </c>
      <c r="C2345" s="1" t="str">
        <f>+TEXT(Tabla3[[#This Row],[Date]],"mmm")</f>
        <v>jun</v>
      </c>
      <c r="D2345" s="2">
        <v>3373.5</v>
      </c>
      <c r="E2345" s="2">
        <v>3373.5</v>
      </c>
      <c r="F2345" s="2">
        <v>3380</v>
      </c>
      <c r="G2345" s="2">
        <v>3344</v>
      </c>
      <c r="H2345" s="2">
        <v>3355</v>
      </c>
      <c r="I2345">
        <v>207</v>
      </c>
      <c r="J2345" s="2">
        <f ca="1">IFERROR((Tabla3[[#This Row],[Close]]-OFFSET(Tabla3[[#This Row],[Close]],-1,0))/OFFSET(Tabla3[[#This Row],[Close]],-1,0),"")</f>
        <v>6.9548233441946812E-3</v>
      </c>
      <c r="K2345" s="2">
        <f ca="1">IFERROR(AVERAGE(OFFSET(Tabla3[[#This Row],[Close]],-6,0,7)),"")</f>
        <v>3327.5714634486603</v>
      </c>
      <c r="L2345" s="2">
        <f ca="1">IFERROR(_xlfn.STDEV.S(OFFSET(Tabla3[[#This Row],[Close]],-29,0,30)),"")</f>
        <v>59.552621543443664</v>
      </c>
    </row>
    <row r="2346" spans="1:12" x14ac:dyDescent="0.3">
      <c r="A2346" s="1">
        <v>45813</v>
      </c>
      <c r="B2346" s="3">
        <f>YEAR(Tabla3[[#This Row],[Date]])</f>
        <v>2025</v>
      </c>
      <c r="C2346" s="1" t="str">
        <f>+TEXT(Tabla3[[#This Row],[Date]],"mmm")</f>
        <v>jun</v>
      </c>
      <c r="D2346" s="2">
        <v>3350.69995117187</v>
      </c>
      <c r="E2346" s="2">
        <v>3350.69995117187</v>
      </c>
      <c r="F2346" s="2">
        <v>3400</v>
      </c>
      <c r="G2346" s="2">
        <v>3343.69995117187</v>
      </c>
      <c r="H2346" s="2">
        <v>3371.5</v>
      </c>
      <c r="I2346">
        <v>731</v>
      </c>
      <c r="J2346" s="2">
        <f ca="1">IFERROR((Tabla3[[#This Row],[Close]]-OFFSET(Tabla3[[#This Row],[Close]],-1,0))/OFFSET(Tabla3[[#This Row],[Close]],-1,0),"")</f>
        <v>-6.7585738337424045E-3</v>
      </c>
      <c r="K2346" s="2">
        <f ca="1">IFERROR(AVERAGE(OFFSET(Tabla3[[#This Row],[Close]],-6,0,7)),"")</f>
        <v>3334.9428710937491</v>
      </c>
      <c r="L2346" s="2">
        <f ca="1">IFERROR(_xlfn.STDEV.S(OFFSET(Tabla3[[#This Row],[Close]],-29,0,30)),"")</f>
        <v>60.310313577641644</v>
      </c>
    </row>
    <row r="2347" spans="1:12" x14ac:dyDescent="0.3">
      <c r="A2347" s="1">
        <v>45814</v>
      </c>
      <c r="B2347" s="3">
        <f>YEAR(Tabla3[[#This Row],[Date]])</f>
        <v>2025</v>
      </c>
      <c r="C2347" s="1" t="str">
        <f>+TEXT(Tabla3[[#This Row],[Date]],"mmm")</f>
        <v>jun</v>
      </c>
      <c r="D2347" s="2">
        <v>3322.69995117187</v>
      </c>
      <c r="E2347" s="2">
        <v>3322.69995117187</v>
      </c>
      <c r="F2347" s="2">
        <v>3364.30004882812</v>
      </c>
      <c r="G2347" s="2">
        <v>3306</v>
      </c>
      <c r="H2347" s="2">
        <v>3364.30004882812</v>
      </c>
      <c r="I2347">
        <v>81</v>
      </c>
      <c r="J2347" s="2">
        <f ca="1">IFERROR((Tabla3[[#This Row],[Close]]-OFFSET(Tabla3[[#This Row],[Close]],-1,0))/OFFSET(Tabla3[[#This Row],[Close]],-1,0),"")</f>
        <v>-8.3564629504373593E-3</v>
      </c>
      <c r="K2347" s="2">
        <f ca="1">IFERROR(AVERAGE(OFFSET(Tabla3[[#This Row],[Close]],-6,0,7)),"")</f>
        <v>3339.0999930245516</v>
      </c>
      <c r="L2347" s="2">
        <f ca="1">IFERROR(_xlfn.STDEV.S(OFFSET(Tabla3[[#This Row],[Close]],-29,0,30)),"")</f>
        <v>60.148102336209305</v>
      </c>
    </row>
    <row r="2348" spans="1:12" x14ac:dyDescent="0.3">
      <c r="A2348" s="1">
        <v>45817</v>
      </c>
      <c r="B2348" s="3">
        <f>YEAR(Tabla3[[#This Row],[Date]])</f>
        <v>2025</v>
      </c>
      <c r="C2348" s="1" t="str">
        <f>+TEXT(Tabla3[[#This Row],[Date]],"mmm")</f>
        <v>jun</v>
      </c>
      <c r="D2348" s="2">
        <v>3332.10009765625</v>
      </c>
      <c r="E2348" s="2">
        <v>3332.10009765625</v>
      </c>
      <c r="F2348" s="2">
        <v>3334.60009765625</v>
      </c>
      <c r="G2348" s="2">
        <v>3290</v>
      </c>
      <c r="H2348" s="2">
        <v>3315.60009765625</v>
      </c>
      <c r="I2348">
        <v>1887</v>
      </c>
      <c r="J2348" s="2">
        <f ca="1">IFERROR((Tabla3[[#This Row],[Close]]-OFFSET(Tabla3[[#This Row],[Close]],-1,0))/OFFSET(Tabla3[[#This Row],[Close]],-1,0),"")</f>
        <v>2.8290687159593514E-3</v>
      </c>
      <c r="K2348" s="2">
        <f ca="1">IFERROR(AVERAGE(OFFSET(Tabla3[[#This Row],[Close]],-6,0,7)),"")</f>
        <v>3341.2428501674085</v>
      </c>
      <c r="L2348" s="2">
        <f ca="1">IFERROR(_xlfn.STDEV.S(OFFSET(Tabla3[[#This Row],[Close]],-29,0,30)),"")</f>
        <v>60.42361598068009</v>
      </c>
    </row>
    <row r="2349" spans="1:12" x14ac:dyDescent="0.3">
      <c r="A2349" s="1">
        <v>45818</v>
      </c>
      <c r="B2349" s="3">
        <f>YEAR(Tabla3[[#This Row],[Date]])</f>
        <v>2025</v>
      </c>
      <c r="C2349" s="1" t="str">
        <f>+TEXT(Tabla3[[#This Row],[Date]],"mmm")</f>
        <v>jun</v>
      </c>
      <c r="D2349" s="2">
        <v>3320.89990234375</v>
      </c>
      <c r="E2349" s="2">
        <v>3320.89990234375</v>
      </c>
      <c r="F2349" s="2">
        <v>3344.30004882812</v>
      </c>
      <c r="G2349" s="2">
        <v>3302</v>
      </c>
      <c r="H2349" s="2">
        <v>3302</v>
      </c>
      <c r="I2349">
        <v>65</v>
      </c>
      <c r="J2349" s="2">
        <f ca="1">IFERROR((Tabla3[[#This Row],[Close]]-OFFSET(Tabla3[[#This Row],[Close]],-1,0))/OFFSET(Tabla3[[#This Row],[Close]],-1,0),"")</f>
        <v>-3.3613021770798699E-3</v>
      </c>
      <c r="K2349" s="2">
        <f ca="1">IFERROR(AVERAGE(OFFSET(Tabla3[[#This Row],[Close]],-6,0,7)),"")</f>
        <v>3345.8142787388374</v>
      </c>
      <c r="L2349" s="2">
        <f ca="1">IFERROR(_xlfn.STDEV.S(OFFSET(Tabla3[[#This Row],[Close]],-29,0,30)),"")</f>
        <v>60.234607023058963</v>
      </c>
    </row>
    <row r="2350" spans="1:12" x14ac:dyDescent="0.3">
      <c r="A2350" s="1">
        <v>45819</v>
      </c>
      <c r="B2350" s="3">
        <f>YEAR(Tabla3[[#This Row],[Date]])</f>
        <v>2025</v>
      </c>
      <c r="C2350" s="1" t="str">
        <f>+TEXT(Tabla3[[#This Row],[Date]],"mmm")</f>
        <v>jun</v>
      </c>
      <c r="D2350" s="2">
        <v>3321.30004882812</v>
      </c>
      <c r="E2350" s="2">
        <v>3321.30004882812</v>
      </c>
      <c r="F2350" s="2">
        <v>3356</v>
      </c>
      <c r="G2350" s="2">
        <v>3321.30004882812</v>
      </c>
      <c r="H2350" s="2">
        <v>3328</v>
      </c>
      <c r="I2350">
        <v>2106</v>
      </c>
      <c r="J2350" s="2">
        <f ca="1">IFERROR((Tabla3[[#This Row],[Close]]-OFFSET(Tabla3[[#This Row],[Close]],-1,0))/OFFSET(Tabla3[[#This Row],[Close]],-1,0),"")</f>
        <v>1.2049338918273068E-4</v>
      </c>
      <c r="K2350" s="2">
        <f ca="1">IFERROR(AVERAGE(OFFSET(Tabla3[[#This Row],[Close]],-6,0,7)),"")</f>
        <v>3338.7714146205331</v>
      </c>
      <c r="L2350" s="2">
        <f ca="1">IFERROR(_xlfn.STDEV.S(OFFSET(Tabla3[[#This Row],[Close]],-29,0,30)),"")</f>
        <v>60.266096869391426</v>
      </c>
    </row>
    <row r="2351" spans="1:12" x14ac:dyDescent="0.3">
      <c r="A2351" s="1">
        <v>45820</v>
      </c>
      <c r="B2351" s="3">
        <f>YEAR(Tabla3[[#This Row],[Date]])</f>
        <v>2025</v>
      </c>
      <c r="C2351" s="1" t="str">
        <f>+TEXT(Tabla3[[#This Row],[Date]],"mmm")</f>
        <v>jun</v>
      </c>
      <c r="D2351" s="2">
        <v>3380.89990234375</v>
      </c>
      <c r="E2351" s="2">
        <v>3380.89990234375</v>
      </c>
      <c r="F2351" s="2">
        <v>3395.89990234375</v>
      </c>
      <c r="G2351" s="2">
        <v>3353.39990234375</v>
      </c>
      <c r="H2351" s="2">
        <v>3363</v>
      </c>
      <c r="I2351">
        <v>1818</v>
      </c>
      <c r="J2351" s="2">
        <f ca="1">IFERROR((Tabla3[[#This Row],[Close]]-OFFSET(Tabla3[[#This Row],[Close]],-1,0))/OFFSET(Tabla3[[#This Row],[Close]],-1,0),"")</f>
        <v>1.7944736289832976E-2</v>
      </c>
      <c r="K2351" s="2">
        <f ca="1">IFERROR(AVERAGE(OFFSET(Tabla3[[#This Row],[Close]],-6,0,7)),"")</f>
        <v>3343.1571219308016</v>
      </c>
      <c r="L2351" s="2">
        <f ca="1">IFERROR(_xlfn.STDEV.S(OFFSET(Tabla3[[#This Row],[Close]],-29,0,30)),"")</f>
        <v>62.130781932639586</v>
      </c>
    </row>
    <row r="2352" spans="1:12" x14ac:dyDescent="0.3">
      <c r="A2352" s="1">
        <v>45821</v>
      </c>
      <c r="B2352" s="3">
        <f>YEAR(Tabla3[[#This Row],[Date]])</f>
        <v>2025</v>
      </c>
      <c r="C2352" s="1" t="str">
        <f>+TEXT(Tabla3[[#This Row],[Date]],"mmm")</f>
        <v>jun</v>
      </c>
      <c r="D2352" s="2">
        <v>3431.19995117187</v>
      </c>
      <c r="E2352" s="2">
        <v>3431.19995117187</v>
      </c>
      <c r="F2352" s="2">
        <v>3444</v>
      </c>
      <c r="G2352" s="2">
        <v>3407.30004882812</v>
      </c>
      <c r="H2352" s="2">
        <v>3407.30004882812</v>
      </c>
      <c r="I2352">
        <v>499</v>
      </c>
      <c r="J2352" s="2">
        <f ca="1">IFERROR((Tabla3[[#This Row],[Close]]-OFFSET(Tabla3[[#This Row],[Close]],-1,0))/OFFSET(Tabla3[[#This Row],[Close]],-1,0),"")</f>
        <v>1.4877710160318667E-2</v>
      </c>
      <c r="K2352" s="2">
        <f ca="1">IFERROR(AVERAGE(OFFSET(Tabla3[[#This Row],[Close]],-6,0,7)),"")</f>
        <v>3351.3999720982115</v>
      </c>
      <c r="L2352" s="2">
        <f ca="1">IFERROR(_xlfn.STDEV.S(OFFSET(Tabla3[[#This Row],[Close]],-29,0,30)),"")</f>
        <v>64.100647490093777</v>
      </c>
    </row>
    <row r="2353" spans="1:12" x14ac:dyDescent="0.3">
      <c r="A2353" s="1">
        <v>45824</v>
      </c>
      <c r="B2353" s="3">
        <f>YEAR(Tabla3[[#This Row],[Date]])</f>
        <v>2025</v>
      </c>
      <c r="C2353" s="1" t="str">
        <f>+TEXT(Tabla3[[#This Row],[Date]],"mmm")</f>
        <v>jun</v>
      </c>
      <c r="D2353" s="2">
        <v>3396.39990234375</v>
      </c>
      <c r="E2353" s="2">
        <v>3396.39990234375</v>
      </c>
      <c r="F2353" s="2">
        <v>3442</v>
      </c>
      <c r="G2353" s="2">
        <v>3385.39990234375</v>
      </c>
      <c r="H2353" s="2">
        <v>3442</v>
      </c>
      <c r="I2353">
        <v>480</v>
      </c>
      <c r="J2353" s="2">
        <f ca="1">IFERROR((Tabla3[[#This Row],[Close]]-OFFSET(Tabla3[[#This Row],[Close]],-1,0))/OFFSET(Tabla3[[#This Row],[Close]],-1,0),"")</f>
        <v>-1.0142238669662669E-2</v>
      </c>
      <c r="K2353" s="2">
        <f ca="1">IFERROR(AVERAGE(OFFSET(Tabla3[[#This Row],[Close]],-6,0,7)),"")</f>
        <v>3357.9285365513374</v>
      </c>
      <c r="L2353" s="2">
        <f ca="1">IFERROR(_xlfn.STDEV.S(OFFSET(Tabla3[[#This Row],[Close]],-29,0,30)),"")</f>
        <v>64.402718689054112</v>
      </c>
    </row>
    <row r="2354" spans="1:12" x14ac:dyDescent="0.3">
      <c r="A2354" s="1">
        <v>45825</v>
      </c>
      <c r="B2354" s="3">
        <f>YEAR(Tabla3[[#This Row],[Date]])</f>
        <v>2025</v>
      </c>
      <c r="C2354" s="1" t="str">
        <f>+TEXT(Tabla3[[#This Row],[Date]],"mmm")</f>
        <v>jun</v>
      </c>
      <c r="D2354" s="2">
        <v>3386.60009765625</v>
      </c>
      <c r="E2354" s="2">
        <v>3386.60009765625</v>
      </c>
      <c r="F2354" s="2">
        <v>3398.30004882812</v>
      </c>
      <c r="G2354" s="2">
        <v>3376.10009765625</v>
      </c>
      <c r="H2354" s="2">
        <v>3398.30004882812</v>
      </c>
      <c r="I2354">
        <v>1477</v>
      </c>
      <c r="J2354" s="2">
        <f ca="1">IFERROR((Tabla3[[#This Row],[Close]]-OFFSET(Tabla3[[#This Row],[Close]],-1,0))/OFFSET(Tabla3[[#This Row],[Close]],-1,0),"")</f>
        <v>-2.8853506563633626E-3</v>
      </c>
      <c r="K2354" s="2">
        <f ca="1">IFERROR(AVERAGE(OFFSET(Tabla3[[#This Row],[Close]],-6,0,7)),"")</f>
        <v>3367.0571289062486</v>
      </c>
      <c r="L2354" s="2">
        <f ca="1">IFERROR(_xlfn.STDEV.S(OFFSET(Tabla3[[#This Row],[Close]],-29,0,30)),"")</f>
        <v>65.768112765953759</v>
      </c>
    </row>
    <row r="2355" spans="1:12" x14ac:dyDescent="0.3">
      <c r="A2355" s="1">
        <v>45826</v>
      </c>
      <c r="B2355" s="3">
        <f>YEAR(Tabla3[[#This Row],[Date]])</f>
        <v>2025</v>
      </c>
      <c r="C2355" s="1" t="str">
        <f>+TEXT(Tabla3[[#This Row],[Date]],"mmm")</f>
        <v>jun</v>
      </c>
      <c r="D2355" s="2">
        <v>3389.80004882812</v>
      </c>
      <c r="E2355" s="2">
        <v>3389.80004882812</v>
      </c>
      <c r="F2355" s="2">
        <v>3391.89990234375</v>
      </c>
      <c r="G2355" s="2">
        <v>3365.10009765625</v>
      </c>
      <c r="H2355" s="2">
        <v>3385.30004882812</v>
      </c>
      <c r="I2355">
        <v>0</v>
      </c>
      <c r="J2355" s="2">
        <f ca="1">IFERROR((Tabla3[[#This Row],[Close]]-OFFSET(Tabla3[[#This Row],[Close]],-1,0))/OFFSET(Tabla3[[#This Row],[Close]],-1,0),"")</f>
        <v>9.4488604488158329E-4</v>
      </c>
      <c r="K2355" s="2">
        <f ca="1">IFERROR(AVERAGE(OFFSET(Tabla3[[#This Row],[Close]],-6,0,7)),"")</f>
        <v>3375.2999790736585</v>
      </c>
      <c r="L2355" s="2">
        <f ca="1">IFERROR(_xlfn.STDEV.S(OFFSET(Tabla3[[#This Row],[Close]],-29,0,30)),"")</f>
        <v>64.798569844549263</v>
      </c>
    </row>
    <row r="2356" spans="1:12" x14ac:dyDescent="0.3">
      <c r="A2356" s="1">
        <v>45828</v>
      </c>
      <c r="B2356" s="3">
        <f>YEAR(Tabla3[[#This Row],[Date]])</f>
        <v>2025</v>
      </c>
      <c r="C2356" s="1" t="str">
        <f>+TEXT(Tabla3[[#This Row],[Date]],"mmm")</f>
        <v>jun</v>
      </c>
      <c r="D2356" s="2">
        <v>3368.10009765625</v>
      </c>
      <c r="E2356" s="2">
        <v>3368.10009765625</v>
      </c>
      <c r="F2356" s="2">
        <v>3372.89990234375</v>
      </c>
      <c r="G2356" s="2">
        <v>3341</v>
      </c>
      <c r="H2356" s="2">
        <v>3350</v>
      </c>
      <c r="I2356">
        <v>709</v>
      </c>
      <c r="J2356" s="2">
        <f ca="1">IFERROR((Tabla3[[#This Row],[Close]]-OFFSET(Tabla3[[#This Row],[Close]],-1,0))/OFFSET(Tabla3[[#This Row],[Close]],-1,0),"")</f>
        <v>-6.4015431173799877E-3</v>
      </c>
      <c r="K2356" s="2">
        <f ca="1">IFERROR(AVERAGE(OFFSET(Tabla3[[#This Row],[Close]],-6,0,7)),"")</f>
        <v>3382.0428641183016</v>
      </c>
      <c r="L2356" s="2">
        <f ca="1">IFERROR(_xlfn.STDEV.S(OFFSET(Tabla3[[#This Row],[Close]],-29,0,30)),"")</f>
        <v>64.374571464120692</v>
      </c>
    </row>
    <row r="2357" spans="1:12" x14ac:dyDescent="0.3">
      <c r="A2357" s="1">
        <v>45831</v>
      </c>
      <c r="B2357" s="3">
        <f>YEAR(Tabla3[[#This Row],[Date]])</f>
        <v>2025</v>
      </c>
      <c r="C2357" s="1" t="str">
        <f>+TEXT(Tabla3[[#This Row],[Date]],"mmm")</f>
        <v>jun</v>
      </c>
      <c r="D2357" s="2">
        <v>3377.69995117187</v>
      </c>
      <c r="E2357" s="2">
        <v>3377.69995117187</v>
      </c>
      <c r="F2357" s="2">
        <v>3387.89990234375</v>
      </c>
      <c r="G2357" s="2">
        <v>3350</v>
      </c>
      <c r="H2357" s="2">
        <v>3365.89990234375</v>
      </c>
      <c r="I2357">
        <v>30</v>
      </c>
      <c r="J2357" s="2">
        <f ca="1">IFERROR((Tabla3[[#This Row],[Close]]-OFFSET(Tabla3[[#This Row],[Close]],-1,0))/OFFSET(Tabla3[[#This Row],[Close]],-1,0),"")</f>
        <v>2.8502280921817672E-3</v>
      </c>
      <c r="K2357" s="2">
        <f ca="1">IFERROR(AVERAGE(OFFSET(Tabla3[[#This Row],[Close]],-6,0,7)),"")</f>
        <v>3390.0999930245516</v>
      </c>
      <c r="L2357" s="2">
        <f ca="1">IFERROR(_xlfn.STDEV.S(OFFSET(Tabla3[[#This Row],[Close]],-29,0,30)),"")</f>
        <v>65.279690379910178</v>
      </c>
    </row>
    <row r="2358" spans="1:12" x14ac:dyDescent="0.3">
      <c r="A2358" s="1">
        <v>45832</v>
      </c>
      <c r="B2358" s="3">
        <f>YEAR(Tabla3[[#This Row],[Date]])</f>
        <v>2025</v>
      </c>
      <c r="C2358" s="1" t="str">
        <f>+TEXT(Tabla3[[#This Row],[Date]],"mmm")</f>
        <v>jun</v>
      </c>
      <c r="D2358" s="2">
        <v>3317.39990234375</v>
      </c>
      <c r="E2358" s="2">
        <v>3317.39990234375</v>
      </c>
      <c r="F2358" s="2">
        <v>3358</v>
      </c>
      <c r="G2358" s="2">
        <v>3301</v>
      </c>
      <c r="H2358" s="2">
        <v>3358</v>
      </c>
      <c r="I2358">
        <v>538</v>
      </c>
      <c r="J2358" s="2">
        <f ca="1">IFERROR((Tabla3[[#This Row],[Close]]-OFFSET(Tabla3[[#This Row],[Close]],-1,0))/OFFSET(Tabla3[[#This Row],[Close]],-1,0),"")</f>
        <v>-1.7852399472960679E-2</v>
      </c>
      <c r="K2358" s="2">
        <f ca="1">IFERROR(AVERAGE(OFFSET(Tabla3[[#This Row],[Close]],-6,0,7)),"")</f>
        <v>3381.0285644531227</v>
      </c>
      <c r="L2358" s="2">
        <f ca="1">IFERROR(_xlfn.STDEV.S(OFFSET(Tabla3[[#This Row],[Close]],-29,0,30)),"")</f>
        <v>65.19234801184389</v>
      </c>
    </row>
    <row r="2359" spans="1:12" x14ac:dyDescent="0.3">
      <c r="A2359" s="1">
        <v>45833</v>
      </c>
      <c r="B2359" s="3">
        <f>YEAR(Tabla3[[#This Row],[Date]])</f>
        <v>2025</v>
      </c>
      <c r="C2359" s="1" t="str">
        <f>+TEXT(Tabla3[[#This Row],[Date]],"mmm")</f>
        <v>jun</v>
      </c>
      <c r="D2359" s="2">
        <v>3327.10009765625</v>
      </c>
      <c r="E2359" s="2">
        <v>3327.10009765625</v>
      </c>
      <c r="F2359" s="2">
        <v>3331.19995117187</v>
      </c>
      <c r="G2359" s="2">
        <v>3310.60009765625</v>
      </c>
      <c r="H2359" s="2">
        <v>3321.60009765625</v>
      </c>
      <c r="I2359">
        <v>373</v>
      </c>
      <c r="J2359" s="2">
        <f ca="1">IFERROR((Tabla3[[#This Row],[Close]]-OFFSET(Tabla3[[#This Row],[Close]],-1,0))/OFFSET(Tabla3[[#This Row],[Close]],-1,0),"")</f>
        <v>2.9240355694370133E-3</v>
      </c>
      <c r="K2359" s="2">
        <f ca="1">IFERROR(AVERAGE(OFFSET(Tabla3[[#This Row],[Close]],-6,0,7)),"")</f>
        <v>3366.157156808034</v>
      </c>
      <c r="L2359" s="2">
        <f ca="1">IFERROR(_xlfn.STDEV.S(OFFSET(Tabla3[[#This Row],[Close]],-29,0,30)),"")</f>
        <v>62.582090787684784</v>
      </c>
    </row>
    <row r="2360" spans="1:12" x14ac:dyDescent="0.3">
      <c r="A2360" s="1">
        <v>45834</v>
      </c>
      <c r="B2360" s="3">
        <f>YEAR(Tabla3[[#This Row],[Date]])</f>
        <v>2025</v>
      </c>
      <c r="C2360" s="1" t="str">
        <f>+TEXT(Tabla3[[#This Row],[Date]],"mmm")</f>
        <v>jun</v>
      </c>
      <c r="D2360" s="2">
        <v>3333.5</v>
      </c>
      <c r="E2360" s="2">
        <v>3333.5</v>
      </c>
      <c r="F2360" s="2">
        <v>3333.5</v>
      </c>
      <c r="G2360" s="2">
        <v>3332.39990234375</v>
      </c>
      <c r="H2360" s="2">
        <v>3332.39990234375</v>
      </c>
      <c r="I2360">
        <v>2058</v>
      </c>
      <c r="J2360" s="2">
        <f ca="1">IFERROR((Tabla3[[#This Row],[Close]]-OFFSET(Tabla3[[#This Row],[Close]],-1,0))/OFFSET(Tabla3[[#This Row],[Close]],-1,0),"")</f>
        <v>1.9235677184038923E-3</v>
      </c>
      <c r="K2360" s="2">
        <f ca="1">IFERROR(AVERAGE(OFFSET(Tabla3[[#This Row],[Close]],-6,0,7)),"")</f>
        <v>3357.1714564732129</v>
      </c>
      <c r="L2360" s="2">
        <f ca="1">IFERROR(_xlfn.STDEV.S(OFFSET(Tabla3[[#This Row],[Close]],-29,0,30)),"")</f>
        <v>60.750568074808264</v>
      </c>
    </row>
    <row r="2361" spans="1:12" x14ac:dyDescent="0.3">
      <c r="A2361" s="1">
        <v>45835</v>
      </c>
      <c r="B2361" s="3">
        <f>YEAR(Tabla3[[#This Row],[Date]])</f>
        <v>2025</v>
      </c>
      <c r="C2361" s="1" t="str">
        <f>+TEXT(Tabla3[[#This Row],[Date]],"mmm")</f>
        <v>jun</v>
      </c>
      <c r="D2361" s="2">
        <v>3273.69995117187</v>
      </c>
      <c r="E2361" s="2">
        <v>3273.69995117187</v>
      </c>
      <c r="F2361" s="2">
        <v>3318.69995117187</v>
      </c>
      <c r="G2361" s="2">
        <v>3253.80004882812</v>
      </c>
      <c r="H2361" s="2">
        <v>3318.69995117187</v>
      </c>
      <c r="I2361">
        <v>284</v>
      </c>
      <c r="J2361" s="2">
        <f ca="1">IFERROR((Tabla3[[#This Row],[Close]]-OFFSET(Tabla3[[#This Row],[Close]],-1,0))/OFFSET(Tabla3[[#This Row],[Close]],-1,0),"")</f>
        <v>-1.7939117692554372E-2</v>
      </c>
      <c r="K2361" s="2">
        <f ca="1">IFERROR(AVERAGE(OFFSET(Tabla3[[#This Row],[Close]],-6,0,7)),"")</f>
        <v>3341.0428641183016</v>
      </c>
      <c r="L2361" s="2">
        <f ca="1">IFERROR(_xlfn.STDEV.S(OFFSET(Tabla3[[#This Row],[Close]],-29,0,30)),"")</f>
        <v>55.402632521497466</v>
      </c>
    </row>
    <row r="2362" spans="1:12" x14ac:dyDescent="0.3">
      <c r="A2362" s="1">
        <v>45838</v>
      </c>
      <c r="B2362" s="3">
        <f>YEAR(Tabla3[[#This Row],[Date]])</f>
        <v>2025</v>
      </c>
      <c r="C2362" s="1" t="str">
        <f>+TEXT(Tabla3[[#This Row],[Date]],"mmm")</f>
        <v>jun</v>
      </c>
      <c r="D2362" s="2">
        <v>3294.39990234375</v>
      </c>
      <c r="E2362" s="2">
        <v>3294.39990234375</v>
      </c>
      <c r="F2362" s="2">
        <v>3306.89990234375</v>
      </c>
      <c r="G2362" s="2">
        <v>3262</v>
      </c>
      <c r="H2362" s="2">
        <v>3265.89990234375</v>
      </c>
      <c r="I2362">
        <v>1242</v>
      </c>
      <c r="J2362" s="2">
        <f ca="1">IFERROR((Tabla3[[#This Row],[Close]]-OFFSET(Tabla3[[#This Row],[Close]],-1,0))/OFFSET(Tabla3[[#This Row],[Close]],-1,0),"")</f>
        <v>6.3231058070762243E-3</v>
      </c>
      <c r="K2362" s="2">
        <f ca="1">IFERROR(AVERAGE(OFFSET(Tabla3[[#This Row],[Close]],-6,0,7)),"")</f>
        <v>3327.4142717633913</v>
      </c>
      <c r="L2362" s="2">
        <f ca="1">IFERROR(_xlfn.STDEV.S(OFFSET(Tabla3[[#This Row],[Close]],-29,0,30)),"")</f>
        <v>52.075627559941822</v>
      </c>
    </row>
    <row r="2363" spans="1:12" x14ac:dyDescent="0.3">
      <c r="A2363" s="1">
        <v>45839</v>
      </c>
      <c r="B2363" s="3">
        <f>YEAR(Tabla3[[#This Row],[Date]])</f>
        <v>2025</v>
      </c>
      <c r="C2363" s="1" t="str">
        <f>+TEXT(Tabla3[[#This Row],[Date]],"mmm")</f>
        <v>jul</v>
      </c>
      <c r="D2363" s="2">
        <v>3336.69995117187</v>
      </c>
      <c r="E2363" s="2">
        <v>3336.69995117187</v>
      </c>
      <c r="F2363" s="2">
        <v>3354.10009765625</v>
      </c>
      <c r="G2363" s="2">
        <v>3310.10009765625</v>
      </c>
      <c r="H2363" s="2">
        <v>3310.10009765625</v>
      </c>
      <c r="I2363">
        <v>371</v>
      </c>
      <c r="J2363" s="2">
        <f ca="1">IFERROR((Tabla3[[#This Row],[Close]]-OFFSET(Tabla3[[#This Row],[Close]],-1,0))/OFFSET(Tabla3[[#This Row],[Close]],-1,0),"")</f>
        <v>1.2839986061809399E-2</v>
      </c>
      <c r="K2363" s="2">
        <f ca="1">IFERROR(AVERAGE(OFFSET(Tabla3[[#This Row],[Close]],-6,0,7)),"")</f>
        <v>3322.9285365513374</v>
      </c>
      <c r="L2363" s="2">
        <f ca="1">IFERROR(_xlfn.STDEV.S(OFFSET(Tabla3[[#This Row],[Close]],-29,0,30)),"")</f>
        <v>44.044095657898822</v>
      </c>
    </row>
    <row r="2364" spans="1:12" x14ac:dyDescent="0.3">
      <c r="A2364" s="1">
        <v>45840</v>
      </c>
      <c r="B2364" s="3">
        <f>YEAR(Tabla3[[#This Row],[Date]])</f>
        <v>2025</v>
      </c>
      <c r="C2364" s="1" t="str">
        <f>+TEXT(Tabla3[[#This Row],[Date]],"mmm")</f>
        <v>jul</v>
      </c>
      <c r="D2364" s="2">
        <v>3348</v>
      </c>
      <c r="E2364" s="2">
        <v>3348</v>
      </c>
      <c r="F2364" s="2">
        <v>3357.5</v>
      </c>
      <c r="G2364" s="2">
        <v>3329</v>
      </c>
      <c r="H2364" s="2">
        <v>3329</v>
      </c>
      <c r="I2364">
        <v>39</v>
      </c>
      <c r="J2364" s="2">
        <f ca="1">IFERROR((Tabla3[[#This Row],[Close]]-OFFSET(Tabla3[[#This Row],[Close]],-1,0))/OFFSET(Tabla3[[#This Row],[Close]],-1,0),"")</f>
        <v>3.3865942378670738E-3</v>
      </c>
      <c r="K2364" s="2">
        <f ca="1">IFERROR(AVERAGE(OFFSET(Tabla3[[#This Row],[Close]],-6,0,7)),"")</f>
        <v>3318.6856863839271</v>
      </c>
      <c r="L2364" s="2">
        <f ca="1">IFERROR(_xlfn.STDEV.S(OFFSET(Tabla3[[#This Row],[Close]],-29,0,30)),"")</f>
        <v>39.332992807748518</v>
      </c>
    </row>
    <row r="2365" spans="1:12" x14ac:dyDescent="0.3">
      <c r="A2365" s="1">
        <v>45841</v>
      </c>
      <c r="B2365" s="3">
        <f>YEAR(Tabla3[[#This Row],[Date]])</f>
        <v>2025</v>
      </c>
      <c r="C2365" s="1" t="str">
        <f>+TEXT(Tabla3[[#This Row],[Date]],"mmm")</f>
        <v>jul</v>
      </c>
      <c r="D2365" s="2">
        <v>3331.60009765625</v>
      </c>
      <c r="E2365" s="2">
        <v>3331.60009765625</v>
      </c>
      <c r="F2365" s="2">
        <v>3362</v>
      </c>
      <c r="G2365" s="2">
        <v>3322.30004882812</v>
      </c>
      <c r="H2365" s="2">
        <v>3362</v>
      </c>
      <c r="I2365">
        <v>0</v>
      </c>
      <c r="J2365" s="2">
        <f ca="1">IFERROR((Tabla3[[#This Row],[Close]]-OFFSET(Tabla3[[#This Row],[Close]],-1,0))/OFFSET(Tabla3[[#This Row],[Close]],-1,0),"")</f>
        <v>-4.8984176653972525E-3</v>
      </c>
      <c r="K2365" s="2">
        <f ca="1">IFERROR(AVERAGE(OFFSET(Tabla3[[#This Row],[Close]],-6,0,7)),"")</f>
        <v>3320.714285714284</v>
      </c>
      <c r="L2365" s="2">
        <f ca="1">IFERROR(_xlfn.STDEV.S(OFFSET(Tabla3[[#This Row],[Close]],-29,0,30)),"")</f>
        <v>37.812177338817406</v>
      </c>
    </row>
    <row r="2366" spans="1:12" x14ac:dyDescent="0.3">
      <c r="A2366" s="1">
        <v>45842</v>
      </c>
      <c r="B2366" s="3">
        <f>YEAR(Tabla3[[#This Row],[Date]])</f>
        <v>2025</v>
      </c>
      <c r="C2366" s="1" t="str">
        <f>+TEXT(Tabla3[[#This Row],[Date]],"mmm")</f>
        <v>jul</v>
      </c>
      <c r="D2366" s="2">
        <v>3332.5</v>
      </c>
      <c r="E2366" s="2">
        <v>3332.5</v>
      </c>
      <c r="F2366" s="2">
        <v>3342</v>
      </c>
      <c r="G2366" s="2">
        <v>3332.5</v>
      </c>
      <c r="H2366" s="2">
        <v>3342</v>
      </c>
      <c r="I2366">
        <v>0</v>
      </c>
      <c r="J2366" s="2">
        <f ca="1">IFERROR((Tabla3[[#This Row],[Close]]-OFFSET(Tabla3[[#This Row],[Close]],-1,0))/OFFSET(Tabla3[[#This Row],[Close]],-1,0),"")</f>
        <v>2.7011115301115313E-4</v>
      </c>
      <c r="K2366" s="2">
        <f ca="1">IFERROR(AVERAGE(OFFSET(Tabla3[[#This Row],[Close]],-6,0,7)),"")</f>
        <v>3321.4857003348197</v>
      </c>
      <c r="L2366" s="2">
        <f ca="1">IFERROR(_xlfn.STDEV.S(OFFSET(Tabla3[[#This Row],[Close]],-29,0,30)),"")</f>
        <v>37.398335719932639</v>
      </c>
    </row>
    <row r="2367" spans="1:12" x14ac:dyDescent="0.3">
      <c r="A2367" s="1">
        <v>45845</v>
      </c>
      <c r="B2367" s="3">
        <f>YEAR(Tabla3[[#This Row],[Date]])</f>
        <v>2025</v>
      </c>
      <c r="C2367" s="1" t="str">
        <f>+TEXT(Tabla3[[#This Row],[Date]],"mmm")</f>
        <v>jul</v>
      </c>
      <c r="D2367" s="2">
        <v>3332.19995117187</v>
      </c>
      <c r="E2367" s="2">
        <v>3332.19995117187</v>
      </c>
      <c r="F2367" s="2">
        <v>3333.30004882812</v>
      </c>
      <c r="G2367" s="2">
        <v>3299.19995117187</v>
      </c>
      <c r="H2367" s="2">
        <v>3305.5</v>
      </c>
      <c r="I2367">
        <v>254</v>
      </c>
      <c r="J2367" s="2">
        <f ca="1">IFERROR((Tabla3[[#This Row],[Close]]-OFFSET(Tabla3[[#This Row],[Close]],-1,0))/OFFSET(Tabla3[[#This Row],[Close]],-1,0),"")</f>
        <v>-9.0037157728432778E-5</v>
      </c>
      <c r="K2367" s="2">
        <f ca="1">IFERROR(AVERAGE(OFFSET(Tabla3[[#This Row],[Close]],-6,0,7)),"")</f>
        <v>3321.2999790736585</v>
      </c>
      <c r="L2367" s="2">
        <f ca="1">IFERROR(_xlfn.STDEV.S(OFFSET(Tabla3[[#This Row],[Close]],-29,0,30)),"")</f>
        <v>36.309904713448262</v>
      </c>
    </row>
    <row r="2368" spans="1:12" x14ac:dyDescent="0.3">
      <c r="A2368" s="1">
        <v>45846</v>
      </c>
      <c r="B2368" s="3">
        <f>YEAR(Tabla3[[#This Row],[Date]])</f>
        <v>2025</v>
      </c>
      <c r="C2368" s="1" t="str">
        <f>+TEXT(Tabla3[[#This Row],[Date]],"mmm")</f>
        <v>jul</v>
      </c>
      <c r="D2368" s="2">
        <v>3307</v>
      </c>
      <c r="E2368" s="2">
        <v>3307</v>
      </c>
      <c r="F2368" s="2">
        <v>3334.5</v>
      </c>
      <c r="G2368" s="2">
        <v>3287.60009765625</v>
      </c>
      <c r="H2368" s="2">
        <v>3330.39990234375</v>
      </c>
      <c r="I2368">
        <v>909</v>
      </c>
      <c r="J2368" s="2">
        <f ca="1">IFERROR((Tabla3[[#This Row],[Close]]-OFFSET(Tabla3[[#This Row],[Close]],-1,0))/OFFSET(Tabla3[[#This Row],[Close]],-1,0),"")</f>
        <v>-7.5625567316294044E-3</v>
      </c>
      <c r="K2368" s="2">
        <f ca="1">IFERROR(AVERAGE(OFFSET(Tabla3[[#This Row],[Close]],-6,0,7)),"")</f>
        <v>3326.0571289062486</v>
      </c>
      <c r="L2368" s="2">
        <f ca="1">IFERROR(_xlfn.STDEV.S(OFFSET(Tabla3[[#This Row],[Close]],-29,0,30)),"")</f>
        <v>36.621757566379806</v>
      </c>
    </row>
    <row r="2369" spans="1:12" x14ac:dyDescent="0.3">
      <c r="A2369" s="1">
        <v>45847</v>
      </c>
      <c r="B2369" s="3">
        <f>YEAR(Tabla3[[#This Row],[Date]])</f>
        <v>2025</v>
      </c>
      <c r="C2369" s="1" t="str">
        <f>+TEXT(Tabla3[[#This Row],[Date]],"mmm")</f>
        <v>jul</v>
      </c>
      <c r="D2369" s="2">
        <v>3311.60009765625</v>
      </c>
      <c r="E2369" s="2">
        <v>3311.60009765625</v>
      </c>
      <c r="F2369" s="2">
        <v>3314</v>
      </c>
      <c r="G2369" s="2">
        <v>3282</v>
      </c>
      <c r="H2369" s="2">
        <v>3289.39990234375</v>
      </c>
      <c r="I2369">
        <v>114</v>
      </c>
      <c r="J2369" s="2">
        <f ca="1">IFERROR((Tabla3[[#This Row],[Close]]-OFFSET(Tabla3[[#This Row],[Close]],-1,0))/OFFSET(Tabla3[[#This Row],[Close]],-1,0),"")</f>
        <v>1.3910183417750227E-3</v>
      </c>
      <c r="K2369" s="2">
        <f ca="1">IFERROR(AVERAGE(OFFSET(Tabla3[[#This Row],[Close]],-6,0,7)),"")</f>
        <v>3328.5142996651771</v>
      </c>
      <c r="L2369" s="2">
        <f ca="1">IFERROR(_xlfn.STDEV.S(OFFSET(Tabla3[[#This Row],[Close]],-29,0,30)),"")</f>
        <v>36.20697278292937</v>
      </c>
    </row>
    <row r="2370" spans="1:12" x14ac:dyDescent="0.3">
      <c r="A2370" s="1">
        <v>45848</v>
      </c>
      <c r="B2370" s="3">
        <f>YEAR(Tabla3[[#This Row],[Date]])</f>
        <v>2025</v>
      </c>
      <c r="C2370" s="1" t="str">
        <f>+TEXT(Tabla3[[#This Row],[Date]],"mmm")</f>
        <v>jul</v>
      </c>
      <c r="D2370" s="2">
        <v>3317.39990234375</v>
      </c>
      <c r="E2370" s="2">
        <v>3317.39990234375</v>
      </c>
      <c r="F2370" s="2">
        <v>3330.5</v>
      </c>
      <c r="G2370" s="2">
        <v>3311.60009765625</v>
      </c>
      <c r="H2370" s="2">
        <v>3323.60009765625</v>
      </c>
      <c r="I2370">
        <v>209</v>
      </c>
      <c r="J2370" s="2">
        <f ca="1">IFERROR((Tabla3[[#This Row],[Close]]-OFFSET(Tabla3[[#This Row],[Close]],-1,0))/OFFSET(Tabla3[[#This Row],[Close]],-1,0),"")</f>
        <v>1.7513602235984806E-3</v>
      </c>
      <c r="K2370" s="2">
        <f ca="1">IFERROR(AVERAGE(OFFSET(Tabla3[[#This Row],[Close]],-6,0,7)),"")</f>
        <v>3325.7571498325883</v>
      </c>
      <c r="L2370" s="2">
        <f ca="1">IFERROR(_xlfn.STDEV.S(OFFSET(Tabla3[[#This Row],[Close]],-29,0,30)),"")</f>
        <v>35.393246069382847</v>
      </c>
    </row>
    <row r="2371" spans="1:12" x14ac:dyDescent="0.3">
      <c r="A2371" s="1">
        <v>45849</v>
      </c>
      <c r="B2371" s="3">
        <f>YEAR(Tabla3[[#This Row],[Date]])</f>
        <v>2025</v>
      </c>
      <c r="C2371" s="1" t="str">
        <f>+TEXT(Tabla3[[#This Row],[Date]],"mmm")</f>
        <v>jul</v>
      </c>
      <c r="D2371" s="2">
        <v>3356</v>
      </c>
      <c r="E2371" s="2">
        <v>3356</v>
      </c>
      <c r="F2371" s="2">
        <v>3370</v>
      </c>
      <c r="G2371" s="2">
        <v>3330.5</v>
      </c>
      <c r="H2371" s="2">
        <v>3330.5</v>
      </c>
      <c r="I2371">
        <v>776</v>
      </c>
      <c r="J2371" s="2">
        <f ca="1">IFERROR((Tabla3[[#This Row],[Close]]-OFFSET(Tabla3[[#This Row],[Close]],-1,0))/OFFSET(Tabla3[[#This Row],[Close]],-1,0),"")</f>
        <v>1.1635648035372205E-2</v>
      </c>
      <c r="K2371" s="2">
        <f ca="1">IFERROR(AVERAGE(OFFSET(Tabla3[[#This Row],[Close]],-6,0,7)),"")</f>
        <v>3326.9000069754452</v>
      </c>
      <c r="L2371" s="2">
        <f ca="1">IFERROR(_xlfn.STDEV.S(OFFSET(Tabla3[[#This Row],[Close]],-29,0,30)),"")</f>
        <v>35.184502853498891</v>
      </c>
    </row>
    <row r="2372" spans="1:12" x14ac:dyDescent="0.3">
      <c r="A2372" s="1">
        <v>45852</v>
      </c>
      <c r="B2372" s="3">
        <f>YEAR(Tabla3[[#This Row],[Date]])</f>
        <v>2025</v>
      </c>
      <c r="C2372" s="1" t="str">
        <f>+TEXT(Tabla3[[#This Row],[Date]],"mmm")</f>
        <v>jul</v>
      </c>
      <c r="D2372" s="2">
        <v>3351.5</v>
      </c>
      <c r="E2372" s="2">
        <v>3351.5</v>
      </c>
      <c r="F2372" s="2">
        <v>3375.5</v>
      </c>
      <c r="G2372" s="2">
        <v>3350</v>
      </c>
      <c r="H2372" s="2">
        <v>3367</v>
      </c>
      <c r="I2372">
        <v>583</v>
      </c>
      <c r="J2372" s="2">
        <f ca="1">IFERROR((Tabla3[[#This Row],[Close]]-OFFSET(Tabla3[[#This Row],[Close]],-1,0))/OFFSET(Tabla3[[#This Row],[Close]],-1,0),"")</f>
        <v>-1.3408820023837903E-3</v>
      </c>
      <c r="K2372" s="2">
        <f ca="1">IFERROR(AVERAGE(OFFSET(Tabla3[[#This Row],[Close]],-6,0,7)),"")</f>
        <v>3329.7428501674099</v>
      </c>
      <c r="L2372" s="2">
        <f ca="1">IFERROR(_xlfn.STDEV.S(OFFSET(Tabla3[[#This Row],[Close]],-29,0,30)),"")</f>
        <v>33.70978828803085</v>
      </c>
    </row>
    <row r="2373" spans="1:12" x14ac:dyDescent="0.3">
      <c r="A2373" s="1">
        <v>45853</v>
      </c>
      <c r="B2373" s="3">
        <f>YEAR(Tabla3[[#This Row],[Date]])</f>
        <v>2025</v>
      </c>
      <c r="C2373" s="1" t="str">
        <f>+TEXT(Tabla3[[#This Row],[Date]],"mmm")</f>
        <v>jul</v>
      </c>
      <c r="D2373" s="2">
        <v>3329.80004882812</v>
      </c>
      <c r="E2373" s="2">
        <v>3329.80004882812</v>
      </c>
      <c r="F2373" s="2">
        <v>3341</v>
      </c>
      <c r="G2373" s="2">
        <v>3329.80004882812</v>
      </c>
      <c r="H2373" s="2">
        <v>3341</v>
      </c>
      <c r="I2373">
        <v>210</v>
      </c>
      <c r="J2373" s="2">
        <f ca="1">IFERROR((Tabla3[[#This Row],[Close]]-OFFSET(Tabla3[[#This Row],[Close]],-1,0))/OFFSET(Tabla3[[#This Row],[Close]],-1,0),"")</f>
        <v>-6.4746982461226319E-3</v>
      </c>
      <c r="K2373" s="2">
        <f ca="1">IFERROR(AVERAGE(OFFSET(Tabla3[[#This Row],[Close]],-6,0,7)),"")</f>
        <v>3329.3571428571413</v>
      </c>
      <c r="L2373" s="2">
        <f ca="1">IFERROR(_xlfn.STDEV.S(OFFSET(Tabla3[[#This Row],[Close]],-29,0,30)),"")</f>
        <v>33.454088867166917</v>
      </c>
    </row>
    <row r="2374" spans="1:12" x14ac:dyDescent="0.3">
      <c r="A2374" s="1">
        <v>45854</v>
      </c>
      <c r="B2374" s="3">
        <f>YEAR(Tabla3[[#This Row],[Date]])</f>
        <v>2025</v>
      </c>
      <c r="C2374" s="1" t="str">
        <f>+TEXT(Tabla3[[#This Row],[Date]],"mmm")</f>
        <v>jul</v>
      </c>
      <c r="D2374" s="2">
        <v>3352.5</v>
      </c>
      <c r="E2374" s="2">
        <v>3352.5</v>
      </c>
      <c r="F2374" s="2">
        <v>3352.89990234375</v>
      </c>
      <c r="G2374" s="2">
        <v>3329.5</v>
      </c>
      <c r="H2374" s="2">
        <v>3341.19995117187</v>
      </c>
      <c r="I2374">
        <v>10</v>
      </c>
      <c r="J2374" s="2">
        <f ca="1">IFERROR((Tabla3[[#This Row],[Close]]-OFFSET(Tabla3[[#This Row],[Close]],-1,0))/OFFSET(Tabla3[[#This Row],[Close]],-1,0),"")</f>
        <v>6.8172114958881562E-3</v>
      </c>
      <c r="K2374" s="2">
        <f ca="1">IFERROR(AVERAGE(OFFSET(Tabla3[[#This Row],[Close]],-6,0,7)),"")</f>
        <v>3332.2571498325888</v>
      </c>
      <c r="L2374" s="2">
        <f ca="1">IFERROR(_xlfn.STDEV.S(OFFSET(Tabla3[[#This Row],[Close]],-29,0,30)),"")</f>
        <v>33.4728008411657</v>
      </c>
    </row>
    <row r="2375" spans="1:12" x14ac:dyDescent="0.3">
      <c r="A2375" s="1">
        <v>45855</v>
      </c>
      <c r="B2375" s="3">
        <f>YEAR(Tabla3[[#This Row],[Date]])</f>
        <v>2025</v>
      </c>
      <c r="C2375" s="1" t="str">
        <f>+TEXT(Tabla3[[#This Row],[Date]],"mmm")</f>
        <v>jul</v>
      </c>
      <c r="D2375" s="2">
        <v>3340.10009765625</v>
      </c>
      <c r="E2375" s="2">
        <v>3340.10009765625</v>
      </c>
      <c r="F2375" s="2">
        <v>3340.80004882812</v>
      </c>
      <c r="G2375" s="2">
        <v>3313.80004882812</v>
      </c>
      <c r="H2375" s="2">
        <v>3313.80004882812</v>
      </c>
      <c r="I2375">
        <v>667</v>
      </c>
      <c r="J2375" s="2">
        <f ca="1">IFERROR((Tabla3[[#This Row],[Close]]-OFFSET(Tabla3[[#This Row],[Close]],-1,0))/OFFSET(Tabla3[[#This Row],[Close]],-1,0),"")</f>
        <v>-3.6987031599552572E-3</v>
      </c>
      <c r="K2375" s="2">
        <f ca="1">IFERROR(AVERAGE(OFFSET(Tabla3[[#This Row],[Close]],-6,0,7)),"")</f>
        <v>3336.985735212053</v>
      </c>
      <c r="L2375" s="2">
        <f ca="1">IFERROR(_xlfn.STDEV.S(OFFSET(Tabla3[[#This Row],[Close]],-29,0,30)),"")</f>
        <v>32.992345999281739</v>
      </c>
    </row>
    <row r="2376" spans="1:12" x14ac:dyDescent="0.3">
      <c r="A2376" s="1">
        <v>45856</v>
      </c>
      <c r="B2376" s="3">
        <f>YEAR(Tabla3[[#This Row],[Date]])</f>
        <v>2025</v>
      </c>
      <c r="C2376" s="1" t="str">
        <f>+TEXT(Tabla3[[#This Row],[Date]],"mmm")</f>
        <v>jul</v>
      </c>
      <c r="D2376" s="2">
        <v>3353</v>
      </c>
      <c r="E2376" s="2">
        <v>3353</v>
      </c>
      <c r="F2376" s="2">
        <v>3353</v>
      </c>
      <c r="G2376" s="2">
        <v>3338.19995117187</v>
      </c>
      <c r="H2376" s="2">
        <v>3338.19995117187</v>
      </c>
      <c r="I2376">
        <v>602</v>
      </c>
      <c r="J2376" s="2">
        <f ca="1">IFERROR((Tabla3[[#This Row],[Close]]-OFFSET(Tabla3[[#This Row],[Close]],-1,0))/OFFSET(Tabla3[[#This Row],[Close]],-1,0),"")</f>
        <v>3.8621304651324279E-3</v>
      </c>
      <c r="K2376" s="2">
        <f ca="1">IFERROR(AVERAGE(OFFSET(Tabla3[[#This Row],[Close]],-6,0,7)),"")</f>
        <v>3342.9000069754452</v>
      </c>
      <c r="L2376" s="2">
        <f ca="1">IFERROR(_xlfn.STDEV.S(OFFSET(Tabla3[[#This Row],[Close]],-29,0,30)),"")</f>
        <v>33.015011438479441</v>
      </c>
    </row>
    <row r="2377" spans="1:12" x14ac:dyDescent="0.3">
      <c r="A2377" s="1">
        <v>45859</v>
      </c>
      <c r="B2377" s="3">
        <f>YEAR(Tabla3[[#This Row],[Date]])</f>
        <v>2025</v>
      </c>
      <c r="C2377" s="1" t="str">
        <f>+TEXT(Tabla3[[#This Row],[Date]],"mmm")</f>
        <v>jul</v>
      </c>
      <c r="D2377" s="2">
        <v>3401.89990234375</v>
      </c>
      <c r="E2377" s="2">
        <v>3401.89990234375</v>
      </c>
      <c r="F2377" s="2">
        <v>3411.69995117187</v>
      </c>
      <c r="G2377" s="2">
        <v>3350.30004882812</v>
      </c>
      <c r="H2377" s="2">
        <v>3350.30004882812</v>
      </c>
      <c r="I2377">
        <v>53</v>
      </c>
      <c r="J2377" s="2">
        <f ca="1">IFERROR((Tabla3[[#This Row],[Close]]-OFFSET(Tabla3[[#This Row],[Close]],-1,0))/OFFSET(Tabla3[[#This Row],[Close]],-1,0),"")</f>
        <v>1.4583925542424695E-2</v>
      </c>
      <c r="K2377" s="2">
        <f ca="1">IFERROR(AVERAGE(OFFSET(Tabla3[[#This Row],[Close]],-6,0,7)),"")</f>
        <v>3354.9714355468741</v>
      </c>
      <c r="L2377" s="2">
        <f ca="1">IFERROR(_xlfn.STDEV.S(OFFSET(Tabla3[[#This Row],[Close]],-29,0,30)),"")</f>
        <v>34.513276508118167</v>
      </c>
    </row>
    <row r="2378" spans="1:12" x14ac:dyDescent="0.3">
      <c r="A2378" s="1">
        <v>45860</v>
      </c>
      <c r="B2378" s="3">
        <f>YEAR(Tabla3[[#This Row],[Date]])</f>
        <v>2025</v>
      </c>
      <c r="C2378" s="1" t="str">
        <f>+TEXT(Tabla3[[#This Row],[Date]],"mmm")</f>
        <v>jul</v>
      </c>
      <c r="D2378" s="2">
        <v>3439.19995117187</v>
      </c>
      <c r="E2378" s="2">
        <v>3439.19995117187</v>
      </c>
      <c r="F2378" s="2">
        <v>3441</v>
      </c>
      <c r="G2378" s="2">
        <v>3395.60009765625</v>
      </c>
      <c r="H2378" s="2">
        <v>3411</v>
      </c>
      <c r="I2378">
        <v>39</v>
      </c>
      <c r="J2378" s="2">
        <f ca="1">IFERROR((Tabla3[[#This Row],[Close]]-OFFSET(Tabla3[[#This Row],[Close]],-1,0))/OFFSET(Tabla3[[#This Row],[Close]],-1,0),"")</f>
        <v>1.0964475704420934E-2</v>
      </c>
      <c r="K2378" s="2">
        <f ca="1">IFERROR(AVERAGE(OFFSET(Tabla3[[#This Row],[Close]],-6,0,7)),"")</f>
        <v>3366.8571428571413</v>
      </c>
      <c r="L2378" s="2">
        <f ca="1">IFERROR(_xlfn.STDEV.S(OFFSET(Tabla3[[#This Row],[Close]],-29,0,30)),"")</f>
        <v>38.438483543339679</v>
      </c>
    </row>
    <row r="2379" spans="1:12" x14ac:dyDescent="0.3">
      <c r="A2379" s="1">
        <v>45861</v>
      </c>
      <c r="B2379" s="3">
        <f>YEAR(Tabla3[[#This Row],[Date]])</f>
        <v>2025</v>
      </c>
      <c r="C2379" s="1" t="str">
        <f>+TEXT(Tabla3[[#This Row],[Date]],"mmm")</f>
        <v>jul</v>
      </c>
      <c r="D2379" s="2">
        <v>3394.10009765625</v>
      </c>
      <c r="E2379" s="2">
        <v>3394.10009765625</v>
      </c>
      <c r="F2379" s="2">
        <v>3433.89990234375</v>
      </c>
      <c r="G2379" s="2">
        <v>3388.10009765625</v>
      </c>
      <c r="H2379" s="2">
        <v>3430.30004882812</v>
      </c>
      <c r="I2379">
        <v>63</v>
      </c>
      <c r="J2379" s="2">
        <f ca="1">IFERROR((Tabla3[[#This Row],[Close]]-OFFSET(Tabla3[[#This Row],[Close]],-1,0))/OFFSET(Tabla3[[#This Row],[Close]],-1,0),"")</f>
        <v>-1.3113472364481953E-2</v>
      </c>
      <c r="K2379" s="2">
        <f ca="1">IFERROR(AVERAGE(OFFSET(Tabla3[[#This Row],[Close]],-6,0,7)),"")</f>
        <v>3372.9428710937486</v>
      </c>
      <c r="L2379" s="2">
        <f ca="1">IFERROR(_xlfn.STDEV.S(OFFSET(Tabla3[[#This Row],[Close]],-29,0,30)),"")</f>
        <v>38.935219932707355</v>
      </c>
    </row>
    <row r="2380" spans="1:12" x14ac:dyDescent="0.3">
      <c r="A2380" s="1">
        <v>45862</v>
      </c>
      <c r="B2380" s="3">
        <f>YEAR(Tabla3[[#This Row],[Date]])</f>
        <v>2025</v>
      </c>
      <c r="C2380" s="1" t="str">
        <f>+TEXT(Tabla3[[#This Row],[Date]],"mmm")</f>
        <v>jul</v>
      </c>
      <c r="D2380" s="2">
        <v>3371</v>
      </c>
      <c r="E2380" s="2">
        <v>3371</v>
      </c>
      <c r="F2380" s="2">
        <v>3371</v>
      </c>
      <c r="G2380" s="2">
        <v>3367</v>
      </c>
      <c r="H2380" s="2">
        <v>3367</v>
      </c>
      <c r="I2380">
        <v>1175</v>
      </c>
      <c r="J2380" s="2">
        <f ca="1">IFERROR((Tabla3[[#This Row],[Close]]-OFFSET(Tabla3[[#This Row],[Close]],-1,0))/OFFSET(Tabla3[[#This Row],[Close]],-1,0),"")</f>
        <v>-6.8059565102989925E-3</v>
      </c>
      <c r="K2380" s="2">
        <f ca="1">IFERROR(AVERAGE(OFFSET(Tabla3[[#This Row],[Close]],-6,0,7)),"")</f>
        <v>3378.8285784040172</v>
      </c>
      <c r="L2380" s="2">
        <f ca="1">IFERROR(_xlfn.STDEV.S(OFFSET(Tabla3[[#This Row],[Close]],-29,0,30)),"")</f>
        <v>38.679747627556615</v>
      </c>
    </row>
    <row r="2381" spans="1:12" x14ac:dyDescent="0.3">
      <c r="A2381" s="1">
        <v>45863</v>
      </c>
      <c r="B2381" s="3">
        <f>YEAR(Tabla3[[#This Row],[Date]])</f>
        <v>2025</v>
      </c>
      <c r="C2381" s="1" t="str">
        <f>+TEXT(Tabla3[[#This Row],[Date]],"mmm")</f>
        <v>jul</v>
      </c>
      <c r="D2381" s="2">
        <v>3334</v>
      </c>
      <c r="E2381" s="2">
        <v>3334</v>
      </c>
      <c r="F2381" s="2">
        <v>3345</v>
      </c>
      <c r="G2381" s="2">
        <v>3326.5</v>
      </c>
      <c r="H2381" s="2">
        <v>3344</v>
      </c>
      <c r="I2381">
        <v>67</v>
      </c>
      <c r="J2381" s="2">
        <f ca="1">IFERROR((Tabla3[[#This Row],[Close]]-OFFSET(Tabla3[[#This Row],[Close]],-1,0))/OFFSET(Tabla3[[#This Row],[Close]],-1,0),"")</f>
        <v>-1.0975971521803619E-2</v>
      </c>
      <c r="K2381" s="2">
        <f ca="1">IFERROR(AVERAGE(OFFSET(Tabla3[[#This Row],[Close]],-6,0,7)),"")</f>
        <v>3376.1857212611599</v>
      </c>
      <c r="L2381" s="2">
        <f ca="1">IFERROR(_xlfn.STDEV.S(OFFSET(Tabla3[[#This Row],[Close]],-29,0,30)),"")</f>
        <v>38.4504334974798</v>
      </c>
    </row>
    <row r="2382" spans="1:12" x14ac:dyDescent="0.3">
      <c r="A2382" s="1">
        <v>45866</v>
      </c>
      <c r="B2382" s="3">
        <f>YEAR(Tabla3[[#This Row],[Date]])</f>
        <v>2025</v>
      </c>
      <c r="C2382" s="1" t="str">
        <f>+TEXT(Tabla3[[#This Row],[Date]],"mmm")</f>
        <v>jul</v>
      </c>
      <c r="D2382" s="2">
        <v>3309.10009765625</v>
      </c>
      <c r="E2382" s="2">
        <v>3309.10009765625</v>
      </c>
      <c r="F2382" s="2">
        <v>3326.80004882812</v>
      </c>
      <c r="G2382" s="2">
        <v>3309.10009765625</v>
      </c>
      <c r="H2382" s="2">
        <v>3326.60009765625</v>
      </c>
      <c r="I2382">
        <v>533</v>
      </c>
      <c r="J2382" s="2">
        <f ca="1">IFERROR((Tabla3[[#This Row],[Close]]-OFFSET(Tabla3[[#This Row],[Close]],-1,0))/OFFSET(Tabla3[[#This Row],[Close]],-1,0),"")</f>
        <v>-7.468477007723455E-3</v>
      </c>
      <c r="K2382" s="2">
        <f ca="1">IFERROR(AVERAGE(OFFSET(Tabla3[[#This Row],[Close]],-6,0,7)),"")</f>
        <v>3371.7571498325883</v>
      </c>
      <c r="L2382" s="2">
        <f ca="1">IFERROR(_xlfn.STDEV.S(OFFSET(Tabla3[[#This Row],[Close]],-29,0,30)),"")</f>
        <v>36.079463558981764</v>
      </c>
    </row>
    <row r="2383" spans="1:12" x14ac:dyDescent="0.3">
      <c r="A2383" s="1">
        <v>45867</v>
      </c>
      <c r="B2383" s="3">
        <f>YEAR(Tabla3[[#This Row],[Date]])</f>
        <v>2025</v>
      </c>
      <c r="C2383" s="1" t="str">
        <f>+TEXT(Tabla3[[#This Row],[Date]],"mmm")</f>
        <v>jul</v>
      </c>
      <c r="D2383" s="2">
        <v>3323.39990234375</v>
      </c>
      <c r="E2383" s="2">
        <v>3323.39990234375</v>
      </c>
      <c r="F2383" s="2">
        <v>3323.39990234375</v>
      </c>
      <c r="G2383" s="2">
        <v>3323.39990234375</v>
      </c>
      <c r="H2383" s="2">
        <v>3323.39990234375</v>
      </c>
      <c r="I2383">
        <v>113144</v>
      </c>
      <c r="J2383" s="2">
        <f ca="1">IFERROR((Tabla3[[#This Row],[Close]]-OFFSET(Tabla3[[#This Row],[Close]],-1,0))/OFFSET(Tabla3[[#This Row],[Close]],-1,0),"")</f>
        <v>4.3213575490291698E-3</v>
      </c>
      <c r="K2383" s="2">
        <f ca="1">IFERROR(AVERAGE(OFFSET(Tabla3[[#This Row],[Close]],-6,0,7)),"")</f>
        <v>3367.5285644531241</v>
      </c>
      <c r="L2383" s="2">
        <f ca="1">IFERROR(_xlfn.STDEV.S(OFFSET(Tabla3[[#This Row],[Close]],-29,0,30)),"")</f>
        <v>35.090063761001083</v>
      </c>
    </row>
    <row r="2384" spans="1:12" x14ac:dyDescent="0.3">
      <c r="A2384" s="1">
        <v>45868</v>
      </c>
      <c r="B2384" s="3">
        <f>YEAR(Tabla3[[#This Row],[Date]])</f>
        <v>2025</v>
      </c>
      <c r="C2384" s="1" t="str">
        <f>+TEXT(Tabla3[[#This Row],[Date]],"mmm")</f>
        <v>jul</v>
      </c>
      <c r="D2384" s="2">
        <v>3295.80004882812</v>
      </c>
      <c r="E2384" s="2">
        <v>3295.80004882812</v>
      </c>
      <c r="F2384" s="2">
        <v>3331.80004882812</v>
      </c>
      <c r="G2384" s="2">
        <v>3263.89990234375</v>
      </c>
      <c r="H2384" s="2">
        <v>3325.80004882812</v>
      </c>
      <c r="I2384">
        <v>19252</v>
      </c>
      <c r="J2384" s="2">
        <f ca="1">IFERROR((Tabla3[[#This Row],[Close]]-OFFSET(Tabla3[[#This Row],[Close]],-1,0))/OFFSET(Tabla3[[#This Row],[Close]],-1,0),"")</f>
        <v>-8.3047043168551129E-3</v>
      </c>
      <c r="K2384" s="2">
        <f ca="1">IFERROR(AVERAGE(OFFSET(Tabla3[[#This Row],[Close]],-6,0,7)),"")</f>
        <v>3352.3714425223197</v>
      </c>
      <c r="L2384" s="2">
        <f ca="1">IFERROR(_xlfn.STDEV.S(OFFSET(Tabla3[[#This Row],[Close]],-29,0,30)),"")</f>
        <v>35.266583593784972</v>
      </c>
    </row>
    <row r="2385" spans="1:12" x14ac:dyDescent="0.3">
      <c r="A2385" s="1">
        <v>45869</v>
      </c>
      <c r="B2385" s="3">
        <f>YEAR(Tabla3[[#This Row],[Date]])</f>
        <v>2025</v>
      </c>
      <c r="C2385" s="1" t="str">
        <f>+TEXT(Tabla3[[#This Row],[Date]],"mmm")</f>
        <v>jul</v>
      </c>
      <c r="D2385" s="2">
        <v>3293.19995117187</v>
      </c>
      <c r="E2385" s="2">
        <v>3293.19995117187</v>
      </c>
      <c r="F2385" s="2">
        <v>3312</v>
      </c>
      <c r="G2385" s="2">
        <v>3272.89990234375</v>
      </c>
      <c r="H2385" s="2">
        <v>3272.89990234375</v>
      </c>
      <c r="I2385">
        <v>3704</v>
      </c>
      <c r="J2385" s="2">
        <f ca="1">IFERROR((Tabla3[[#This Row],[Close]]-OFFSET(Tabla3[[#This Row],[Close]],-1,0))/OFFSET(Tabla3[[#This Row],[Close]],-1,0),"")</f>
        <v>-7.8891243938615475E-4</v>
      </c>
      <c r="K2385" s="2">
        <f ca="1">IFERROR(AVERAGE(OFFSET(Tabla3[[#This Row],[Close]],-6,0,7)),"")</f>
        <v>3331.5142996651775</v>
      </c>
      <c r="L2385" s="2">
        <f ca="1">IFERROR(_xlfn.STDEV.S(OFFSET(Tabla3[[#This Row],[Close]],-29,0,30)),"")</f>
        <v>35.130308000529254</v>
      </c>
    </row>
    <row r="2386" spans="1:12" x14ac:dyDescent="0.3">
      <c r="A2386" s="1">
        <v>45870</v>
      </c>
      <c r="B2386" s="3">
        <f>YEAR(Tabla3[[#This Row],[Date]])</f>
        <v>2025</v>
      </c>
      <c r="C2386" s="1" t="str">
        <f>+TEXT(Tabla3[[#This Row],[Date]],"mmm")</f>
        <v>ago</v>
      </c>
      <c r="D2386" s="2">
        <v>3347.69995117187</v>
      </c>
      <c r="E2386" s="2">
        <v>3347.69995117187</v>
      </c>
      <c r="F2386" s="2">
        <v>3360.60009765625</v>
      </c>
      <c r="G2386" s="2">
        <v>3281</v>
      </c>
      <c r="H2386" s="2">
        <v>3286.19995117187</v>
      </c>
      <c r="I2386">
        <v>3420</v>
      </c>
      <c r="J2386" s="2">
        <f ca="1">IFERROR((Tabla3[[#This Row],[Close]]-OFFSET(Tabla3[[#This Row],[Close]],-1,0))/OFFSET(Tabla3[[#This Row],[Close]],-1,0),"")</f>
        <v>1.6549253251569626E-2</v>
      </c>
      <c r="K2386" s="2">
        <f ca="1">IFERROR(AVERAGE(OFFSET(Tabla3[[#This Row],[Close]],-6,0,7)),"")</f>
        <v>3324.8857073102663</v>
      </c>
      <c r="L2386" s="2">
        <f ca="1">IFERROR(_xlfn.STDEV.S(OFFSET(Tabla3[[#This Row],[Close]],-29,0,30)),"")</f>
        <v>34.731769602834376</v>
      </c>
    </row>
    <row r="2387" spans="1:12" x14ac:dyDescent="0.3">
      <c r="A2387" s="1">
        <v>45873</v>
      </c>
      <c r="B2387" s="3">
        <f>YEAR(Tabla3[[#This Row],[Date]])</f>
        <v>2025</v>
      </c>
      <c r="C2387" s="1" t="str">
        <f>+TEXT(Tabla3[[#This Row],[Date]],"mmm")</f>
        <v>ago</v>
      </c>
      <c r="D2387" s="2">
        <v>3374.39990234375</v>
      </c>
      <c r="E2387" s="2">
        <v>3374.39990234375</v>
      </c>
      <c r="F2387" s="2">
        <v>3386.5</v>
      </c>
      <c r="G2387" s="2">
        <v>3347.39990234375</v>
      </c>
      <c r="H2387" s="2">
        <v>3367.60009765625</v>
      </c>
      <c r="I2387">
        <v>351</v>
      </c>
      <c r="J2387" s="2">
        <f ca="1">IFERROR((Tabla3[[#This Row],[Close]]-OFFSET(Tabla3[[#This Row],[Close]],-1,0))/OFFSET(Tabla3[[#This Row],[Close]],-1,0),"")</f>
        <v>7.9756105867652867E-3</v>
      </c>
      <c r="K2387" s="2">
        <f ca="1">IFERROR(AVERAGE(OFFSET(Tabla3[[#This Row],[Close]],-6,0,7)),"")</f>
        <v>3325.3714076450874</v>
      </c>
      <c r="L2387" s="2">
        <f ca="1">IFERROR(_xlfn.STDEV.S(OFFSET(Tabla3[[#This Row],[Close]],-29,0,30)),"")</f>
        <v>34.6059415243136</v>
      </c>
    </row>
    <row r="2388" spans="1:12" x14ac:dyDescent="0.3">
      <c r="A2388" s="1">
        <v>45874</v>
      </c>
      <c r="B2388" s="3">
        <f>YEAR(Tabla3[[#This Row],[Date]])</f>
        <v>2025</v>
      </c>
      <c r="C2388" s="1" t="str">
        <f>+TEXT(Tabla3[[#This Row],[Date]],"mmm")</f>
        <v>ago</v>
      </c>
      <c r="D2388" s="2">
        <v>3381.89990234375</v>
      </c>
      <c r="E2388" s="2">
        <v>3381.89990234375</v>
      </c>
      <c r="F2388" s="2">
        <v>3387.19995117187</v>
      </c>
      <c r="G2388" s="2">
        <v>3351.19995117187</v>
      </c>
      <c r="H2388" s="2">
        <v>3378.5</v>
      </c>
      <c r="I2388">
        <v>915</v>
      </c>
      <c r="J2388" s="2">
        <f ca="1">IFERROR((Tabla3[[#This Row],[Close]]-OFFSET(Tabla3[[#This Row],[Close]],-1,0))/OFFSET(Tabla3[[#This Row],[Close]],-1,0),"")</f>
        <v>2.2226174185195832E-3</v>
      </c>
      <c r="K2388" s="2">
        <f ca="1">IFERROR(AVERAGE(OFFSET(Tabla3[[#This Row],[Close]],-6,0,7)),"")</f>
        <v>3332.2142508370516</v>
      </c>
      <c r="L2388" s="2">
        <f ca="1">IFERROR(_xlfn.STDEV.S(OFFSET(Tabla3[[#This Row],[Close]],-29,0,30)),"")</f>
        <v>35.3004775375191</v>
      </c>
    </row>
    <row r="2389" spans="1:12" x14ac:dyDescent="0.3">
      <c r="A2389" s="1">
        <v>45875</v>
      </c>
      <c r="B2389" s="3">
        <f>YEAR(Tabla3[[#This Row],[Date]])</f>
        <v>2025</v>
      </c>
      <c r="C2389" s="1" t="str">
        <f>+TEXT(Tabla3[[#This Row],[Date]],"mmm")</f>
        <v>ago</v>
      </c>
      <c r="D2389" s="2">
        <v>3380</v>
      </c>
      <c r="E2389" s="2">
        <v>3380</v>
      </c>
      <c r="F2389" s="2">
        <v>3383.30004882812</v>
      </c>
      <c r="G2389" s="2">
        <v>3361.30004882812</v>
      </c>
      <c r="H2389" s="2">
        <v>3380.69995117187</v>
      </c>
      <c r="I2389">
        <v>1492</v>
      </c>
      <c r="J2389" s="2">
        <f ca="1">IFERROR((Tabla3[[#This Row],[Close]]-OFFSET(Tabla3[[#This Row],[Close]],-1,0))/OFFSET(Tabla3[[#This Row],[Close]],-1,0),"")</f>
        <v>-5.6178550477893065E-4</v>
      </c>
      <c r="K2389" s="2">
        <f ca="1">IFERROR(AVERAGE(OFFSET(Tabla3[[#This Row],[Close]],-6,0,7)),"")</f>
        <v>3342.3428083147301</v>
      </c>
      <c r="L2389" s="2">
        <f ca="1">IFERROR(_xlfn.STDEV.S(OFFSET(Tabla3[[#This Row],[Close]],-29,0,30)),"")</f>
        <v>35.95879006211689</v>
      </c>
    </row>
    <row r="2390" spans="1:12" x14ac:dyDescent="0.3">
      <c r="A2390" s="1">
        <v>45876</v>
      </c>
      <c r="B2390" s="3">
        <f>YEAR(Tabla3[[#This Row],[Date]])</f>
        <v>2025</v>
      </c>
      <c r="C2390" s="1" t="str">
        <f>+TEXT(Tabla3[[#This Row],[Date]],"mmm")</f>
        <v>ago</v>
      </c>
      <c r="D2390" s="2">
        <v>3400.30004882812</v>
      </c>
      <c r="E2390" s="2">
        <v>3400.30004882812</v>
      </c>
      <c r="F2390" s="2">
        <v>3422.89990234375</v>
      </c>
      <c r="G2390" s="2">
        <v>3384.89990234375</v>
      </c>
      <c r="H2390" s="2">
        <v>3384.89990234375</v>
      </c>
      <c r="I2390">
        <v>5464</v>
      </c>
      <c r="J2390" s="2">
        <f ca="1">IFERROR((Tabla3[[#This Row],[Close]]-OFFSET(Tabla3[[#This Row],[Close]],-1,0))/OFFSET(Tabla3[[#This Row],[Close]],-1,0),"")</f>
        <v>6.0059316059526621E-3</v>
      </c>
      <c r="K2390" s="2">
        <f ca="1">IFERROR(AVERAGE(OFFSET(Tabla3[[#This Row],[Close]],-6,0,7)),"")</f>
        <v>3353.3285435267831</v>
      </c>
      <c r="L2390" s="2">
        <f ca="1">IFERROR(_xlfn.STDEV.S(OFFSET(Tabla3[[#This Row],[Close]],-29,0,30)),"")</f>
        <v>37.477768607817552</v>
      </c>
    </row>
    <row r="2391" spans="1:12" x14ac:dyDescent="0.3">
      <c r="A2391" s="1">
        <v>45877</v>
      </c>
      <c r="B2391" s="3">
        <f>YEAR(Tabla3[[#This Row],[Date]])</f>
        <v>2025</v>
      </c>
      <c r="C2391" s="1" t="str">
        <f>+TEXT(Tabla3[[#This Row],[Date]],"mmm")</f>
        <v>ago</v>
      </c>
      <c r="D2391" s="2">
        <v>3439.10009765625</v>
      </c>
      <c r="E2391" s="2">
        <v>3439.10009765625</v>
      </c>
      <c r="F2391" s="2">
        <v>3477</v>
      </c>
      <c r="G2391" s="2">
        <v>3402.5</v>
      </c>
      <c r="H2391" s="2">
        <v>3438.80004882812</v>
      </c>
      <c r="I2391">
        <v>7657</v>
      </c>
      <c r="J2391" s="2">
        <f ca="1">IFERROR((Tabla3[[#This Row],[Close]]-OFFSET(Tabla3[[#This Row],[Close]],-1,0))/OFFSET(Tabla3[[#This Row],[Close]],-1,0),"")</f>
        <v>1.1410772070394804E-2</v>
      </c>
      <c r="K2391" s="2">
        <f ca="1">IFERROR(AVERAGE(OFFSET(Tabla3[[#This Row],[Close]],-6,0,7)),"")</f>
        <v>3373.7999790736585</v>
      </c>
      <c r="L2391" s="2">
        <f ca="1">IFERROR(_xlfn.STDEV.S(OFFSET(Tabla3[[#This Row],[Close]],-29,0,30)),"")</f>
        <v>38.946957105648991</v>
      </c>
    </row>
    <row r="2392" spans="1:12" x14ac:dyDescent="0.3">
      <c r="A2392" s="1">
        <v>45880</v>
      </c>
      <c r="B2392" s="3">
        <f>YEAR(Tabla3[[#This Row],[Date]])</f>
        <v>2025</v>
      </c>
      <c r="C2392" s="1" t="str">
        <f>+TEXT(Tabla3[[#This Row],[Date]],"mmm")</f>
        <v>ago</v>
      </c>
      <c r="D2392" s="2">
        <v>3353.10009765625</v>
      </c>
      <c r="E2392" s="2">
        <v>3353.10009765625</v>
      </c>
      <c r="F2392" s="2">
        <v>3383.89990234375</v>
      </c>
      <c r="G2392" s="2">
        <v>3349.19995117187</v>
      </c>
      <c r="H2392" s="2">
        <v>3383.89990234375</v>
      </c>
      <c r="I2392">
        <v>1488</v>
      </c>
      <c r="J2392" s="2">
        <f ca="1">IFERROR((Tabla3[[#This Row],[Close]]-OFFSET(Tabla3[[#This Row],[Close]],-1,0))/OFFSET(Tabla3[[#This Row],[Close]],-1,0),"")</f>
        <v>-2.5006541699268678E-2</v>
      </c>
      <c r="K2392" s="2">
        <f ca="1">IFERROR(AVERAGE(OFFSET(Tabla3[[#This Row],[Close]],-6,0,7)),"")</f>
        <v>3382.3571428571413</v>
      </c>
      <c r="L2392" s="2">
        <f ca="1">IFERROR(_xlfn.STDEV.S(OFFSET(Tabla3[[#This Row],[Close]],-29,0,30)),"")</f>
        <v>37.542204540647937</v>
      </c>
    </row>
    <row r="2393" spans="1:12" x14ac:dyDescent="0.3">
      <c r="A2393" s="1">
        <v>45881</v>
      </c>
      <c r="B2393" s="3">
        <f>YEAR(Tabla3[[#This Row],[Date]])</f>
        <v>2025</v>
      </c>
      <c r="C2393" s="1" t="str">
        <f>+TEXT(Tabla3[[#This Row],[Date]],"mmm")</f>
        <v>ago</v>
      </c>
      <c r="D2393" s="2">
        <v>3348.89990234375</v>
      </c>
      <c r="E2393" s="2">
        <v>3348.89990234375</v>
      </c>
      <c r="F2393" s="2">
        <v>3356.19995117187</v>
      </c>
      <c r="G2393" s="2">
        <v>3330.10009765625</v>
      </c>
      <c r="H2393" s="2">
        <v>3356.19995117187</v>
      </c>
      <c r="I2393">
        <v>1611</v>
      </c>
      <c r="J2393" s="2">
        <f ca="1">IFERROR((Tabla3[[#This Row],[Close]]-OFFSET(Tabla3[[#This Row],[Close]],-1,0))/OFFSET(Tabla3[[#This Row],[Close]],-1,0),"")</f>
        <v>-1.2526304584333323E-3</v>
      </c>
      <c r="K2393" s="2">
        <f ca="1">IFERROR(AVERAGE(OFFSET(Tabla3[[#This Row],[Close]],-6,0,7)),"")</f>
        <v>3382.5285644531241</v>
      </c>
      <c r="L2393" s="2">
        <f ca="1">IFERROR(_xlfn.STDEV.S(OFFSET(Tabla3[[#This Row],[Close]],-29,0,30)),"")</f>
        <v>37.444886487772571</v>
      </c>
    </row>
    <row r="2394" spans="1:12" x14ac:dyDescent="0.3">
      <c r="A2394" s="1">
        <v>45882</v>
      </c>
      <c r="B2394" s="3">
        <f>YEAR(Tabla3[[#This Row],[Date]])</f>
        <v>2025</v>
      </c>
      <c r="C2394" s="1" t="str">
        <f>+TEXT(Tabla3[[#This Row],[Date]],"mmm")</f>
        <v>ago</v>
      </c>
      <c r="D2394" s="2">
        <v>3358.69995117187</v>
      </c>
      <c r="E2394" s="2">
        <v>3358.69995117187</v>
      </c>
      <c r="F2394" s="2">
        <v>3363.39990234375</v>
      </c>
      <c r="G2394" s="2">
        <v>3358.69995117187</v>
      </c>
      <c r="H2394" s="2">
        <v>3358.80004882812</v>
      </c>
      <c r="I2394">
        <v>1011</v>
      </c>
      <c r="J2394" s="2">
        <f ca="1">IFERROR((Tabla3[[#This Row],[Close]]-OFFSET(Tabla3[[#This Row],[Close]],-1,0))/OFFSET(Tabla3[[#This Row],[Close]],-1,0),"")</f>
        <v>2.9263486858061563E-3</v>
      </c>
      <c r="K2394" s="2">
        <f ca="1">IFERROR(AVERAGE(OFFSET(Tabla3[[#This Row],[Close]],-6,0,7)),"")</f>
        <v>3380.2857142857129</v>
      </c>
      <c r="L2394" s="2">
        <f ca="1">IFERROR(_xlfn.STDEV.S(OFFSET(Tabla3[[#This Row],[Close]],-29,0,30)),"")</f>
        <v>37.45961435103191</v>
      </c>
    </row>
    <row r="2395" spans="1:12" x14ac:dyDescent="0.3">
      <c r="A2395" s="1">
        <v>45883</v>
      </c>
      <c r="B2395" s="3">
        <f>YEAR(Tabla3[[#This Row],[Date]])</f>
        <v>2025</v>
      </c>
      <c r="C2395" s="1" t="str">
        <f>+TEXT(Tabla3[[#This Row],[Date]],"mmm")</f>
        <v>ago</v>
      </c>
      <c r="D2395" s="2">
        <v>3335.19995117187</v>
      </c>
      <c r="E2395" s="2">
        <v>3335.19995117187</v>
      </c>
      <c r="F2395" s="2">
        <v>3356</v>
      </c>
      <c r="G2395" s="2">
        <v>3328.89990234375</v>
      </c>
      <c r="H2395" s="2">
        <v>3346.80004882812</v>
      </c>
      <c r="I2395">
        <v>592</v>
      </c>
      <c r="J2395" s="2">
        <f ca="1">IFERROR((Tabla3[[#This Row],[Close]]-OFFSET(Tabla3[[#This Row],[Close]],-1,0))/OFFSET(Tabla3[[#This Row],[Close]],-1,0),"")</f>
        <v>-6.9967547984751402E-3</v>
      </c>
      <c r="K2395" s="2">
        <f ca="1">IFERROR(AVERAGE(OFFSET(Tabla3[[#This Row],[Close]],-6,0,7)),"")</f>
        <v>3373.6142926897301</v>
      </c>
      <c r="L2395" s="2">
        <f ca="1">IFERROR(_xlfn.STDEV.S(OFFSET(Tabla3[[#This Row],[Close]],-29,0,30)),"")</f>
        <v>37.39761756307535</v>
      </c>
    </row>
    <row r="2396" spans="1:12" x14ac:dyDescent="0.3">
      <c r="A2396" s="1">
        <v>45884</v>
      </c>
      <c r="B2396" s="3">
        <f>YEAR(Tabla3[[#This Row],[Date]])</f>
        <v>2025</v>
      </c>
      <c r="C2396" s="1" t="str">
        <f>+TEXT(Tabla3[[#This Row],[Date]],"mmm")</f>
        <v>ago</v>
      </c>
      <c r="D2396" s="2">
        <v>3336</v>
      </c>
      <c r="E2396" s="2">
        <v>3336</v>
      </c>
      <c r="F2396" s="2">
        <v>3346.80004882812</v>
      </c>
      <c r="G2396" s="2">
        <v>3335.89990234375</v>
      </c>
      <c r="H2396" s="2">
        <v>3346.80004882812</v>
      </c>
      <c r="I2396">
        <v>1185</v>
      </c>
      <c r="J2396" s="2">
        <f ca="1">IFERROR((Tabla3[[#This Row],[Close]]-OFFSET(Tabla3[[#This Row],[Close]],-1,0))/OFFSET(Tabla3[[#This Row],[Close]],-1,0),"")</f>
        <v>2.3988031897424731E-4</v>
      </c>
      <c r="K2396" s="2">
        <f ca="1">IFERROR(AVERAGE(OFFSET(Tabla3[[#This Row],[Close]],-6,0,7)),"")</f>
        <v>3367.3285784040158</v>
      </c>
      <c r="L2396" s="2">
        <f ca="1">IFERROR(_xlfn.STDEV.S(OFFSET(Tabla3[[#This Row],[Close]],-29,0,30)),"")</f>
        <v>37.339606664505837</v>
      </c>
    </row>
    <row r="2397" spans="1:12" x14ac:dyDescent="0.3">
      <c r="A2397" s="1">
        <v>45887</v>
      </c>
      <c r="B2397" s="3">
        <f>YEAR(Tabla3[[#This Row],[Date]])</f>
        <v>2025</v>
      </c>
      <c r="C2397" s="1" t="str">
        <f>+TEXT(Tabla3[[#This Row],[Date]],"mmm")</f>
        <v>ago</v>
      </c>
      <c r="D2397" s="2">
        <v>3331.69995117187</v>
      </c>
      <c r="E2397" s="2">
        <v>3331.69995117187</v>
      </c>
      <c r="F2397" s="2">
        <v>3347.80004882812</v>
      </c>
      <c r="G2397" s="2">
        <v>3331.69995117187</v>
      </c>
      <c r="H2397" s="2">
        <v>3333.5</v>
      </c>
      <c r="I2397">
        <v>646</v>
      </c>
      <c r="J2397" s="2">
        <f ca="1">IFERROR((Tabla3[[#This Row],[Close]]-OFFSET(Tabla3[[#This Row],[Close]],-1,0))/OFFSET(Tabla3[[#This Row],[Close]],-1,0),"")</f>
        <v>-1.288983461669665E-3</v>
      </c>
      <c r="K2397" s="2">
        <f ca="1">IFERROR(AVERAGE(OFFSET(Tabla3[[#This Row],[Close]],-6,0,7)),"")</f>
        <v>3357.5285644531227</v>
      </c>
      <c r="L2397" s="2">
        <f ca="1">IFERROR(_xlfn.STDEV.S(OFFSET(Tabla3[[#This Row],[Close]],-29,0,30)),"")</f>
        <v>37.34898431917815</v>
      </c>
    </row>
    <row r="2398" spans="1:12" x14ac:dyDescent="0.3">
      <c r="A2398" s="1">
        <v>45888</v>
      </c>
      <c r="B2398" s="3">
        <f>YEAR(Tabla3[[#This Row],[Date]])</f>
        <v>2025</v>
      </c>
      <c r="C2398" s="1" t="str">
        <f>+TEXT(Tabla3[[#This Row],[Date]],"mmm")</f>
        <v>ago</v>
      </c>
      <c r="D2398" s="2">
        <v>3313.39990234375</v>
      </c>
      <c r="E2398" s="2">
        <v>3313.39990234375</v>
      </c>
      <c r="F2398" s="2">
        <v>3343.5</v>
      </c>
      <c r="G2398" s="2">
        <v>3313.39990234375</v>
      </c>
      <c r="H2398" s="2">
        <v>3330.19995117187</v>
      </c>
      <c r="I2398">
        <v>1655</v>
      </c>
      <c r="J2398" s="2">
        <f ca="1">IFERROR((Tabla3[[#This Row],[Close]]-OFFSET(Tabla3[[#This Row],[Close]],-1,0))/OFFSET(Tabla3[[#This Row],[Close]],-1,0),"")</f>
        <v>-5.4927061549114769E-3</v>
      </c>
      <c r="K2398" s="2">
        <f ca="1">IFERROR(AVERAGE(OFFSET(Tabla3[[#This Row],[Close]],-6,0,7)),"")</f>
        <v>3339.5713936941943</v>
      </c>
      <c r="L2398" s="2">
        <f ca="1">IFERROR(_xlfn.STDEV.S(OFFSET(Tabla3[[#This Row],[Close]],-29,0,30)),"")</f>
        <v>37.099034262581114</v>
      </c>
    </row>
    <row r="2399" spans="1:12" x14ac:dyDescent="0.3">
      <c r="A2399" s="1">
        <v>45889</v>
      </c>
      <c r="B2399" s="3">
        <f>YEAR(Tabla3[[#This Row],[Date]])</f>
        <v>2025</v>
      </c>
      <c r="C2399" s="1" t="str">
        <f>+TEXT(Tabla3[[#This Row],[Date]],"mmm")</f>
        <v>ago</v>
      </c>
      <c r="D2399" s="2">
        <v>3343.39990234375</v>
      </c>
      <c r="E2399" s="2">
        <v>3343.39990234375</v>
      </c>
      <c r="F2399" s="2">
        <v>3343.5</v>
      </c>
      <c r="G2399" s="2">
        <v>3310.10009765625</v>
      </c>
      <c r="H2399" s="2">
        <v>3310.60009765625</v>
      </c>
      <c r="I2399">
        <v>1213</v>
      </c>
      <c r="J2399" s="2">
        <f ca="1">IFERROR((Tabla3[[#This Row],[Close]]-OFFSET(Tabla3[[#This Row],[Close]],-1,0))/OFFSET(Tabla3[[#This Row],[Close]],-1,0),"")</f>
        <v>9.0541440466571366E-3</v>
      </c>
      <c r="K2399" s="2">
        <f ca="1">IFERROR(AVERAGE(OFFSET(Tabla3[[#This Row],[Close]],-6,0,7)),"")</f>
        <v>3338.1856515066943</v>
      </c>
      <c r="L2399" s="2">
        <f ca="1">IFERROR(_xlfn.STDEV.S(OFFSET(Tabla3[[#This Row],[Close]],-29,0,30)),"")</f>
        <v>36.337609773512135</v>
      </c>
    </row>
    <row r="2400" spans="1:12" x14ac:dyDescent="0.3">
      <c r="A2400" s="1">
        <v>45890</v>
      </c>
      <c r="B2400" s="3">
        <f>YEAR(Tabla3[[#This Row],[Date]])</f>
        <v>2025</v>
      </c>
      <c r="C2400" s="1" t="str">
        <f>+TEXT(Tabla3[[#This Row],[Date]],"mmm")</f>
        <v>ago</v>
      </c>
      <c r="D2400" s="2">
        <v>3336.89990234375</v>
      </c>
      <c r="E2400" s="2">
        <v>3336.89990234375</v>
      </c>
      <c r="F2400" s="2">
        <v>3349.39990234375</v>
      </c>
      <c r="G2400" s="2">
        <v>3326.5</v>
      </c>
      <c r="H2400" s="2">
        <v>3349.39990234375</v>
      </c>
      <c r="I2400">
        <v>142</v>
      </c>
      <c r="J2400" s="2">
        <f ca="1">IFERROR((Tabla3[[#This Row],[Close]]-OFFSET(Tabla3[[#This Row],[Close]],-1,0))/OFFSET(Tabla3[[#This Row],[Close]],-1,0),"")</f>
        <v>-1.9441287880170865E-3</v>
      </c>
      <c r="K2400" s="2">
        <f ca="1">IFERROR(AVERAGE(OFFSET(Tabla3[[#This Row],[Close]],-6,0,7)),"")</f>
        <v>3336.4713657924085</v>
      </c>
      <c r="L2400" s="2">
        <f ca="1">IFERROR(_xlfn.STDEV.S(OFFSET(Tabla3[[#This Row],[Close]],-29,0,30)),"")</f>
        <v>35.840098137279362</v>
      </c>
    </row>
    <row r="2401" spans="1:12" x14ac:dyDescent="0.3">
      <c r="A2401" s="1">
        <v>45891</v>
      </c>
      <c r="B2401" s="3">
        <f>YEAR(Tabla3[[#This Row],[Date]])</f>
        <v>2025</v>
      </c>
      <c r="C2401" s="1" t="str">
        <f>+TEXT(Tabla3[[#This Row],[Date]],"mmm")</f>
        <v>ago</v>
      </c>
      <c r="D2401" s="2">
        <v>3374.39990234375</v>
      </c>
      <c r="E2401" s="2">
        <v>3374.39990234375</v>
      </c>
      <c r="F2401" s="2">
        <v>3377.69995117187</v>
      </c>
      <c r="G2401" s="2">
        <v>3349.39990234375</v>
      </c>
      <c r="H2401" s="2">
        <v>3349.39990234375</v>
      </c>
      <c r="I2401">
        <v>1240</v>
      </c>
      <c r="J2401" s="2">
        <f ca="1">IFERROR((Tabla3[[#This Row],[Close]]-OFFSET(Tabla3[[#This Row],[Close]],-1,0))/OFFSET(Tabla3[[#This Row],[Close]],-1,0),"")</f>
        <v>1.1237975695243659E-2</v>
      </c>
      <c r="K2401" s="2">
        <f ca="1">IFERROR(AVERAGE(OFFSET(Tabla3[[#This Row],[Close]],-6,0,7)),"")</f>
        <v>3338.7142159598197</v>
      </c>
      <c r="L2401" s="2">
        <f ca="1">IFERROR(_xlfn.STDEV.S(OFFSET(Tabla3[[#This Row],[Close]],-29,0,30)),"")</f>
        <v>36.029315861760544</v>
      </c>
    </row>
    <row r="2402" spans="1:12" x14ac:dyDescent="0.3">
      <c r="A2402" s="1">
        <v>45894</v>
      </c>
      <c r="B2402" s="3">
        <f>YEAR(Tabla3[[#This Row],[Date]])</f>
        <v>2025</v>
      </c>
      <c r="C2402" s="1" t="str">
        <f>+TEXT(Tabla3[[#This Row],[Date]],"mmm")</f>
        <v>ago</v>
      </c>
      <c r="D2402" s="2">
        <v>3373.80004882812</v>
      </c>
      <c r="E2402" s="2">
        <v>3373.80004882812</v>
      </c>
      <c r="F2402" s="2">
        <v>3378</v>
      </c>
      <c r="G2402" s="2">
        <v>3366</v>
      </c>
      <c r="H2402" s="2">
        <v>3366</v>
      </c>
      <c r="I2402">
        <v>1044</v>
      </c>
      <c r="J2402" s="2">
        <f ca="1">IFERROR((Tabla3[[#This Row],[Close]]-OFFSET(Tabla3[[#This Row],[Close]],-1,0))/OFFSET(Tabla3[[#This Row],[Close]],-1,0),"")</f>
        <v>-1.7776598298659363E-4</v>
      </c>
      <c r="K2402" s="2">
        <f ca="1">IFERROR(AVERAGE(OFFSET(Tabla3[[#This Row],[Close]],-6,0,7)),"")</f>
        <v>3344.2285156249986</v>
      </c>
      <c r="L2402" s="2">
        <f ca="1">IFERROR(_xlfn.STDEV.S(OFFSET(Tabla3[[#This Row],[Close]],-29,0,30)),"")</f>
        <v>36.188785980512193</v>
      </c>
    </row>
    <row r="2403" spans="1:12" x14ac:dyDescent="0.3">
      <c r="A2403" s="1">
        <v>45895</v>
      </c>
      <c r="B2403" s="3">
        <f>YEAR(Tabla3[[#This Row],[Date]])</f>
        <v>2025</v>
      </c>
      <c r="C2403" s="1" t="str">
        <f>+TEXT(Tabla3[[#This Row],[Date]],"mmm")</f>
        <v>ago</v>
      </c>
      <c r="D2403" s="2">
        <v>3388.60009765625</v>
      </c>
      <c r="E2403" s="2">
        <v>3388.60009765625</v>
      </c>
      <c r="F2403" s="2">
        <v>3396.5</v>
      </c>
      <c r="G2403" s="2">
        <v>3371.10009765625</v>
      </c>
      <c r="H2403" s="2">
        <v>3378.89990234375</v>
      </c>
      <c r="I2403">
        <v>905</v>
      </c>
      <c r="J2403" s="2">
        <f ca="1">IFERROR((Tabla3[[#This Row],[Close]]-OFFSET(Tabla3[[#This Row],[Close]],-1,0))/OFFSET(Tabla3[[#This Row],[Close]],-1,0),"")</f>
        <v>4.3867593259626506E-3</v>
      </c>
      <c r="K2403" s="2">
        <f ca="1">IFERROR(AVERAGE(OFFSET(Tabla3[[#This Row],[Close]],-6,0,7)),"")</f>
        <v>3351.7428152901771</v>
      </c>
      <c r="L2403" s="2">
        <f ca="1">IFERROR(_xlfn.STDEV.S(OFFSET(Tabla3[[#This Row],[Close]],-29,0,30)),"")</f>
        <v>36.339007912356607</v>
      </c>
    </row>
    <row r="2404" spans="1:12" x14ac:dyDescent="0.3">
      <c r="A2404" s="1">
        <v>45896</v>
      </c>
      <c r="B2404" s="3">
        <f>YEAR(Tabla3[[#This Row],[Date]])</f>
        <v>2025</v>
      </c>
      <c r="C2404" s="1" t="str">
        <f>+TEXT(Tabla3[[#This Row],[Date]],"mmm")</f>
        <v>ago</v>
      </c>
      <c r="D2404" s="2">
        <v>3404.60009765625</v>
      </c>
      <c r="E2404" s="2">
        <v>3404.60009765625</v>
      </c>
      <c r="F2404" s="2">
        <v>3404.60009765625</v>
      </c>
      <c r="G2404" s="2">
        <v>3382</v>
      </c>
      <c r="H2404" s="2">
        <v>3397</v>
      </c>
      <c r="I2404">
        <v>3222</v>
      </c>
      <c r="J2404" s="2">
        <f ca="1">IFERROR((Tabla3[[#This Row],[Close]]-OFFSET(Tabla3[[#This Row],[Close]],-1,0))/OFFSET(Tabla3[[#This Row],[Close]],-1,0),"")</f>
        <v>4.7217138461001984E-3</v>
      </c>
      <c r="K2404" s="2">
        <f ca="1">IFERROR(AVERAGE(OFFSET(Tabla3[[#This Row],[Close]],-6,0,7)),"")</f>
        <v>3362.157121930803</v>
      </c>
      <c r="L2404" s="2">
        <f ca="1">IFERROR(_xlfn.STDEV.S(OFFSET(Tabla3[[#This Row],[Close]],-29,0,30)),"")</f>
        <v>37.323754156918213</v>
      </c>
    </row>
    <row r="2405" spans="1:12" x14ac:dyDescent="0.3">
      <c r="A2405" s="1">
        <v>45897</v>
      </c>
      <c r="B2405" s="3">
        <f>YEAR(Tabla3[[#This Row],[Date]])</f>
        <v>2025</v>
      </c>
      <c r="C2405" s="1" t="str">
        <f>+TEXT(Tabla3[[#This Row],[Date]],"mmm")</f>
        <v>ago</v>
      </c>
      <c r="D2405" s="2">
        <v>3431.80004882812</v>
      </c>
      <c r="E2405" s="2">
        <v>3431.80004882812</v>
      </c>
      <c r="F2405" s="2">
        <v>3434.60009765625</v>
      </c>
      <c r="G2405" s="2">
        <v>3400</v>
      </c>
      <c r="H2405" s="2">
        <v>3409</v>
      </c>
      <c r="I2405">
        <v>1035</v>
      </c>
      <c r="J2405" s="2">
        <f ca="1">IFERROR((Tabla3[[#This Row],[Close]]-OFFSET(Tabla3[[#This Row],[Close]],-1,0))/OFFSET(Tabla3[[#This Row],[Close]],-1,0),"")</f>
        <v>7.9891765234321142E-3</v>
      </c>
      <c r="K2405" s="2">
        <f ca="1">IFERROR(AVERAGE(OFFSET(Tabla3[[#This Row],[Close]],-6,0,7)),"")</f>
        <v>3379.0714285714271</v>
      </c>
      <c r="L2405" s="2">
        <f ca="1">IFERROR(_xlfn.STDEV.S(OFFSET(Tabla3[[#This Row],[Close]],-29,0,30)),"")</f>
        <v>39.400236733288871</v>
      </c>
    </row>
    <row r="2406" spans="1:12" x14ac:dyDescent="0.3">
      <c r="A2406" s="1">
        <v>45898</v>
      </c>
      <c r="B2406" s="3">
        <f>YEAR(Tabla3[[#This Row],[Date]])</f>
        <v>2025</v>
      </c>
      <c r="C2406" s="1" t="str">
        <f>+TEXT(Tabla3[[#This Row],[Date]],"mmm")</f>
        <v>ago</v>
      </c>
      <c r="D2406" s="2">
        <v>3473.69995117187</v>
      </c>
      <c r="E2406" s="2">
        <v>3473.69995117187</v>
      </c>
      <c r="F2406" s="2">
        <v>3475.60009765625</v>
      </c>
      <c r="G2406" s="2">
        <v>3426.60009765625</v>
      </c>
      <c r="H2406" s="2">
        <v>3432.5</v>
      </c>
      <c r="I2406">
        <v>0</v>
      </c>
      <c r="J2406" s="2">
        <f ca="1">IFERROR((Tabla3[[#This Row],[Close]]-OFFSET(Tabla3[[#This Row],[Close]],-1,0))/OFFSET(Tabla3[[#This Row],[Close]],-1,0),"")</f>
        <v>1.2209307578411465E-2</v>
      </c>
      <c r="K2406" s="2">
        <f ca="1">IFERROR(AVERAGE(OFFSET(Tabla3[[#This Row],[Close]],-6,0,7)),"")</f>
        <v>3397.6857212611585</v>
      </c>
      <c r="L2406" s="2">
        <f ca="1">IFERROR(_xlfn.STDEV.S(OFFSET(Tabla3[[#This Row],[Close]],-29,0,30)),"")</f>
        <v>44.279693319575898</v>
      </c>
    </row>
    <row r="2407" spans="1:12" x14ac:dyDescent="0.3">
      <c r="A2407" s="1">
        <v>45902</v>
      </c>
      <c r="B2407" s="3">
        <f>YEAR(Tabla3[[#This Row],[Date]])</f>
        <v>2025</v>
      </c>
      <c r="C2407" s="1" t="str">
        <f>+TEXT(Tabla3[[#This Row],[Date]],"mmm")</f>
        <v>sept</v>
      </c>
      <c r="D2407" s="2">
        <v>3549.39990234375</v>
      </c>
      <c r="E2407" s="2">
        <v>3549.39990234375</v>
      </c>
      <c r="F2407" s="2">
        <v>3559.19995117187</v>
      </c>
      <c r="G2407" s="2">
        <v>3485.69995117187</v>
      </c>
      <c r="H2407" s="2">
        <v>3485.69995117187</v>
      </c>
      <c r="I2407">
        <v>658</v>
      </c>
      <c r="J2407" s="2">
        <f ca="1">IFERROR((Tabla3[[#This Row],[Close]]-OFFSET(Tabla3[[#This Row],[Close]],-1,0))/OFFSET(Tabla3[[#This Row],[Close]],-1,0),"")</f>
        <v>2.1792311436208602E-2</v>
      </c>
      <c r="K2407" s="2">
        <f ca="1">IFERROR(AVERAGE(OFFSET(Tabla3[[#This Row],[Close]],-6,0,7)),"")</f>
        <v>3428.0428641183016</v>
      </c>
      <c r="L2407" s="2">
        <f ca="1">IFERROR(_xlfn.STDEV.S(OFFSET(Tabla3[[#This Row],[Close]],-29,0,30)),"")</f>
        <v>55.208105712076211</v>
      </c>
    </row>
    <row r="2408" spans="1:12" x14ac:dyDescent="0.3">
      <c r="A2408" s="1">
        <v>45903</v>
      </c>
      <c r="B2408" s="3">
        <f>YEAR(Tabla3[[#This Row],[Date]])</f>
        <v>2025</v>
      </c>
      <c r="C2408" s="1" t="str">
        <f>+TEXT(Tabla3[[#This Row],[Date]],"mmm")</f>
        <v>sept</v>
      </c>
      <c r="D2408" s="2">
        <v>3593.19995117187</v>
      </c>
      <c r="E2408" s="2">
        <v>3593.19995117187</v>
      </c>
      <c r="F2408" s="2">
        <v>3593.69995117187</v>
      </c>
      <c r="G2408" s="2">
        <v>3553.19995117187</v>
      </c>
      <c r="H2408" s="2">
        <v>3554.80004882812</v>
      </c>
      <c r="I2408">
        <v>72</v>
      </c>
      <c r="J2408" s="2">
        <f ca="1">IFERROR((Tabla3[[#This Row],[Close]]-OFFSET(Tabla3[[#This Row],[Close]],-1,0))/OFFSET(Tabla3[[#This Row],[Close]],-1,0),"")</f>
        <v>1.234012791829904E-2</v>
      </c>
      <c r="K2408" s="2">
        <f ca="1">IFERROR(AVERAGE(OFFSET(Tabla3[[#This Row],[Close]],-6,0,7)),"")</f>
        <v>3459.3000139508904</v>
      </c>
      <c r="L2408" s="2">
        <f ca="1">IFERROR(_xlfn.STDEV.S(OFFSET(Tabla3[[#This Row],[Close]],-29,0,30)),"")</f>
        <v>67.530671437489403</v>
      </c>
    </row>
    <row r="2409" spans="1:12" x14ac:dyDescent="0.3">
      <c r="A2409" s="1">
        <v>45904</v>
      </c>
      <c r="B2409" s="3">
        <f>YEAR(Tabla3[[#This Row],[Date]])</f>
        <v>2025</v>
      </c>
      <c r="C2409" s="1" t="str">
        <f>+TEXT(Tabla3[[#This Row],[Date]],"mmm")</f>
        <v>sept</v>
      </c>
      <c r="D2409" s="2">
        <v>3565.80004882812</v>
      </c>
      <c r="E2409" s="2">
        <v>3565.80004882812</v>
      </c>
      <c r="F2409" s="2">
        <v>3573.60009765625</v>
      </c>
      <c r="G2409" s="2">
        <v>3549.89990234375</v>
      </c>
      <c r="H2409" s="2">
        <v>3549.89990234375</v>
      </c>
      <c r="I2409">
        <v>237</v>
      </c>
      <c r="J2409" s="2">
        <f ca="1">IFERROR((Tabla3[[#This Row],[Close]]-OFFSET(Tabla3[[#This Row],[Close]],-1,0))/OFFSET(Tabla3[[#This Row],[Close]],-1,0),"")</f>
        <v>-7.6254877869554464E-3</v>
      </c>
      <c r="K2409" s="2">
        <f ca="1">IFERROR(AVERAGE(OFFSET(Tabla3[[#This Row],[Close]],-6,0,7)),"")</f>
        <v>3486.7285853794615</v>
      </c>
      <c r="L2409" s="2">
        <f ca="1">IFERROR(_xlfn.STDEV.S(OFFSET(Tabla3[[#This Row],[Close]],-29,0,30)),"")</f>
        <v>75.849553052612677</v>
      </c>
    </row>
    <row r="2410" spans="1:12" x14ac:dyDescent="0.3">
      <c r="A2410" s="1">
        <v>45905</v>
      </c>
      <c r="B2410" s="3">
        <f>YEAR(Tabla3[[#This Row],[Date]])</f>
        <v>2025</v>
      </c>
      <c r="C2410" s="1" t="str">
        <f>+TEXT(Tabla3[[#This Row],[Date]],"mmm")</f>
        <v>sept</v>
      </c>
      <c r="D2410" s="2">
        <v>3613.19995117187</v>
      </c>
      <c r="E2410" s="2">
        <v>3613.19995117187</v>
      </c>
      <c r="F2410" s="2">
        <v>3613.19995117187</v>
      </c>
      <c r="G2410" s="2">
        <v>3567.80004882812</v>
      </c>
      <c r="H2410" s="2">
        <v>3567.80004882812</v>
      </c>
      <c r="I2410">
        <v>925</v>
      </c>
      <c r="J2410" s="2">
        <f ca="1">IFERROR((Tabla3[[#This Row],[Close]]-OFFSET(Tabla3[[#This Row],[Close]],-1,0))/OFFSET(Tabla3[[#This Row],[Close]],-1,0),"")</f>
        <v>1.329292211977161E-2</v>
      </c>
      <c r="K2410" s="2">
        <f ca="1">IFERROR(AVERAGE(OFFSET(Tabla3[[#This Row],[Close]],-6,0,7)),"")</f>
        <v>3518.814278738836</v>
      </c>
      <c r="L2410" s="2">
        <f ca="1">IFERROR(_xlfn.STDEV.S(OFFSET(Tabla3[[#This Row],[Close]],-29,0,30)),"")</f>
        <v>86.73745250659691</v>
      </c>
    </row>
    <row r="2411" spans="1:12" x14ac:dyDescent="0.3">
      <c r="A2411" s="1">
        <v>45908</v>
      </c>
      <c r="B2411" s="3">
        <f>YEAR(Tabla3[[#This Row],[Date]])</f>
        <v>2025</v>
      </c>
      <c r="C2411" s="1" t="str">
        <f>+TEXT(Tabla3[[#This Row],[Date]],"mmm")</f>
        <v>sept</v>
      </c>
      <c r="D2411" s="2">
        <v>3638.10009765625</v>
      </c>
      <c r="E2411" s="2">
        <v>3638.10009765625</v>
      </c>
      <c r="F2411" s="2">
        <v>3641</v>
      </c>
      <c r="G2411" s="2">
        <v>3590</v>
      </c>
      <c r="H2411" s="2">
        <v>3594.5</v>
      </c>
      <c r="I2411">
        <v>97</v>
      </c>
      <c r="J2411" s="2">
        <f ca="1">IFERROR((Tabla3[[#This Row],[Close]]-OFFSET(Tabla3[[#This Row],[Close]],-1,0))/OFFSET(Tabla3[[#This Row],[Close]],-1,0),"")</f>
        <v>6.8914388411591039E-3</v>
      </c>
      <c r="K2411" s="2">
        <f ca="1">IFERROR(AVERAGE(OFFSET(Tabla3[[#This Row],[Close]],-6,0,7)),"")</f>
        <v>3552.1714215959787</v>
      </c>
      <c r="L2411" s="2">
        <f ca="1">IFERROR(_xlfn.STDEV.S(OFFSET(Tabla3[[#This Row],[Close]],-29,0,30)),"")</f>
        <v>97.09895533518025</v>
      </c>
    </row>
    <row r="2412" spans="1:12" x14ac:dyDescent="0.3">
      <c r="A2412" s="1">
        <v>45909</v>
      </c>
      <c r="B2412" s="3">
        <f>YEAR(Tabla3[[#This Row],[Date]])</f>
        <v>2025</v>
      </c>
      <c r="C2412" s="1" t="str">
        <f>+TEXT(Tabla3[[#This Row],[Date]],"mmm")</f>
        <v>sept</v>
      </c>
      <c r="D2412" s="2">
        <v>3643.30004882812</v>
      </c>
      <c r="E2412" s="2">
        <v>3643.30004882812</v>
      </c>
      <c r="F2412" s="2">
        <v>3670.39990234375</v>
      </c>
      <c r="G2412" s="2">
        <v>3627.80004882812</v>
      </c>
      <c r="H2412" s="2">
        <v>3647.10009765625</v>
      </c>
      <c r="I2412">
        <v>535</v>
      </c>
      <c r="J2412" s="2">
        <f ca="1">IFERROR((Tabla3[[#This Row],[Close]]-OFFSET(Tabla3[[#This Row],[Close]],-1,0))/OFFSET(Tabla3[[#This Row],[Close]],-1,0),"")</f>
        <v>1.4293040411999464E-3</v>
      </c>
      <c r="K2412" s="2">
        <f ca="1">IFERROR(AVERAGE(OFFSET(Tabla3[[#This Row],[Close]],-6,0,7)),"")</f>
        <v>3582.385707310264</v>
      </c>
      <c r="L2412" s="2">
        <f ca="1">IFERROR(_xlfn.STDEV.S(OFFSET(Tabla3[[#This Row],[Close]],-29,0,30)),"")</f>
        <v>105.11587811250561</v>
      </c>
    </row>
    <row r="2413" spans="1:12" x14ac:dyDescent="0.3">
      <c r="A2413" s="1">
        <v>45910</v>
      </c>
      <c r="B2413" s="3">
        <f>YEAR(Tabla3[[#This Row],[Date]])</f>
        <v>2025</v>
      </c>
      <c r="C2413" s="1" t="str">
        <f>+TEXT(Tabla3[[#This Row],[Date]],"mmm")</f>
        <v>sept</v>
      </c>
      <c r="D2413" s="2">
        <v>3643.60009765625</v>
      </c>
      <c r="E2413" s="2">
        <v>3643.60009765625</v>
      </c>
      <c r="F2413" s="2">
        <v>3655.39990234375</v>
      </c>
      <c r="G2413" s="2">
        <v>3620.80004882812</v>
      </c>
      <c r="H2413" s="2">
        <v>3625</v>
      </c>
      <c r="I2413">
        <v>136</v>
      </c>
      <c r="J2413" s="2">
        <f ca="1">IFERROR((Tabla3[[#This Row],[Close]]-OFFSET(Tabla3[[#This Row],[Close]],-1,0))/OFFSET(Tabla3[[#This Row],[Close]],-1,0),"")</f>
        <v>8.2356331926741513E-5</v>
      </c>
      <c r="K2413" s="2">
        <f ca="1">IFERROR(AVERAGE(OFFSET(Tabla3[[#This Row],[Close]],-6,0,7)),"")</f>
        <v>3606.6571568080331</v>
      </c>
      <c r="L2413" s="2">
        <f ca="1">IFERROR(_xlfn.STDEV.S(OFFSET(Tabla3[[#This Row],[Close]],-29,0,30)),"")</f>
        <v>111.90590467218206</v>
      </c>
    </row>
    <row r="2414" spans="1:12" x14ac:dyDescent="0.3">
      <c r="A2414" s="1">
        <v>45911</v>
      </c>
      <c r="B2414" s="3">
        <f>YEAR(Tabla3[[#This Row],[Date]])</f>
        <v>2025</v>
      </c>
      <c r="C2414" s="1" t="str">
        <f>+TEXT(Tabla3[[#This Row],[Date]],"mmm")</f>
        <v>sept</v>
      </c>
      <c r="D2414" s="2">
        <v>3636.89990234375</v>
      </c>
      <c r="E2414" s="2">
        <v>3636.89990234375</v>
      </c>
      <c r="F2414" s="2">
        <v>3636.89990234375</v>
      </c>
      <c r="G2414" s="2">
        <v>3618.39990234375</v>
      </c>
      <c r="H2414" s="2">
        <v>3632.89990234375</v>
      </c>
      <c r="I2414">
        <v>307</v>
      </c>
      <c r="J2414" s="2">
        <f ca="1">IFERROR((Tabla3[[#This Row],[Close]]-OFFSET(Tabla3[[#This Row],[Close]],-1,0))/OFFSET(Tabla3[[#This Row],[Close]],-1,0),"")</f>
        <v>-1.8388942619718088E-3</v>
      </c>
      <c r="K2414" s="2">
        <f ca="1">IFERROR(AVERAGE(OFFSET(Tabla3[[#This Row],[Close]],-6,0,7)),"")</f>
        <v>3619.1571568080331</v>
      </c>
      <c r="L2414" s="2">
        <f ca="1">IFERROR(_xlfn.STDEV.S(OFFSET(Tabla3[[#This Row],[Close]],-29,0,30)),"")</f>
        <v>115.88780080549162</v>
      </c>
    </row>
    <row r="2415" spans="1:12" x14ac:dyDescent="0.3">
      <c r="A2415" s="1">
        <v>45912</v>
      </c>
      <c r="B2415" s="3">
        <f>YEAR(Tabla3[[#This Row],[Date]])</f>
        <v>2025</v>
      </c>
      <c r="C2415" s="1" t="str">
        <f>+TEXT(Tabla3[[#This Row],[Date]],"mmm")</f>
        <v>sept</v>
      </c>
      <c r="D2415" s="2">
        <v>3649.39990234375</v>
      </c>
      <c r="E2415" s="2">
        <v>3649.39990234375</v>
      </c>
      <c r="F2415" s="2">
        <v>3656.80004882812</v>
      </c>
      <c r="G2415" s="2">
        <v>3643</v>
      </c>
      <c r="H2415" s="2">
        <v>3655.5</v>
      </c>
      <c r="I2415">
        <v>1300</v>
      </c>
      <c r="J2415" s="2">
        <f ca="1">IFERROR((Tabla3[[#This Row],[Close]]-OFFSET(Tabla3[[#This Row],[Close]],-1,0))/OFFSET(Tabla3[[#This Row],[Close]],-1,0),"")</f>
        <v>3.4369931358145291E-3</v>
      </c>
      <c r="K2415" s="2">
        <f ca="1">IFERROR(AVERAGE(OFFSET(Tabla3[[#This Row],[Close]],-6,0,7)),"")</f>
        <v>3627.1857212611585</v>
      </c>
      <c r="L2415" s="2">
        <f ca="1">IFERROR(_xlfn.STDEV.S(OFFSET(Tabla3[[#This Row],[Close]],-29,0,30)),"")</f>
        <v>119.21951731378689</v>
      </c>
    </row>
    <row r="2416" spans="1:12" x14ac:dyDescent="0.3">
      <c r="A2416" s="1">
        <v>45915</v>
      </c>
      <c r="B2416" s="3">
        <f>YEAR(Tabla3[[#This Row],[Date]])</f>
        <v>2025</v>
      </c>
      <c r="C2416" s="1" t="str">
        <f>+TEXT(Tabla3[[#This Row],[Date]],"mmm")</f>
        <v>sept</v>
      </c>
      <c r="D2416" s="2">
        <v>3682.19995117187</v>
      </c>
      <c r="E2416" s="2">
        <v>3682.19995117187</v>
      </c>
      <c r="F2416" s="2">
        <v>3686.39990234375</v>
      </c>
      <c r="G2416" s="2">
        <v>3635.10009765625</v>
      </c>
      <c r="H2416" s="2">
        <v>3640</v>
      </c>
      <c r="I2416">
        <v>210</v>
      </c>
      <c r="J2416" s="2">
        <f ca="1">IFERROR((Tabla3[[#This Row],[Close]]-OFFSET(Tabla3[[#This Row],[Close]],-1,0))/OFFSET(Tabla3[[#This Row],[Close]],-1,0),"")</f>
        <v>8.9877924332312439E-3</v>
      </c>
      <c r="K2416" s="2">
        <f ca="1">IFERROR(AVERAGE(OFFSET(Tabla3[[#This Row],[Close]],-6,0,7)),"")</f>
        <v>3643.8142787388374</v>
      </c>
      <c r="L2416" s="2">
        <f ca="1">IFERROR(_xlfn.STDEV.S(OFFSET(Tabla3[[#This Row],[Close]],-29,0,30)),"")</f>
        <v>125.2608601073406</v>
      </c>
    </row>
    <row r="2417" spans="1:12" x14ac:dyDescent="0.3">
      <c r="A2417" s="1">
        <v>45916</v>
      </c>
      <c r="B2417" s="3">
        <f>YEAR(Tabla3[[#This Row],[Date]])</f>
        <v>2025</v>
      </c>
      <c r="C2417" s="1" t="str">
        <f>+TEXT(Tabla3[[#This Row],[Date]],"mmm")</f>
        <v>sept</v>
      </c>
      <c r="D2417" s="2">
        <v>3688.89990234375</v>
      </c>
      <c r="E2417" s="2">
        <v>3688.89990234375</v>
      </c>
      <c r="F2417" s="2">
        <v>3698.60009765625</v>
      </c>
      <c r="G2417" s="2">
        <v>3681.39990234375</v>
      </c>
      <c r="H2417" s="2">
        <v>3681.39990234375</v>
      </c>
      <c r="I2417">
        <v>373</v>
      </c>
      <c r="J2417" s="2">
        <f ca="1">IFERROR((Tabla3[[#This Row],[Close]]-OFFSET(Tabla3[[#This Row],[Close]],-1,0))/OFFSET(Tabla3[[#This Row],[Close]],-1,0),"")</f>
        <v>1.8195511543982626E-3</v>
      </c>
      <c r="K2417" s="2">
        <f ca="1">IFERROR(AVERAGE(OFFSET(Tabla3[[#This Row],[Close]],-6,0,7)),"")</f>
        <v>3654.6285574776771</v>
      </c>
      <c r="L2417" s="2">
        <f ca="1">IFERROR(_xlfn.STDEV.S(OFFSET(Tabla3[[#This Row],[Close]],-29,0,30)),"")</f>
        <v>131.17381199538383</v>
      </c>
    </row>
    <row r="2418" spans="1:12" x14ac:dyDescent="0.3">
      <c r="A2418" s="1">
        <v>45917</v>
      </c>
      <c r="B2418" s="3">
        <f>YEAR(Tabla3[[#This Row],[Date]])</f>
        <v>2025</v>
      </c>
      <c r="C2418" s="1" t="str">
        <f>+TEXT(Tabla3[[#This Row],[Date]],"mmm")</f>
        <v>sept</v>
      </c>
      <c r="D2418" s="2">
        <v>3681.80004882812</v>
      </c>
      <c r="E2418" s="2">
        <v>3681.80004882812</v>
      </c>
      <c r="F2418" s="2">
        <v>3685.19995117187</v>
      </c>
      <c r="G2418" s="2">
        <v>3661.60009765625</v>
      </c>
      <c r="H2418" s="2">
        <v>3669</v>
      </c>
      <c r="I2418">
        <v>183</v>
      </c>
      <c r="J2418" s="2">
        <f ca="1">IFERROR((Tabla3[[#This Row],[Close]]-OFFSET(Tabla3[[#This Row],[Close]],-1,0))/OFFSET(Tabla3[[#This Row],[Close]],-1,0),"")</f>
        <v>-1.9246533393652389E-3</v>
      </c>
      <c r="K2418" s="2">
        <f ca="1">IFERROR(AVERAGE(OFFSET(Tabla3[[#This Row],[Close]],-6,0,7)),"")</f>
        <v>3660.8714076450874</v>
      </c>
      <c r="L2418" s="2">
        <f ca="1">IFERROR(_xlfn.STDEV.S(OFFSET(Tabla3[[#This Row],[Close]],-29,0,30)),"")</f>
        <v>135.81167706333963</v>
      </c>
    </row>
    <row r="2419" spans="1:12" x14ac:dyDescent="0.3">
      <c r="A2419" s="1">
        <v>45918</v>
      </c>
      <c r="B2419" s="3">
        <f>YEAR(Tabla3[[#This Row],[Date]])</f>
        <v>2025</v>
      </c>
      <c r="C2419" s="1" t="str">
        <f>+TEXT(Tabla3[[#This Row],[Date]],"mmm")</f>
        <v>sept</v>
      </c>
      <c r="D2419" s="2">
        <v>3643.69995117187</v>
      </c>
      <c r="E2419" s="2">
        <v>3643.69995117187</v>
      </c>
      <c r="F2419" s="2">
        <v>3667.39990234375</v>
      </c>
      <c r="G2419" s="2">
        <v>3637</v>
      </c>
      <c r="H2419" s="2">
        <v>3654.60009765625</v>
      </c>
      <c r="I2419">
        <v>80</v>
      </c>
      <c r="J2419" s="2">
        <f ca="1">IFERROR((Tabla3[[#This Row],[Close]]-OFFSET(Tabla3[[#This Row],[Close]],-1,0))/OFFSET(Tabla3[[#This Row],[Close]],-1,0),"")</f>
        <v>-1.0348225637178987E-2</v>
      </c>
      <c r="K2419" s="2">
        <f ca="1">IFERROR(AVERAGE(OFFSET(Tabla3[[#This Row],[Close]],-6,0,7)),"")</f>
        <v>3660.9285365513374</v>
      </c>
      <c r="L2419" s="2">
        <f ca="1">IFERROR(_xlfn.STDEV.S(OFFSET(Tabla3[[#This Row],[Close]],-29,0,30)),"")</f>
        <v>137.83699052615174</v>
      </c>
    </row>
    <row r="2420" spans="1:12" x14ac:dyDescent="0.3">
      <c r="A2420" s="1">
        <v>45919</v>
      </c>
      <c r="B2420" s="3">
        <f>YEAR(Tabla3[[#This Row],[Date]])</f>
        <v>2025</v>
      </c>
      <c r="C2420" s="1" t="str">
        <f>+TEXT(Tabla3[[#This Row],[Date]],"mmm")</f>
        <v>sept</v>
      </c>
      <c r="D2420" s="2">
        <v>3671.5</v>
      </c>
      <c r="E2420" s="2">
        <v>3671.5</v>
      </c>
      <c r="F2420" s="2">
        <v>3685.89990234375</v>
      </c>
      <c r="G2420" s="2">
        <v>3658.19995117187</v>
      </c>
      <c r="H2420" s="2">
        <v>3659</v>
      </c>
      <c r="I2420">
        <v>211</v>
      </c>
      <c r="J2420" s="2">
        <f ca="1">IFERROR((Tabla3[[#This Row],[Close]]-OFFSET(Tabla3[[#This Row],[Close]],-1,0))/OFFSET(Tabla3[[#This Row],[Close]],-1,0),"")</f>
        <v>7.6296207702802417E-3</v>
      </c>
      <c r="K2420" s="2">
        <f ca="1">IFERROR(AVERAGE(OFFSET(Tabla3[[#This Row],[Close]],-6,0,7)),"")</f>
        <v>3664.9142368861585</v>
      </c>
      <c r="L2420" s="2">
        <f ca="1">IFERROR(_xlfn.STDEV.S(OFFSET(Tabla3[[#This Row],[Close]],-29,0,30)),"")</f>
        <v>140.89748328114749</v>
      </c>
    </row>
    <row r="2421" spans="1:12" x14ac:dyDescent="0.3">
      <c r="A2421" s="1">
        <v>45922</v>
      </c>
      <c r="B2421" s="3">
        <f>YEAR(Tabla3[[#This Row],[Date]])</f>
        <v>2025</v>
      </c>
      <c r="C2421" s="1" t="str">
        <f>+TEXT(Tabla3[[#This Row],[Date]],"mmm")</f>
        <v>sept</v>
      </c>
      <c r="D2421" s="2">
        <v>3740.69995117187</v>
      </c>
      <c r="E2421" s="2">
        <v>3740.69995117187</v>
      </c>
      <c r="F2421" s="2">
        <v>3748.19995117187</v>
      </c>
      <c r="G2421" s="2">
        <v>3688</v>
      </c>
      <c r="H2421" s="2">
        <v>3688.19995117187</v>
      </c>
      <c r="I2421">
        <v>410</v>
      </c>
      <c r="J2421" s="2">
        <f ca="1">IFERROR((Tabla3[[#This Row],[Close]]-OFFSET(Tabla3[[#This Row],[Close]],-1,0))/OFFSET(Tabla3[[#This Row],[Close]],-1,0),"")</f>
        <v>1.8847869037687592E-2</v>
      </c>
      <c r="K2421" s="2">
        <f ca="1">IFERROR(AVERAGE(OFFSET(Tabla3[[#This Row],[Close]],-6,0,7)),"")</f>
        <v>3679.7428152901762</v>
      </c>
      <c r="L2421" s="2">
        <f ca="1">IFERROR(_xlfn.STDEV.S(OFFSET(Tabla3[[#This Row],[Close]],-29,0,30)),"")</f>
        <v>147.39544796811799</v>
      </c>
    </row>
    <row r="2422" spans="1:12" x14ac:dyDescent="0.3">
      <c r="A2422" s="1">
        <v>45923</v>
      </c>
      <c r="B2422" s="3">
        <f>YEAR(Tabla3[[#This Row],[Date]])</f>
        <v>2025</v>
      </c>
      <c r="C2422" s="1" t="str">
        <f>+TEXT(Tabla3[[#This Row],[Date]],"mmm")</f>
        <v>sept</v>
      </c>
      <c r="D2422" s="2">
        <v>3780.60009765625</v>
      </c>
      <c r="E2422" s="2">
        <v>3780.60009765625</v>
      </c>
      <c r="F2422" s="2">
        <v>3786</v>
      </c>
      <c r="G2422" s="2">
        <v>3740</v>
      </c>
      <c r="H2422" s="2">
        <v>3747</v>
      </c>
      <c r="I2422">
        <v>627</v>
      </c>
      <c r="J2422" s="2">
        <f ca="1">IFERROR((Tabla3[[#This Row],[Close]]-OFFSET(Tabla3[[#This Row],[Close]],-1,0))/OFFSET(Tabla3[[#This Row],[Close]],-1,0),"")</f>
        <v>1.0666492101800429E-2</v>
      </c>
      <c r="K2422" s="2">
        <f ca="1">IFERROR(AVERAGE(OFFSET(Tabla3[[#This Row],[Close]],-6,0,7)),"")</f>
        <v>3698.4857003348188</v>
      </c>
      <c r="L2422" s="2">
        <f ca="1">IFERROR(_xlfn.STDEV.S(OFFSET(Tabla3[[#This Row],[Close]],-29,0,30)),"")</f>
        <v>152.78381724709948</v>
      </c>
    </row>
    <row r="2423" spans="1:12" x14ac:dyDescent="0.3">
      <c r="A2423" s="1">
        <v>45924</v>
      </c>
      <c r="B2423" s="3">
        <f>YEAR(Tabla3[[#This Row],[Date]])</f>
        <v>2025</v>
      </c>
      <c r="C2423" s="1" t="str">
        <f>+TEXT(Tabla3[[#This Row],[Date]],"mmm")</f>
        <v>sept</v>
      </c>
      <c r="D2423" s="2">
        <v>3732.10009765625</v>
      </c>
      <c r="E2423" s="2">
        <v>3732.10009765625</v>
      </c>
      <c r="F2423" s="2">
        <v>3772.5</v>
      </c>
      <c r="G2423" s="2">
        <v>3732.10009765625</v>
      </c>
      <c r="H2423" s="2">
        <v>3769.80004882812</v>
      </c>
      <c r="I2423">
        <v>588</v>
      </c>
      <c r="J2423" s="2">
        <f ca="1">IFERROR((Tabla3[[#This Row],[Close]]-OFFSET(Tabla3[[#This Row],[Close]],-1,0))/OFFSET(Tabla3[[#This Row],[Close]],-1,0),"")</f>
        <v>-1.2828651205417667E-2</v>
      </c>
      <c r="K2423" s="2">
        <f ca="1">IFERROR(AVERAGE(OFFSET(Tabla3[[#This Row],[Close]],-6,0,7)),"")</f>
        <v>3705.6142926897301</v>
      </c>
      <c r="L2423" s="2">
        <f ca="1">IFERROR(_xlfn.STDEV.S(OFFSET(Tabla3[[#This Row],[Close]],-29,0,30)),"")</f>
        <v>154.07566075757302</v>
      </c>
    </row>
    <row r="2424" spans="1:12" x14ac:dyDescent="0.3">
      <c r="A2424" s="1">
        <v>45925</v>
      </c>
      <c r="B2424" s="3">
        <f>YEAR(Tabla3[[#This Row],[Date]])</f>
        <v>2025</v>
      </c>
      <c r="C2424" s="1" t="str">
        <f>+TEXT(Tabla3[[#This Row],[Date]],"mmm")</f>
        <v>sept</v>
      </c>
      <c r="D2424" s="2">
        <v>3736.89990234375</v>
      </c>
      <c r="E2424" s="2">
        <v>3736.89990234375</v>
      </c>
      <c r="F2424" s="2">
        <v>3756</v>
      </c>
      <c r="G2424" s="2">
        <v>3724.69995117187</v>
      </c>
      <c r="H2424" s="2">
        <v>3742.80004882812</v>
      </c>
      <c r="I2424">
        <v>1899</v>
      </c>
      <c r="J2424" s="2">
        <f ca="1">IFERROR((Tabla3[[#This Row],[Close]]-OFFSET(Tabla3[[#This Row],[Close]],-1,0))/OFFSET(Tabla3[[#This Row],[Close]],-1,0),"")</f>
        <v>1.2860868041868079E-3</v>
      </c>
      <c r="K2424" s="2">
        <f ca="1">IFERROR(AVERAGE(OFFSET(Tabla3[[#This Row],[Close]],-6,0,7)),"")</f>
        <v>3712.4714355468727</v>
      </c>
      <c r="L2424" s="2">
        <f ca="1">IFERROR(_xlfn.STDEV.S(OFFSET(Tabla3[[#This Row],[Close]],-29,0,30)),"")</f>
        <v>154.88693607387825</v>
      </c>
    </row>
    <row r="2425" spans="1:12" x14ac:dyDescent="0.3">
      <c r="A2425" s="1">
        <v>45926</v>
      </c>
      <c r="B2425" s="3">
        <f>YEAR(Tabla3[[#This Row],[Date]])</f>
        <v>2025</v>
      </c>
      <c r="C2425" s="1" t="str">
        <f>+TEXT(Tabla3[[#This Row],[Date]],"mmm")</f>
        <v>sept</v>
      </c>
      <c r="D2425" s="2">
        <v>3775.30004882812</v>
      </c>
      <c r="E2425" s="2">
        <v>3775.30004882812</v>
      </c>
      <c r="F2425" s="2">
        <v>3775.30004882812</v>
      </c>
      <c r="G2425" s="2">
        <v>3775.30004882812</v>
      </c>
      <c r="H2425" s="2">
        <v>3775.30004882812</v>
      </c>
      <c r="I2425">
        <v>19308</v>
      </c>
      <c r="J2425" s="2">
        <f ca="1">IFERROR((Tabla3[[#This Row],[Close]]-OFFSET(Tabla3[[#This Row],[Close]],-1,0))/OFFSET(Tabla3[[#This Row],[Close]],-1,0),"")</f>
        <v>1.0275936601964042E-2</v>
      </c>
      <c r="K2425" s="2">
        <f ca="1">IFERROR(AVERAGE(OFFSET(Tabla3[[#This Row],[Close]],-6,0,7)),"")</f>
        <v>3725.8285784040158</v>
      </c>
      <c r="L2425" s="2">
        <f ca="1">IFERROR(_xlfn.STDEV.S(OFFSET(Tabla3[[#This Row],[Close]],-29,0,30)),"")</f>
        <v>155.22183115580629</v>
      </c>
    </row>
    <row r="2426" spans="1:12" x14ac:dyDescent="0.3">
      <c r="A2426" s="1">
        <v>45929</v>
      </c>
      <c r="B2426" s="3">
        <f>YEAR(Tabla3[[#This Row],[Date]])</f>
        <v>2025</v>
      </c>
      <c r="C2426" s="1" t="str">
        <f>+TEXT(Tabla3[[#This Row],[Date]],"mmm")</f>
        <v>sept</v>
      </c>
      <c r="D2426" s="2">
        <v>3820.89990234375</v>
      </c>
      <c r="E2426" s="2">
        <v>3820.89990234375</v>
      </c>
      <c r="F2426" s="2">
        <v>3827.60009765625</v>
      </c>
      <c r="G2426" s="2">
        <v>3754.80004882812</v>
      </c>
      <c r="H2426" s="2">
        <v>3754.80004882812</v>
      </c>
      <c r="I2426">
        <v>8860</v>
      </c>
      <c r="J2426" s="2">
        <f ca="1">IFERROR((Tabla3[[#This Row],[Close]]-OFFSET(Tabla3[[#This Row],[Close]],-1,0))/OFFSET(Tabla3[[#This Row],[Close]],-1,0),"")</f>
        <v>1.2078471360119978E-2</v>
      </c>
      <c r="K2426" s="2">
        <f ca="1">IFERROR(AVERAGE(OFFSET(Tabla3[[#This Row],[Close]],-6,0,7)),"")</f>
        <v>3751.1428571428555</v>
      </c>
      <c r="L2426" s="2">
        <f ca="1">IFERROR(_xlfn.STDEV.S(OFFSET(Tabla3[[#This Row],[Close]],-29,0,30)),"")</f>
        <v>156.42418690734641</v>
      </c>
    </row>
    <row r="2427" spans="1:12" x14ac:dyDescent="0.3">
      <c r="A2427" s="1">
        <v>45930</v>
      </c>
      <c r="B2427" s="3">
        <f>YEAR(Tabla3[[#This Row],[Date]])</f>
        <v>2025</v>
      </c>
      <c r="C2427" s="1" t="str">
        <f>+TEXT(Tabla3[[#This Row],[Date]],"mmm")</f>
        <v>sept</v>
      </c>
      <c r="D2427" s="2">
        <v>3840.80004882812</v>
      </c>
      <c r="E2427" s="2">
        <v>3840.80004882812</v>
      </c>
      <c r="F2427" s="2">
        <v>3865.5</v>
      </c>
      <c r="G2427" s="2">
        <v>3793.39990234375</v>
      </c>
      <c r="H2427" s="2">
        <v>3827.5</v>
      </c>
      <c r="I2427">
        <v>1611</v>
      </c>
      <c r="J2427" s="2">
        <f ca="1">IFERROR((Tabla3[[#This Row],[Close]]-OFFSET(Tabla3[[#This Row],[Close]],-1,0))/OFFSET(Tabla3[[#This Row],[Close]],-1,0),"")</f>
        <v>5.2082354924197823E-3</v>
      </c>
      <c r="K2427" s="2">
        <f ca="1">IFERROR(AVERAGE(OFFSET(Tabla3[[#This Row],[Close]],-6,0,7)),"")</f>
        <v>3775.3285784040158</v>
      </c>
      <c r="L2427" s="2">
        <f ca="1">IFERROR(_xlfn.STDEV.S(OFFSET(Tabla3[[#This Row],[Close]],-29,0,30)),"")</f>
        <v>156.69759872873061</v>
      </c>
    </row>
    <row r="2428" spans="1:12" x14ac:dyDescent="0.3">
      <c r="A2428" s="1">
        <v>45931</v>
      </c>
      <c r="B2428" s="3">
        <f>YEAR(Tabla3[[#This Row],[Date]])</f>
        <v>2025</v>
      </c>
      <c r="C2428" s="1" t="str">
        <f>+TEXT(Tabla3[[#This Row],[Date]],"mmm")</f>
        <v>oct</v>
      </c>
      <c r="D2428" s="2">
        <v>3867.5</v>
      </c>
      <c r="E2428" s="2">
        <v>3867.5</v>
      </c>
      <c r="F2428" s="2">
        <v>3891.89990234375</v>
      </c>
      <c r="G2428" s="2">
        <v>3853.30004882812</v>
      </c>
      <c r="H2428" s="2">
        <v>3863.5</v>
      </c>
      <c r="I2428">
        <v>1778</v>
      </c>
      <c r="J2428" s="2">
        <f ca="1">IFERROR((Tabla3[[#This Row],[Close]]-OFFSET(Tabla3[[#This Row],[Close]],-1,0))/OFFSET(Tabla3[[#This Row],[Close]],-1,0),"")</f>
        <v>6.9516639326294835E-3</v>
      </c>
      <c r="K2428" s="2">
        <f ca="1">IFERROR(AVERAGE(OFFSET(Tabla3[[#This Row],[Close]],-6,0,7)),"")</f>
        <v>3793.4428710937486</v>
      </c>
      <c r="L2428" s="2">
        <f ca="1">IFERROR(_xlfn.STDEV.S(OFFSET(Tabla3[[#This Row],[Close]],-29,0,30)),"")</f>
        <v>155.34047561002362</v>
      </c>
    </row>
    <row r="2429" spans="1:12" x14ac:dyDescent="0.3">
      <c r="A2429" s="1">
        <v>45932</v>
      </c>
      <c r="B2429" s="3">
        <f>YEAR(Tabla3[[#This Row],[Date]])</f>
        <v>2025</v>
      </c>
      <c r="C2429" s="1" t="str">
        <f>+TEXT(Tabla3[[#This Row],[Date]],"mmm")</f>
        <v>oct</v>
      </c>
      <c r="D2429" s="2">
        <v>3839.69995117187</v>
      </c>
      <c r="E2429" s="2">
        <v>3839.69995117187</v>
      </c>
      <c r="F2429" s="2">
        <v>3888.60009765625</v>
      </c>
      <c r="G2429" s="2">
        <v>3823.69995117187</v>
      </c>
      <c r="H2429" s="2">
        <v>3856.19995117187</v>
      </c>
      <c r="I2429">
        <v>3418</v>
      </c>
      <c r="J2429" s="2">
        <f ca="1">IFERROR((Tabla3[[#This Row],[Close]]-OFFSET(Tabla3[[#This Row],[Close]],-1,0))/OFFSET(Tabla3[[#This Row],[Close]],-1,0),"")</f>
        <v>-7.1881186368791218E-3</v>
      </c>
      <c r="K2429" s="2">
        <f ca="1">IFERROR(AVERAGE(OFFSET(Tabla3[[#This Row],[Close]],-6,0,7)),"")</f>
        <v>3801.8857073102658</v>
      </c>
      <c r="L2429" s="2">
        <f ca="1">IFERROR(_xlfn.STDEV.S(OFFSET(Tabla3[[#This Row],[Close]],-29,0,30)),"")</f>
        <v>152.28198092722201</v>
      </c>
    </row>
    <row r="2430" spans="1:12" x14ac:dyDescent="0.3">
      <c r="A2430" s="1">
        <v>45933</v>
      </c>
      <c r="B2430" s="3">
        <f>YEAR(Tabla3[[#This Row],[Date]])</f>
        <v>2025</v>
      </c>
      <c r="C2430" s="1" t="str">
        <f>+TEXT(Tabla3[[#This Row],[Date]],"mmm")</f>
        <v>oct</v>
      </c>
      <c r="D2430" s="2">
        <v>3880.80004882812</v>
      </c>
      <c r="E2430" s="2">
        <v>3880.80004882812</v>
      </c>
      <c r="F2430" s="2">
        <v>3886.80004882812</v>
      </c>
      <c r="G2430" s="2">
        <v>3853.69995117187</v>
      </c>
      <c r="H2430" s="2">
        <v>3855.19995117187</v>
      </c>
      <c r="I2430">
        <v>392</v>
      </c>
      <c r="J2430" s="2">
        <f ca="1">IFERROR((Tabla3[[#This Row],[Close]]-OFFSET(Tabla3[[#This Row],[Close]],-1,0))/OFFSET(Tabla3[[#This Row],[Close]],-1,0),"")</f>
        <v>1.070398681639338E-2</v>
      </c>
      <c r="K2430" s="2">
        <f ca="1">IFERROR(AVERAGE(OFFSET(Tabla3[[#This Row],[Close]],-6,0,7)),"")</f>
        <v>3823.1285574776762</v>
      </c>
      <c r="L2430" s="2">
        <f ca="1">IFERROR(_xlfn.STDEV.S(OFFSET(Tabla3[[#This Row],[Close]],-29,0,30)),"")</f>
        <v>148.85337897582855</v>
      </c>
    </row>
    <row r="2431" spans="1:12" x14ac:dyDescent="0.3">
      <c r="A2431" s="1">
        <v>45936</v>
      </c>
      <c r="B2431" s="3">
        <f>YEAR(Tabla3[[#This Row],[Date]])</f>
        <v>2025</v>
      </c>
      <c r="C2431" s="1" t="str">
        <f>+TEXT(Tabla3[[#This Row],[Date]],"mmm")</f>
        <v>oct</v>
      </c>
      <c r="D2431" s="2">
        <v>3948.5</v>
      </c>
      <c r="E2431" s="2">
        <v>3948.5</v>
      </c>
      <c r="F2431" s="2">
        <v>3960</v>
      </c>
      <c r="G2431" s="2">
        <v>3926.80004882812</v>
      </c>
      <c r="H2431" s="2">
        <v>3931.30004882812</v>
      </c>
      <c r="I2431">
        <v>1267</v>
      </c>
      <c r="J2431" s="2">
        <f ca="1">IFERROR((Tabla3[[#This Row],[Close]]-OFFSET(Tabla3[[#This Row],[Close]],-1,0))/OFFSET(Tabla3[[#This Row],[Close]],-1,0),"")</f>
        <v>1.7444843929107678E-2</v>
      </c>
      <c r="K2431" s="2">
        <f ca="1">IFERROR(AVERAGE(OFFSET(Tabla3[[#This Row],[Close]],-6,0,7)),"")</f>
        <v>3853.3571428571404</v>
      </c>
      <c r="L2431" s="2">
        <f ca="1">IFERROR(_xlfn.STDEV.S(OFFSET(Tabla3[[#This Row],[Close]],-29,0,30)),"")</f>
        <v>149.70762210843213</v>
      </c>
    </row>
    <row r="2432" spans="1:12" x14ac:dyDescent="0.3">
      <c r="A2432" s="1">
        <v>45937</v>
      </c>
      <c r="B2432" s="3">
        <f>YEAR(Tabla3[[#This Row],[Date]])</f>
        <v>2025</v>
      </c>
      <c r="C2432" s="1" t="str">
        <f>+TEXT(Tabla3[[#This Row],[Date]],"mmm")</f>
        <v>oct</v>
      </c>
      <c r="D2432" s="2">
        <v>3976.60009765625</v>
      </c>
      <c r="E2432" s="2">
        <v>3976.60009765625</v>
      </c>
      <c r="F2432" s="2">
        <v>3981.5</v>
      </c>
      <c r="G2432" s="2">
        <v>3940</v>
      </c>
      <c r="H2432" s="2">
        <v>3959.39990234375</v>
      </c>
      <c r="I2432">
        <v>2903</v>
      </c>
      <c r="J2432" s="2">
        <f ca="1">IFERROR((Tabla3[[#This Row],[Close]]-OFFSET(Tabla3[[#This Row],[Close]],-1,0))/OFFSET(Tabla3[[#This Row],[Close]],-1,0),"")</f>
        <v>7.1166512995441307E-3</v>
      </c>
      <c r="K2432" s="2">
        <f ca="1">IFERROR(AVERAGE(OFFSET(Tabla3[[#This Row],[Close]],-6,0,7)),"")</f>
        <v>3882.1142926897301</v>
      </c>
      <c r="L2432" s="2">
        <f ca="1">IFERROR(_xlfn.STDEV.S(OFFSET(Tabla3[[#This Row],[Close]],-29,0,30)),"")</f>
        <v>149.78767802442889</v>
      </c>
    </row>
    <row r="2433" spans="1:12" x14ac:dyDescent="0.3">
      <c r="A2433" s="1">
        <v>45938</v>
      </c>
      <c r="B2433" s="3">
        <f>YEAR(Tabla3[[#This Row],[Date]])</f>
        <v>2025</v>
      </c>
      <c r="C2433" s="1" t="str">
        <f>+TEXT(Tabla3[[#This Row],[Date]],"mmm")</f>
        <v>oct</v>
      </c>
      <c r="D2433" s="2">
        <v>4043.30004882812</v>
      </c>
      <c r="E2433" s="2">
        <v>4043.30004882812</v>
      </c>
      <c r="F2433" s="2">
        <v>4049.19995117187</v>
      </c>
      <c r="G2433" s="2">
        <v>3987.19995117187</v>
      </c>
      <c r="H2433" s="2">
        <v>3987.19995117187</v>
      </c>
      <c r="I2433">
        <v>2179</v>
      </c>
      <c r="J2433" s="2">
        <f ca="1">IFERROR((Tabla3[[#This Row],[Close]]-OFFSET(Tabla3[[#This Row],[Close]],-1,0))/OFFSET(Tabla3[[#This Row],[Close]],-1,0),"")</f>
        <v>1.6773110077420654E-2</v>
      </c>
      <c r="K2433" s="2">
        <f ca="1">IFERROR(AVERAGE(OFFSET(Tabla3[[#This Row],[Close]],-6,0,7)),"")</f>
        <v>3913.8857421874973</v>
      </c>
      <c r="L2433" s="2">
        <f ca="1">IFERROR(_xlfn.STDEV.S(OFFSET(Tabla3[[#This Row],[Close]],-29,0,30)),"")</f>
        <v>152.82675480410387</v>
      </c>
    </row>
    <row r="2434" spans="1:12" x14ac:dyDescent="0.3">
      <c r="A2434" s="1">
        <v>45939</v>
      </c>
      <c r="B2434" s="3">
        <f>YEAR(Tabla3[[#This Row],[Date]])</f>
        <v>2025</v>
      </c>
      <c r="C2434" s="1" t="str">
        <f>+TEXT(Tabla3[[#This Row],[Date]],"mmm")</f>
        <v>oct</v>
      </c>
      <c r="D2434" s="2">
        <v>3946.30004882812</v>
      </c>
      <c r="E2434" s="2">
        <v>3946.30004882812</v>
      </c>
      <c r="F2434" s="2">
        <v>4046.19995117187</v>
      </c>
      <c r="G2434" s="2">
        <v>3940</v>
      </c>
      <c r="H2434" s="2">
        <v>4011.19995117187</v>
      </c>
      <c r="I2434">
        <v>3130</v>
      </c>
      <c r="J2434" s="2">
        <f ca="1">IFERROR((Tabla3[[#This Row],[Close]]-OFFSET(Tabla3[[#This Row],[Close]],-1,0))/OFFSET(Tabla3[[#This Row],[Close]],-1,0),"")</f>
        <v>-2.3990304659213642E-2</v>
      </c>
      <c r="K2434" s="2">
        <f ca="1">IFERROR(AVERAGE(OFFSET(Tabla3[[#This Row],[Close]],-6,0,7)),"")</f>
        <v>3928.9571707589262</v>
      </c>
      <c r="L2434" s="2">
        <f ca="1">IFERROR(_xlfn.STDEV.S(OFFSET(Tabla3[[#This Row],[Close]],-29,0,30)),"")</f>
        <v>147.84788679353977</v>
      </c>
    </row>
    <row r="2435" spans="1:12" x14ac:dyDescent="0.3">
      <c r="A2435" s="1">
        <v>45940</v>
      </c>
      <c r="B2435" s="3">
        <f>YEAR(Tabla3[[#This Row],[Date]])</f>
        <v>2025</v>
      </c>
      <c r="C2435" s="1" t="str">
        <f>+TEXT(Tabla3[[#This Row],[Date]],"mmm")</f>
        <v>oct</v>
      </c>
      <c r="D2435" s="2">
        <v>3975.89990234375</v>
      </c>
      <c r="E2435" s="2">
        <v>3975.89990234375</v>
      </c>
      <c r="F2435" s="2">
        <v>4012</v>
      </c>
      <c r="G2435" s="2">
        <v>3945.5</v>
      </c>
      <c r="H2435" s="2">
        <v>3957</v>
      </c>
      <c r="I2435">
        <v>1697</v>
      </c>
      <c r="J2435" s="2">
        <f ca="1">IFERROR((Tabla3[[#This Row],[Close]]-OFFSET(Tabla3[[#This Row],[Close]],-1,0))/OFFSET(Tabla3[[#This Row],[Close]],-1,0),"")</f>
        <v>7.5006596430547334E-3</v>
      </c>
      <c r="K2435" s="2">
        <f ca="1">IFERROR(AVERAGE(OFFSET(Tabla3[[#This Row],[Close]],-6,0,7)),"")</f>
        <v>3944.4428710937473</v>
      </c>
      <c r="L2435" s="2">
        <f ca="1">IFERROR(_xlfn.STDEV.S(OFFSET(Tabla3[[#This Row],[Close]],-29,0,30)),"")</f>
        <v>144.02071399477336</v>
      </c>
    </row>
    <row r="2436" spans="1:12" x14ac:dyDescent="0.3">
      <c r="A2436" s="1">
        <v>45943</v>
      </c>
      <c r="B2436" s="3">
        <f>YEAR(Tabla3[[#This Row],[Date]])</f>
        <v>2025</v>
      </c>
      <c r="C2436" s="1" t="str">
        <f>+TEXT(Tabla3[[#This Row],[Date]],"mmm")</f>
        <v>oct</v>
      </c>
      <c r="D2436" s="2">
        <v>4108.60009765625</v>
      </c>
      <c r="E2436" s="2">
        <v>4108.60009765625</v>
      </c>
      <c r="F2436" s="2">
        <v>4111</v>
      </c>
      <c r="G2436" s="2">
        <v>4016</v>
      </c>
      <c r="H2436" s="2">
        <v>4016</v>
      </c>
      <c r="I2436">
        <v>1697</v>
      </c>
      <c r="J2436" s="2">
        <f ca="1">IFERROR((Tabla3[[#This Row],[Close]]-OFFSET(Tabla3[[#This Row],[Close]],-1,0))/OFFSET(Tabla3[[#This Row],[Close]],-1,0),"")</f>
        <v>3.3376140891845561E-2</v>
      </c>
      <c r="K2436" s="2">
        <f ca="1">IFERROR(AVERAGE(OFFSET(Tabla3[[#This Row],[Close]],-6,0,7)),"")</f>
        <v>3982.8571777343727</v>
      </c>
      <c r="L2436" s="2">
        <f ca="1">IFERROR(_xlfn.STDEV.S(OFFSET(Tabla3[[#This Row],[Close]],-29,0,30)),"")</f>
        <v>149.66850741692858</v>
      </c>
    </row>
    <row r="2437" spans="1:12" x14ac:dyDescent="0.3">
      <c r="A2437" s="1">
        <v>45944</v>
      </c>
      <c r="B2437" s="3">
        <f>YEAR(Tabla3[[#This Row],[Date]])</f>
        <v>2025</v>
      </c>
      <c r="C2437" s="1" t="str">
        <f>+TEXT(Tabla3[[#This Row],[Date]],"mmm")</f>
        <v>oct</v>
      </c>
      <c r="D2437" s="2">
        <v>4138.7001953125</v>
      </c>
      <c r="E2437" s="2">
        <v>4138.7001953125</v>
      </c>
      <c r="F2437" s="2">
        <v>4160.10009765625</v>
      </c>
      <c r="G2437" s="2">
        <v>4085.80004882812</v>
      </c>
      <c r="H2437" s="2">
        <v>4131.7001953125</v>
      </c>
      <c r="I2437">
        <v>2424</v>
      </c>
      <c r="J2437" s="2">
        <f ca="1">IFERROR((Tabla3[[#This Row],[Close]]-OFFSET(Tabla3[[#This Row],[Close]],-1,0))/OFFSET(Tabla3[[#This Row],[Close]],-1,0),"")</f>
        <v>7.3261200751615118E-3</v>
      </c>
      <c r="K2437" s="2">
        <f ca="1">IFERROR(AVERAGE(OFFSET(Tabla3[[#This Row],[Close]],-6,0,7)),"")</f>
        <v>4019.7000558035697</v>
      </c>
      <c r="L2437" s="2">
        <f ca="1">IFERROR(_xlfn.STDEV.S(OFFSET(Tabla3[[#This Row],[Close]],-29,0,30)),"")</f>
        <v>158.9368989901848</v>
      </c>
    </row>
    <row r="2438" spans="1:12" x14ac:dyDescent="0.3">
      <c r="A2438" s="1">
        <v>45945</v>
      </c>
      <c r="B2438" s="3">
        <f>YEAR(Tabla3[[#This Row],[Date]])</f>
        <v>2025</v>
      </c>
      <c r="C2438" s="1" t="str">
        <f>+TEXT(Tabla3[[#This Row],[Date]],"mmm")</f>
        <v>oct</v>
      </c>
      <c r="D2438" s="2">
        <v>4176.89990234375</v>
      </c>
      <c r="E2438" s="2">
        <v>4176.89990234375</v>
      </c>
      <c r="F2438" s="2">
        <v>4210.60009765625</v>
      </c>
      <c r="G2438" s="2">
        <v>4145</v>
      </c>
      <c r="H2438" s="2">
        <v>4145</v>
      </c>
      <c r="I2438">
        <v>3287</v>
      </c>
      <c r="J2438" s="2">
        <f ca="1">IFERROR((Tabla3[[#This Row],[Close]]-OFFSET(Tabla3[[#This Row],[Close]],-1,0))/OFFSET(Tabla3[[#This Row],[Close]],-1,0),"")</f>
        <v>9.229880210824418E-3</v>
      </c>
      <c r="K2438" s="2">
        <f ca="1">IFERROR(AVERAGE(OFFSET(Tabla3[[#This Row],[Close]],-6,0,7)),"")</f>
        <v>4052.3286132812486</v>
      </c>
      <c r="L2438" s="2">
        <f ca="1">IFERROR(_xlfn.STDEV.S(OFFSET(Tabla3[[#This Row],[Close]],-29,0,30)),"")</f>
        <v>170.16903253371069</v>
      </c>
    </row>
    <row r="2439" spans="1:12" x14ac:dyDescent="0.3">
      <c r="A2439" s="1">
        <v>45946</v>
      </c>
      <c r="B2439" s="3">
        <f>YEAR(Tabla3[[#This Row],[Date]])</f>
        <v>2025</v>
      </c>
      <c r="C2439" s="1" t="str">
        <f>+TEXT(Tabla3[[#This Row],[Date]],"mmm")</f>
        <v>oct</v>
      </c>
      <c r="D2439" s="2">
        <v>4280.2001953125</v>
      </c>
      <c r="E2439" s="2">
        <v>4280.2001953125</v>
      </c>
      <c r="F2439" s="2">
        <v>4307</v>
      </c>
      <c r="G2439" s="2">
        <v>4196.60009765625</v>
      </c>
      <c r="H2439" s="2">
        <v>4198.7998046875</v>
      </c>
      <c r="I2439">
        <v>4705</v>
      </c>
      <c r="J2439" s="2">
        <f ca="1">IFERROR((Tabla3[[#This Row],[Close]]-OFFSET(Tabla3[[#This Row],[Close]],-1,0))/OFFSET(Tabla3[[#This Row],[Close]],-1,0),"")</f>
        <v>2.4731330743833709E-2</v>
      </c>
      <c r="K2439" s="2">
        <f ca="1">IFERROR(AVERAGE(OFFSET(Tabla3[[#This Row],[Close]],-6,0,7)),"")</f>
        <v>4095.7000558035697</v>
      </c>
      <c r="L2439" s="2">
        <f ca="1">IFERROR(_xlfn.STDEV.S(OFFSET(Tabla3[[#This Row],[Close]],-29,0,30)),"")</f>
        <v>185.16375557847277</v>
      </c>
    </row>
    <row r="2440" spans="1:12" x14ac:dyDescent="0.3">
      <c r="A2440" s="1">
        <v>45947</v>
      </c>
      <c r="B2440" s="3">
        <f>YEAR(Tabla3[[#This Row],[Date]])</f>
        <v>2025</v>
      </c>
      <c r="C2440" s="1" t="str">
        <f>+TEXT(Tabla3[[#This Row],[Date]],"mmm")</f>
        <v>oct</v>
      </c>
      <c r="D2440" s="2">
        <v>4189.89990234375</v>
      </c>
      <c r="E2440" s="2">
        <v>4189.89990234375</v>
      </c>
      <c r="F2440" s="2">
        <v>4358</v>
      </c>
      <c r="G2440" s="2">
        <v>4182.2001953125</v>
      </c>
      <c r="H2440" s="2">
        <v>4354.7001953125</v>
      </c>
      <c r="I2440">
        <v>4060</v>
      </c>
      <c r="J2440" s="2">
        <f ca="1">IFERROR((Tabla3[[#This Row],[Close]]-OFFSET(Tabla3[[#This Row],[Close]],-1,0))/OFFSET(Tabla3[[#This Row],[Close]],-1,0),"")</f>
        <v>-2.1097212477968481E-2</v>
      </c>
      <c r="K2440" s="2">
        <f ca="1">IFERROR(AVERAGE(OFFSET(Tabla3[[#This Row],[Close]],-6,0,7)),"")</f>
        <v>4116.6428920200879</v>
      </c>
      <c r="L2440" s="2">
        <f ca="1">IFERROR(_xlfn.STDEV.S(OFFSET(Tabla3[[#This Row],[Close]],-29,0,30)),"")</f>
        <v>192.03588162344693</v>
      </c>
    </row>
    <row r="2441" spans="1:12" x14ac:dyDescent="0.3">
      <c r="A2441" s="1">
        <v>45950</v>
      </c>
      <c r="B2441" s="3">
        <f>YEAR(Tabla3[[#This Row],[Date]])</f>
        <v>2025</v>
      </c>
      <c r="C2441" s="1" t="str">
        <f>+TEXT(Tabla3[[#This Row],[Date]],"mmm")</f>
        <v>oct</v>
      </c>
      <c r="D2441" s="2">
        <v>4336.39990234375</v>
      </c>
      <c r="E2441" s="2">
        <v>4336.39990234375</v>
      </c>
      <c r="F2441" s="2">
        <v>4356.60009765625</v>
      </c>
      <c r="G2441" s="2">
        <v>4214.60009765625</v>
      </c>
      <c r="H2441" s="2">
        <v>4244.10009765625</v>
      </c>
      <c r="I2441">
        <v>1750</v>
      </c>
      <c r="J2441" s="2">
        <f ca="1">IFERROR((Tabla3[[#This Row],[Close]]-OFFSET(Tabla3[[#This Row],[Close]],-1,0))/OFFSET(Tabla3[[#This Row],[Close]],-1,0),"")</f>
        <v>3.4965035779983833E-2</v>
      </c>
      <c r="K2441" s="2">
        <f ca="1">IFERROR(AVERAGE(OFFSET(Tabla3[[#This Row],[Close]],-6,0,7)),"")</f>
        <v>4172.3714425223216</v>
      </c>
      <c r="L2441" s="2">
        <f ca="1">IFERROR(_xlfn.STDEV.S(OFFSET(Tabla3[[#This Row],[Close]],-29,0,30)),"")</f>
        <v>207.65437365933087</v>
      </c>
    </row>
    <row r="2442" spans="1:12" x14ac:dyDescent="0.3">
      <c r="A2442" s="1">
        <v>45951</v>
      </c>
      <c r="B2442" s="3">
        <f>YEAR(Tabla3[[#This Row],[Date]])</f>
        <v>2025</v>
      </c>
      <c r="C2442" s="1" t="str">
        <f>+TEXT(Tabla3[[#This Row],[Date]],"mmm")</f>
        <v>oct</v>
      </c>
      <c r="D2442" s="2">
        <v>4087.69995117187</v>
      </c>
      <c r="E2442" s="2">
        <v>4087.69995117187</v>
      </c>
      <c r="F2442" s="2">
        <v>4332.7001953125</v>
      </c>
      <c r="G2442" s="2">
        <v>4087.69995117187</v>
      </c>
      <c r="H2442" s="2">
        <v>4332.7001953125</v>
      </c>
      <c r="I2442">
        <v>2943</v>
      </c>
      <c r="J2442" s="2">
        <f ca="1">IFERROR((Tabla3[[#This Row],[Close]]-OFFSET(Tabla3[[#This Row],[Close]],-1,0))/OFFSET(Tabla3[[#This Row],[Close]],-1,0),"")</f>
        <v>-5.7351710352511985E-2</v>
      </c>
      <c r="K2442" s="2">
        <f ca="1">IFERROR(AVERAGE(OFFSET(Tabla3[[#This Row],[Close]],-6,0,7)),"")</f>
        <v>4188.3428780691956</v>
      </c>
      <c r="L2442" s="2">
        <f ca="1">IFERROR(_xlfn.STDEV.S(OFFSET(Tabla3[[#This Row],[Close]],-29,0,30)),"")</f>
        <v>206.82842559457848</v>
      </c>
    </row>
    <row r="2443" spans="1:12" x14ac:dyDescent="0.3">
      <c r="A2443" s="1">
        <v>45952</v>
      </c>
      <c r="B2443" s="3">
        <f>YEAR(Tabla3[[#This Row],[Date]])</f>
        <v>2025</v>
      </c>
      <c r="C2443" s="1" t="str">
        <f>+TEXT(Tabla3[[#This Row],[Date]],"mmm")</f>
        <v>oct</v>
      </c>
      <c r="D2443" s="2">
        <v>4044.39990234375</v>
      </c>
      <c r="E2443" s="2">
        <v>4044.39990234375</v>
      </c>
      <c r="F2443" s="2">
        <v>4148.5</v>
      </c>
      <c r="G2443" s="2">
        <v>4006</v>
      </c>
      <c r="H2443" s="2">
        <v>4109.7001953125</v>
      </c>
      <c r="I2443">
        <v>1237</v>
      </c>
      <c r="J2443" s="2">
        <f ca="1">IFERROR((Tabla3[[#This Row],[Close]]-OFFSET(Tabla3[[#This Row],[Close]],-1,0))/OFFSET(Tabla3[[#This Row],[Close]],-1,0),"")</f>
        <v>-1.059276594303519E-2</v>
      </c>
      <c r="K2443" s="2">
        <f ca="1">IFERROR(AVERAGE(OFFSET(Tabla3[[#This Row],[Close]],-6,0,7)),"")</f>
        <v>4179.1714215959819</v>
      </c>
      <c r="L2443" s="2">
        <f ca="1">IFERROR(_xlfn.STDEV.S(OFFSET(Tabla3[[#This Row],[Close]],-29,0,30)),"")</f>
        <v>203.68009119721273</v>
      </c>
    </row>
    <row r="2444" spans="1:12" x14ac:dyDescent="0.3">
      <c r="A2444" s="1">
        <v>45953</v>
      </c>
      <c r="B2444" s="3">
        <f>YEAR(Tabla3[[#This Row],[Date]])</f>
        <v>2025</v>
      </c>
      <c r="C2444" s="1" t="str">
        <f>+TEXT(Tabla3[[#This Row],[Date]],"mmm")</f>
        <v>oct</v>
      </c>
      <c r="D2444" s="2">
        <v>4125.5</v>
      </c>
      <c r="E2444" s="2">
        <v>4125.5</v>
      </c>
      <c r="F2444" s="2">
        <v>4136.7998046875</v>
      </c>
      <c r="G2444" s="2">
        <v>4070.69995117187</v>
      </c>
      <c r="H2444" s="2">
        <v>4078.39990234375</v>
      </c>
      <c r="I2444">
        <v>354</v>
      </c>
      <c r="J2444" s="2">
        <f ca="1">IFERROR((Tabla3[[#This Row],[Close]]-OFFSET(Tabla3[[#This Row],[Close]],-1,0))/OFFSET(Tabla3[[#This Row],[Close]],-1,0),"")</f>
        <v>2.0052442788669855E-2</v>
      </c>
      <c r="K2444" s="2">
        <f ca="1">IFERROR(AVERAGE(OFFSET(Tabla3[[#This Row],[Close]],-6,0,7)),"")</f>
        <v>4177.2856794084819</v>
      </c>
      <c r="L2444" s="2">
        <f ca="1">IFERROR(_xlfn.STDEV.S(OFFSET(Tabla3[[#This Row],[Close]],-29,0,30)),"")</f>
        <v>201.65330624421418</v>
      </c>
    </row>
    <row r="2445" spans="1:12" x14ac:dyDescent="0.3">
      <c r="A2445" s="1">
        <v>45954</v>
      </c>
      <c r="B2445" s="3">
        <f>YEAR(Tabla3[[#This Row],[Date]])</f>
        <v>2025</v>
      </c>
      <c r="C2445" s="1" t="str">
        <f>+TEXT(Tabla3[[#This Row],[Date]],"mmm")</f>
        <v>oct</v>
      </c>
      <c r="D2445" s="2">
        <v>4118.39990234375</v>
      </c>
      <c r="E2445" s="2">
        <v>4118.39990234375</v>
      </c>
      <c r="F2445" s="2">
        <v>4120.60009765625</v>
      </c>
      <c r="G2445" s="2">
        <v>4074.89990234375</v>
      </c>
      <c r="H2445" s="2">
        <v>4117.5</v>
      </c>
      <c r="I2445">
        <v>123</v>
      </c>
      <c r="J2445" s="2">
        <f ca="1">IFERROR((Tabla3[[#This Row],[Close]]-OFFSET(Tabla3[[#This Row],[Close]],-1,0))/OFFSET(Tabla3[[#This Row],[Close]],-1,0),"")</f>
        <v>-1.7210271860986547E-3</v>
      </c>
      <c r="K2445" s="2">
        <f ca="1">IFERROR(AVERAGE(OFFSET(Tabla3[[#This Row],[Close]],-6,0,7)),"")</f>
        <v>4168.9285365513388</v>
      </c>
      <c r="L2445" s="2">
        <f ca="1">IFERROR(_xlfn.STDEV.S(OFFSET(Tabla3[[#This Row],[Close]],-29,0,30)),"")</f>
        <v>198.61166507244243</v>
      </c>
    </row>
    <row r="2446" spans="1:12" x14ac:dyDescent="0.3">
      <c r="A2446" s="1">
        <v>45957</v>
      </c>
      <c r="B2446" s="3">
        <f>YEAR(Tabla3[[#This Row],[Date]])</f>
        <v>2025</v>
      </c>
      <c r="C2446" s="1" t="str">
        <f>+TEXT(Tabla3[[#This Row],[Date]],"mmm")</f>
        <v>oct</v>
      </c>
      <c r="D2446" s="2">
        <v>4001.89990234375</v>
      </c>
      <c r="E2446" s="2">
        <v>4001.89990234375</v>
      </c>
      <c r="F2446" s="2">
        <v>4078.60009765625</v>
      </c>
      <c r="G2446" s="2">
        <v>3971.30004882812</v>
      </c>
      <c r="H2446" s="2">
        <v>4060</v>
      </c>
      <c r="I2446">
        <v>220</v>
      </c>
      <c r="J2446" s="2">
        <f ca="1">IFERROR((Tabla3[[#This Row],[Close]]-OFFSET(Tabla3[[#This Row],[Close]],-1,0))/OFFSET(Tabla3[[#This Row],[Close]],-1,0),"")</f>
        <v>-2.8287685208447277E-2</v>
      </c>
      <c r="K2446" s="2">
        <f ca="1">IFERROR(AVERAGE(OFFSET(Tabla3[[#This Row],[Close]],-6,0,7)),"")</f>
        <v>4129.1713518415172</v>
      </c>
      <c r="L2446" s="2">
        <f ca="1">IFERROR(_xlfn.STDEV.S(OFFSET(Tabla3[[#This Row],[Close]],-29,0,30)),"")</f>
        <v>193.40152589696572</v>
      </c>
    </row>
    <row r="2447" spans="1:12" x14ac:dyDescent="0.3">
      <c r="A2447" s="1">
        <v>45958</v>
      </c>
      <c r="B2447" s="3">
        <f>YEAR(Tabla3[[#This Row],[Date]])</f>
        <v>2025</v>
      </c>
      <c r="C2447" s="1" t="str">
        <f>+TEXT(Tabla3[[#This Row],[Date]],"mmm")</f>
        <v>oct</v>
      </c>
      <c r="D2447" s="2">
        <v>3966.19995117187</v>
      </c>
      <c r="E2447" s="2">
        <v>3966.19995117187</v>
      </c>
      <c r="F2447" s="2">
        <v>3966.19995117187</v>
      </c>
      <c r="G2447" s="2">
        <v>3923.60009765625</v>
      </c>
      <c r="H2447" s="2">
        <v>3929.69995117187</v>
      </c>
      <c r="I2447">
        <v>219</v>
      </c>
      <c r="J2447" s="2">
        <f ca="1">IFERROR((Tabla3[[#This Row],[Close]]-OFFSET(Tabla3[[#This Row],[Close]],-1,0))/OFFSET(Tabla3[[#This Row],[Close]],-1,0),"")</f>
        <v>-8.9207506542010196E-3</v>
      </c>
      <c r="K2447" s="2">
        <f ca="1">IFERROR(AVERAGE(OFFSET(Tabla3[[#This Row],[Close]],-6,0,7)),"")</f>
        <v>4097.2142159598197</v>
      </c>
      <c r="L2447" s="2">
        <f ca="1">IFERROR(_xlfn.STDEV.S(OFFSET(Tabla3[[#This Row],[Close]],-29,0,30)),"")</f>
        <v>187.52332863229771</v>
      </c>
    </row>
    <row r="2448" spans="1:12" x14ac:dyDescent="0.3">
      <c r="A2448" s="1">
        <v>45959</v>
      </c>
      <c r="B2448" s="3">
        <f>YEAR(Tabla3[[#This Row],[Date]])</f>
        <v>2025</v>
      </c>
      <c r="C2448" s="1" t="str">
        <f>+TEXT(Tabla3[[#This Row],[Date]],"mmm")</f>
        <v>oct</v>
      </c>
      <c r="D2448" s="2">
        <v>3983.69995117187</v>
      </c>
      <c r="E2448" s="2">
        <v>3983.69995117187</v>
      </c>
      <c r="F2448" s="2">
        <v>3983.69995117187</v>
      </c>
      <c r="G2448" s="2">
        <v>3983.69995117187</v>
      </c>
      <c r="H2448" s="2">
        <v>3983.69995117187</v>
      </c>
      <c r="I2448">
        <v>1344</v>
      </c>
      <c r="J2448" s="2">
        <f ca="1">IFERROR((Tabla3[[#This Row],[Close]]-OFFSET(Tabla3[[#This Row],[Close]],-1,0))/OFFSET(Tabla3[[#This Row],[Close]],-1,0),"")</f>
        <v>4.4122838524137892E-3</v>
      </c>
      <c r="K2448" s="2">
        <f ca="1">IFERROR(AVERAGE(OFFSET(Tabla3[[#This Row],[Close]],-6,0,7)),"")</f>
        <v>4046.8285086495516</v>
      </c>
      <c r="L2448" s="2">
        <f ca="1">IFERROR(_xlfn.STDEV.S(OFFSET(Tabla3[[#This Row],[Close]],-29,0,30)),"")</f>
        <v>180.65018059255377</v>
      </c>
    </row>
    <row r="2449" spans="1:12" x14ac:dyDescent="0.3">
      <c r="A2449" s="1">
        <v>45960</v>
      </c>
      <c r="B2449" s="3">
        <f>YEAR(Tabla3[[#This Row],[Date]])</f>
        <v>2025</v>
      </c>
      <c r="C2449" s="1" t="str">
        <f>+TEXT(Tabla3[[#This Row],[Date]],"mmm")</f>
        <v>oct</v>
      </c>
      <c r="D2449" s="2">
        <v>4001.30004882812</v>
      </c>
      <c r="E2449" s="2">
        <v>4001.30004882812</v>
      </c>
      <c r="F2449" s="2">
        <v>4027.19995117187</v>
      </c>
      <c r="G2449" s="2">
        <v>3913.69995117187</v>
      </c>
      <c r="H2449" s="2">
        <v>3960</v>
      </c>
      <c r="I2449">
        <v>935</v>
      </c>
      <c r="J2449" s="2">
        <f ca="1">IFERROR((Tabla3[[#This Row],[Close]]-OFFSET(Tabla3[[#This Row],[Close]],-1,0))/OFFSET(Tabla3[[#This Row],[Close]],-1,0),"")</f>
        <v>4.4180279318156591E-3</v>
      </c>
      <c r="K2449" s="2">
        <f ca="1">IFERROR(AVERAGE(OFFSET(Tabla3[[#This Row],[Close]],-6,0,7)),"")</f>
        <v>4034.4856654575879</v>
      </c>
      <c r="L2449" s="2">
        <f ca="1">IFERROR(_xlfn.STDEV.S(OFFSET(Tabla3[[#This Row],[Close]],-29,0,30)),"")</f>
        <v>170.62601401865678</v>
      </c>
    </row>
    <row r="2450" spans="1:12" x14ac:dyDescent="0.3">
      <c r="A2450" s="1">
        <v>45961</v>
      </c>
      <c r="B2450" s="3">
        <f>YEAR(Tabla3[[#This Row],[Date]])</f>
        <v>2025</v>
      </c>
      <c r="C2450" s="1" t="str">
        <f>+TEXT(Tabla3[[#This Row],[Date]],"mmm")</f>
        <v>oct</v>
      </c>
      <c r="D2450" s="2">
        <v>3982.19995117187</v>
      </c>
      <c r="E2450" s="2">
        <v>3982.19995117187</v>
      </c>
      <c r="F2450" s="2">
        <v>4034.5</v>
      </c>
      <c r="G2450" s="2">
        <v>3976.60009765625</v>
      </c>
      <c r="H2450" s="2">
        <v>4034.5</v>
      </c>
      <c r="I2450">
        <v>559</v>
      </c>
      <c r="J2450" s="2">
        <f ca="1">IFERROR((Tabla3[[#This Row],[Close]]-OFFSET(Tabla3[[#This Row],[Close]],-1,0))/OFFSET(Tabla3[[#This Row],[Close]],-1,0),"")</f>
        <v>-4.7734729770750224E-3</v>
      </c>
      <c r="K2450" s="2">
        <f ca="1">IFERROR(AVERAGE(OFFSET(Tabla3[[#This Row],[Close]],-6,0,7)),"")</f>
        <v>4025.5999581473188</v>
      </c>
      <c r="L2450" s="2">
        <f ca="1">IFERROR(_xlfn.STDEV.S(OFFSET(Tabla3[[#This Row],[Close]],-29,0,30)),"")</f>
        <v>160.96070432381023</v>
      </c>
    </row>
    <row r="2451" spans="1:12" x14ac:dyDescent="0.3">
      <c r="A2451" s="1">
        <v>45964</v>
      </c>
      <c r="B2451" s="3">
        <f>YEAR(Tabla3[[#This Row],[Date]])</f>
        <v>2025</v>
      </c>
      <c r="C2451" s="1" t="str">
        <f>+TEXT(Tabla3[[#This Row],[Date]],"mmm")</f>
        <v>nov</v>
      </c>
      <c r="D2451" s="2">
        <v>4000.30004882812</v>
      </c>
      <c r="E2451" s="2">
        <v>4000.30004882812</v>
      </c>
      <c r="F2451" s="2">
        <v>4020</v>
      </c>
      <c r="G2451" s="2">
        <v>3959</v>
      </c>
      <c r="H2451" s="2">
        <v>3976.19995117187</v>
      </c>
      <c r="I2451">
        <v>0</v>
      </c>
      <c r="J2451" s="2">
        <f ca="1">IFERROR((Tabla3[[#This Row],[Close]]-OFFSET(Tabla3[[#This Row],[Close]],-1,0))/OFFSET(Tabla3[[#This Row],[Close]],-1,0),"")</f>
        <v>4.5452508357656822E-3</v>
      </c>
      <c r="K2451" s="2">
        <f ca="1">IFERROR(AVERAGE(OFFSET(Tabla3[[#This Row],[Close]],-6,0,7)),"")</f>
        <v>4007.7142508370503</v>
      </c>
      <c r="L2451" s="2">
        <f ca="1">IFERROR(_xlfn.STDEV.S(OFFSET(Tabla3[[#This Row],[Close]],-29,0,30)),"")</f>
        <v>154.40813420940501</v>
      </c>
    </row>
    <row r="2452" spans="1:12" x14ac:dyDescent="0.3">
      <c r="A2452" s="1">
        <v>45965</v>
      </c>
      <c r="B2452" s="3">
        <f>YEAR(Tabla3[[#This Row],[Date]])</f>
        <v>2025</v>
      </c>
      <c r="C2452" s="1" t="str">
        <f>+TEXT(Tabla3[[#This Row],[Date]],"mmm")</f>
        <v>nov</v>
      </c>
      <c r="D2452" s="2">
        <v>3947.69995117187</v>
      </c>
      <c r="E2452" s="2">
        <v>3947.69995117187</v>
      </c>
      <c r="F2452" s="2">
        <v>3995.39990234375</v>
      </c>
      <c r="G2452" s="2">
        <v>3927.39990234375</v>
      </c>
      <c r="H2452" s="2">
        <v>3994.19995117187</v>
      </c>
      <c r="I2452">
        <v>657</v>
      </c>
      <c r="J2452" s="2">
        <f ca="1">IFERROR((Tabla3[[#This Row],[Close]]-OFFSET(Tabla3[[#This Row],[Close]],-1,0))/OFFSET(Tabla3[[#This Row],[Close]],-1,0),"")</f>
        <v>-1.3149038075696121E-2</v>
      </c>
      <c r="K2452" s="2">
        <f ca="1">IFERROR(AVERAGE(OFFSET(Tabla3[[#This Row],[Close]],-6,0,7)),"")</f>
        <v>3983.3285435267817</v>
      </c>
      <c r="L2452" s="2">
        <f ca="1">IFERROR(_xlfn.STDEV.S(OFFSET(Tabla3[[#This Row],[Close]],-29,0,30)),"")</f>
        <v>149.52118580428055</v>
      </c>
    </row>
    <row r="2453" spans="1:12" x14ac:dyDescent="0.3">
      <c r="A2453" s="1">
        <v>45966</v>
      </c>
      <c r="B2453" s="3">
        <f>YEAR(Tabla3[[#This Row],[Date]])</f>
        <v>2025</v>
      </c>
      <c r="C2453" s="1" t="str">
        <f>+TEXT(Tabla3[[#This Row],[Date]],"mmm")</f>
        <v>nov</v>
      </c>
      <c r="D2453" s="2">
        <v>3980.30004882812</v>
      </c>
      <c r="E2453" s="2">
        <v>3980.30004882812</v>
      </c>
      <c r="F2453" s="2">
        <v>3983.5</v>
      </c>
      <c r="G2453" s="2">
        <v>3929.89990234375</v>
      </c>
      <c r="H2453" s="2">
        <v>3929.89990234375</v>
      </c>
      <c r="I2453">
        <v>559</v>
      </c>
      <c r="J2453" s="2">
        <f ca="1">IFERROR((Tabla3[[#This Row],[Close]]-OFFSET(Tabla3[[#This Row],[Close]],-1,0))/OFFSET(Tabla3[[#This Row],[Close]],-1,0),"")</f>
        <v>8.2579978365814512E-3</v>
      </c>
      <c r="K2453" s="2">
        <f ca="1">IFERROR(AVERAGE(OFFSET(Tabla3[[#This Row],[Close]],-6,0,7)),"")</f>
        <v>3980.2428501674062</v>
      </c>
      <c r="L2453" s="2">
        <f ca="1">IFERROR(_xlfn.STDEV.S(OFFSET(Tabla3[[#This Row],[Close]],-29,0,30)),"")</f>
        <v>141.05271807522348</v>
      </c>
    </row>
    <row r="2454" spans="1:12" x14ac:dyDescent="0.3">
      <c r="A2454" s="1">
        <v>45967</v>
      </c>
      <c r="B2454" s="3">
        <f>YEAR(Tabla3[[#This Row],[Date]])</f>
        <v>2025</v>
      </c>
      <c r="C2454" s="1" t="str">
        <f>+TEXT(Tabla3[[#This Row],[Date]],"mmm")</f>
        <v>nov</v>
      </c>
      <c r="D2454" s="2">
        <v>3979.89990234375</v>
      </c>
      <c r="E2454" s="2">
        <v>3979.89990234375</v>
      </c>
      <c r="F2454" s="2">
        <v>4007.5</v>
      </c>
      <c r="G2454" s="2">
        <v>3979.89990234375</v>
      </c>
      <c r="H2454" s="2">
        <v>4004</v>
      </c>
      <c r="I2454">
        <v>650</v>
      </c>
      <c r="J2454" s="2">
        <f ca="1">IFERROR((Tabla3[[#This Row],[Close]]-OFFSET(Tabla3[[#This Row],[Close]],-1,0))/OFFSET(Tabla3[[#This Row],[Close]],-1,0),"")</f>
        <v>-1.0053173867829611E-4</v>
      </c>
      <c r="K2454" s="2">
        <f ca="1">IFERROR(AVERAGE(OFFSET(Tabla3[[#This Row],[Close]],-6,0,7)),"")</f>
        <v>3982.1999860491028</v>
      </c>
      <c r="L2454" s="2">
        <f ca="1">IFERROR(_xlfn.STDEV.S(OFFSET(Tabla3[[#This Row],[Close]],-29,0,30)),"")</f>
        <v>131.85740792535</v>
      </c>
    </row>
    <row r="2455" spans="1:12" x14ac:dyDescent="0.3">
      <c r="A2455" s="1">
        <v>45968</v>
      </c>
      <c r="B2455" s="3">
        <f>YEAR(Tabla3[[#This Row],[Date]])</f>
        <v>2025</v>
      </c>
      <c r="C2455" s="1" t="str">
        <f>+TEXT(Tabla3[[#This Row],[Date]],"mmm")</f>
        <v>nov</v>
      </c>
      <c r="D2455" s="2">
        <v>3999.39990234375</v>
      </c>
      <c r="E2455" s="2">
        <v>3999.39990234375</v>
      </c>
      <c r="F2455" s="2">
        <v>3999.39990234375</v>
      </c>
      <c r="G2455" s="2">
        <v>3980.80004882812</v>
      </c>
      <c r="H2455" s="2">
        <v>3980.80004882812</v>
      </c>
      <c r="I2455">
        <v>245</v>
      </c>
      <c r="J2455" s="2">
        <f ca="1">IFERROR((Tabla3[[#This Row],[Close]]-OFFSET(Tabla3[[#This Row],[Close]],-1,0))/OFFSET(Tabla3[[#This Row],[Close]],-1,0),"")</f>
        <v>4.8996207137060191E-3</v>
      </c>
      <c r="K2455" s="2">
        <f ca="1">IFERROR(AVERAGE(OFFSET(Tabla3[[#This Row],[Close]],-6,0,7)),"")</f>
        <v>3984.442836216514</v>
      </c>
      <c r="L2455" s="2">
        <f ca="1">IFERROR(_xlfn.STDEV.S(OFFSET(Tabla3[[#This Row],[Close]],-29,0,30)),"")</f>
        <v>124.09341954520326</v>
      </c>
    </row>
    <row r="2456" spans="1:12" x14ac:dyDescent="0.3">
      <c r="A2456" s="1">
        <v>45971</v>
      </c>
      <c r="B2456" s="3">
        <f>YEAR(Tabla3[[#This Row],[Date]])</f>
        <v>2025</v>
      </c>
      <c r="C2456" s="1" t="str">
        <f>+TEXT(Tabla3[[#This Row],[Date]],"mmm")</f>
        <v>nov</v>
      </c>
      <c r="D2456" s="2">
        <v>4111.7998046875</v>
      </c>
      <c r="E2456" s="2">
        <v>4111.7998046875</v>
      </c>
      <c r="F2456" s="2">
        <v>4111.7998046875</v>
      </c>
      <c r="G2456" s="2">
        <v>4060</v>
      </c>
      <c r="H2456" s="2">
        <v>4060</v>
      </c>
      <c r="I2456">
        <v>189</v>
      </c>
      <c r="J2456" s="2">
        <f ca="1">IFERROR((Tabla3[[#This Row],[Close]]-OFFSET(Tabla3[[#This Row],[Close]],-1,0))/OFFSET(Tabla3[[#This Row],[Close]],-1,0),"")</f>
        <v>2.8104191900860127E-2</v>
      </c>
      <c r="K2456" s="2">
        <f ca="1">IFERROR(AVERAGE(OFFSET(Tabla3[[#This Row],[Close]],-6,0,7)),"")</f>
        <v>4000.2285156249968</v>
      </c>
      <c r="L2456" s="2">
        <f ca="1">IFERROR(_xlfn.STDEV.S(OFFSET(Tabla3[[#This Row],[Close]],-29,0,30)),"")</f>
        <v>119.29933411702564</v>
      </c>
    </row>
    <row r="2457" spans="1:12" x14ac:dyDescent="0.3">
      <c r="A2457" s="1">
        <v>45972</v>
      </c>
      <c r="B2457" s="3">
        <f>YEAR(Tabla3[[#This Row],[Date]])</f>
        <v>2025</v>
      </c>
      <c r="C2457" s="1" t="str">
        <f>+TEXT(Tabla3[[#This Row],[Date]],"mmm")</f>
        <v>nov</v>
      </c>
      <c r="D2457" s="2">
        <v>4106.7998046875</v>
      </c>
      <c r="E2457" s="2">
        <v>4106.7998046875</v>
      </c>
      <c r="F2457" s="2">
        <v>4140.10009765625</v>
      </c>
      <c r="G2457" s="2">
        <v>4106.7998046875</v>
      </c>
      <c r="H2457" s="2">
        <v>4140.10009765625</v>
      </c>
      <c r="I2457">
        <v>569</v>
      </c>
      <c r="J2457" s="2">
        <f ca="1">IFERROR((Tabla3[[#This Row],[Close]]-OFFSET(Tabla3[[#This Row],[Close]],-1,0))/OFFSET(Tabla3[[#This Row],[Close]],-1,0),"")</f>
        <v>-1.2160125097286938E-3</v>
      </c>
      <c r="K2457" s="2">
        <f ca="1">IFERROR(AVERAGE(OFFSET(Tabla3[[#This Row],[Close]],-6,0,7)),"")</f>
        <v>4018.0284946986585</v>
      </c>
      <c r="L2457" s="2">
        <f ca="1">IFERROR(_xlfn.STDEV.S(OFFSET(Tabla3[[#This Row],[Close]],-29,0,30)),"")</f>
        <v>114.59390810301673</v>
      </c>
    </row>
    <row r="2458" spans="1:12" x14ac:dyDescent="0.3">
      <c r="A2458" s="1">
        <v>45973</v>
      </c>
      <c r="B2458" s="3">
        <f>YEAR(Tabla3[[#This Row],[Date]])</f>
        <v>2025</v>
      </c>
      <c r="C2458" s="1" t="str">
        <f>+TEXT(Tabla3[[#This Row],[Date]],"mmm")</f>
        <v>nov</v>
      </c>
      <c r="D2458" s="2">
        <v>4204.39990234375</v>
      </c>
      <c r="E2458" s="2">
        <v>4204.39990234375</v>
      </c>
      <c r="F2458" s="2">
        <v>4204.39990234375</v>
      </c>
      <c r="G2458" s="2">
        <v>4102.89990234375</v>
      </c>
      <c r="H2458" s="2">
        <v>4115.60009765625</v>
      </c>
      <c r="I2458">
        <v>396</v>
      </c>
      <c r="J2458" s="2">
        <f ca="1">IFERROR((Tabla3[[#This Row],[Close]]-OFFSET(Tabla3[[#This Row],[Close]],-1,0))/OFFSET(Tabla3[[#This Row],[Close]],-1,0),"")</f>
        <v>2.3765487069725016E-2</v>
      </c>
      <c r="K2458" s="2">
        <f ca="1">IFERROR(AVERAGE(OFFSET(Tabla3[[#This Row],[Close]],-6,0,7)),"")</f>
        <v>4047.1856166294629</v>
      </c>
      <c r="L2458" s="2">
        <f ca="1">IFERROR(_xlfn.STDEV.S(OFFSET(Tabla3[[#This Row],[Close]],-29,0,30)),"")</f>
        <v>113.79105618246535</v>
      </c>
    </row>
    <row r="2459" spans="1:12" x14ac:dyDescent="0.3">
      <c r="A2459" s="1">
        <v>45974</v>
      </c>
      <c r="B2459" s="3">
        <f>YEAR(Tabla3[[#This Row],[Date]])</f>
        <v>2025</v>
      </c>
      <c r="C2459" s="1" t="str">
        <f>+TEXT(Tabla3[[#This Row],[Date]],"mmm")</f>
        <v>nov</v>
      </c>
      <c r="D2459" s="2">
        <v>4186.89990234375</v>
      </c>
      <c r="E2459" s="2">
        <v>4186.89990234375</v>
      </c>
      <c r="F2459" s="2">
        <v>4228.7001953125</v>
      </c>
      <c r="G2459" s="2">
        <v>4163.7001953125</v>
      </c>
      <c r="H2459" s="2">
        <v>4228.7001953125</v>
      </c>
      <c r="I2459">
        <v>167</v>
      </c>
      <c r="J2459" s="2">
        <f ca="1">IFERROR((Tabla3[[#This Row],[Close]]-OFFSET(Tabla3[[#This Row],[Close]],-1,0))/OFFSET(Tabla3[[#This Row],[Close]],-1,0),"")</f>
        <v>-4.1623062521347204E-3</v>
      </c>
      <c r="K2459" s="2">
        <f ca="1">IFERROR(AVERAGE(OFFSET(Tabla3[[#This Row],[Close]],-6,0,7)),"")</f>
        <v>4081.3570382254452</v>
      </c>
      <c r="L2459" s="2">
        <f ca="1">IFERROR(_xlfn.STDEV.S(OFFSET(Tabla3[[#This Row],[Close]],-29,0,30)),"")</f>
        <v>109.2889638187865</v>
      </c>
    </row>
    <row r="2460" spans="1:12" x14ac:dyDescent="0.3">
      <c r="A2460" s="1">
        <v>45975</v>
      </c>
      <c r="B2460" s="3">
        <f>YEAR(Tabla3[[#This Row],[Date]])</f>
        <v>2025</v>
      </c>
      <c r="C2460" s="1" t="str">
        <f>+TEXT(Tabla3[[#This Row],[Date]],"mmm")</f>
        <v>nov</v>
      </c>
      <c r="D2460" s="2">
        <v>4087.60009765625</v>
      </c>
      <c r="E2460" s="2">
        <v>4087.60009765625</v>
      </c>
      <c r="F2460" s="2">
        <v>4197.89990234375</v>
      </c>
      <c r="G2460" s="2">
        <v>4047</v>
      </c>
      <c r="H2460" s="2">
        <v>4197.7001953125</v>
      </c>
      <c r="I2460">
        <v>483</v>
      </c>
      <c r="J2460" s="2">
        <f ca="1">IFERROR((Tabla3[[#This Row],[Close]]-OFFSET(Tabla3[[#This Row],[Close]],-1,0))/OFFSET(Tabla3[[#This Row],[Close]],-1,0),"")</f>
        <v>-2.37167849730331E-2</v>
      </c>
      <c r="K2460" s="2">
        <f ca="1">IFERROR(AVERAGE(OFFSET(Tabla3[[#This Row],[Close]],-6,0,7)),"")</f>
        <v>4096.6856166294647</v>
      </c>
      <c r="L2460" s="2">
        <f ca="1">IFERROR(_xlfn.STDEV.S(OFFSET(Tabla3[[#This Row],[Close]],-29,0,30)),"")</f>
        <v>103.91904259342438</v>
      </c>
    </row>
    <row r="2461" spans="1:12" x14ac:dyDescent="0.3">
      <c r="A2461" s="1">
        <v>45978</v>
      </c>
      <c r="B2461" s="3">
        <f>YEAR(Tabla3[[#This Row],[Date]])</f>
        <v>2025</v>
      </c>
      <c r="C2461" s="1" t="str">
        <f>+TEXT(Tabla3[[#This Row],[Date]],"mmm")</f>
        <v>nov</v>
      </c>
      <c r="D2461" s="2">
        <v>4068.30004882812</v>
      </c>
      <c r="E2461" s="2">
        <v>4068.30004882812</v>
      </c>
      <c r="F2461" s="2">
        <v>4099.5</v>
      </c>
      <c r="G2461" s="2">
        <v>4019.39990234375</v>
      </c>
      <c r="H2461" s="2">
        <v>4070</v>
      </c>
      <c r="I2461">
        <v>1552</v>
      </c>
      <c r="J2461" s="2">
        <f ca="1">IFERROR((Tabla3[[#This Row],[Close]]-OFFSET(Tabla3[[#This Row],[Close]],-1,0))/OFFSET(Tabla3[[#This Row],[Close]],-1,0),"")</f>
        <v>-4.7216088577736052E-3</v>
      </c>
      <c r="K2461" s="2">
        <f ca="1">IFERROR(AVERAGE(OFFSET(Tabla3[[#This Row],[Close]],-6,0,7)),"")</f>
        <v>4109.3142089843741</v>
      </c>
      <c r="L2461" s="2">
        <f ca="1">IFERROR(_xlfn.STDEV.S(OFFSET(Tabla3[[#This Row],[Close]],-29,0,30)),"")</f>
        <v>101.44399998893275</v>
      </c>
    </row>
    <row r="2462" spans="1:12" x14ac:dyDescent="0.3">
      <c r="A2462" s="1">
        <v>45979</v>
      </c>
      <c r="B2462" s="3">
        <f>YEAR(Tabla3[[#This Row],[Date]])</f>
        <v>2025</v>
      </c>
      <c r="C2462" s="1" t="str">
        <f>+TEXT(Tabla3[[#This Row],[Date]],"mmm")</f>
        <v>nov</v>
      </c>
      <c r="D2462" s="2">
        <v>4061.30004882812</v>
      </c>
      <c r="E2462" s="2">
        <v>4061.30004882812</v>
      </c>
      <c r="F2462" s="2">
        <v>4063.39990234375</v>
      </c>
      <c r="G2462" s="2">
        <v>4035.60009765625</v>
      </c>
      <c r="H2462" s="2">
        <v>4037.39990234375</v>
      </c>
      <c r="I2462">
        <v>1375</v>
      </c>
      <c r="J2462" s="2">
        <f ca="1">IFERROR((Tabla3[[#This Row],[Close]]-OFFSET(Tabla3[[#This Row],[Close]],-1,0))/OFFSET(Tabla3[[#This Row],[Close]],-1,0),"")</f>
        <v>-1.7206203859069737E-3</v>
      </c>
      <c r="K2462" s="2">
        <f ca="1">IFERROR(AVERAGE(OFFSET(Tabla3[[#This Row],[Close]],-6,0,7)),"")</f>
        <v>4118.1570870535706</v>
      </c>
      <c r="L2462" s="2">
        <f ca="1">IFERROR(_xlfn.STDEV.S(OFFSET(Tabla3[[#This Row],[Close]],-29,0,30)),"")</f>
        <v>99.866117481393673</v>
      </c>
    </row>
    <row r="2463" spans="1:12" x14ac:dyDescent="0.3">
      <c r="A2463" s="1">
        <v>45980</v>
      </c>
      <c r="B2463" s="3">
        <f>YEAR(Tabla3[[#This Row],[Date]])</f>
        <v>2025</v>
      </c>
      <c r="C2463" s="1" t="str">
        <f>+TEXT(Tabla3[[#This Row],[Date]],"mmm")</f>
        <v>nov</v>
      </c>
      <c r="D2463" s="2">
        <v>4077.69995117187</v>
      </c>
      <c r="E2463" s="2">
        <v>4077.69995117187</v>
      </c>
      <c r="F2463" s="2">
        <v>4122.7001953125</v>
      </c>
      <c r="G2463" s="2">
        <v>4072</v>
      </c>
      <c r="H2463" s="2">
        <v>4086.10009765625</v>
      </c>
      <c r="I2463">
        <v>486</v>
      </c>
      <c r="J2463" s="2">
        <f ca="1">IFERROR((Tabla3[[#This Row],[Close]]-OFFSET(Tabla3[[#This Row],[Close]],-1,0))/OFFSET(Tabla3[[#This Row],[Close]],-1,0),"")</f>
        <v>4.0380917801141432E-3</v>
      </c>
      <c r="K2463" s="2">
        <f ca="1">IFERROR(AVERAGE(OFFSET(Tabla3[[#This Row],[Close]],-6,0,7)),"")</f>
        <v>4113.285679408481</v>
      </c>
      <c r="L2463" s="2">
        <f ca="1">IFERROR(_xlfn.STDEV.S(OFFSET(Tabla3[[#This Row],[Close]],-29,0,30)),"")</f>
        <v>99.690010682590326</v>
      </c>
    </row>
    <row r="2464" spans="1:12" x14ac:dyDescent="0.3">
      <c r="A2464" s="1">
        <v>45981</v>
      </c>
      <c r="B2464" s="3">
        <f>YEAR(Tabla3[[#This Row],[Date]])</f>
        <v>2025</v>
      </c>
      <c r="C2464" s="1" t="str">
        <f>+TEXT(Tabla3[[#This Row],[Date]],"mmm")</f>
        <v>nov</v>
      </c>
      <c r="D2464" s="2">
        <v>4056.5</v>
      </c>
      <c r="E2464" s="2">
        <v>4056.5</v>
      </c>
      <c r="F2464" s="2">
        <v>4090.39990234375</v>
      </c>
      <c r="G2464" s="2">
        <v>4040.19995117187</v>
      </c>
      <c r="H2464" s="2">
        <v>4045</v>
      </c>
      <c r="I2464">
        <v>202</v>
      </c>
      <c r="J2464" s="2">
        <f ca="1">IFERROR((Tabla3[[#This Row],[Close]]-OFFSET(Tabla3[[#This Row],[Close]],-1,0))/OFFSET(Tabla3[[#This Row],[Close]],-1,0),"")</f>
        <v>-5.198997333233763E-3</v>
      </c>
      <c r="K2464" s="2">
        <f ca="1">IFERROR(AVERAGE(OFFSET(Tabla3[[#This Row],[Close]],-6,0,7)),"")</f>
        <v>4106.0999930245516</v>
      </c>
      <c r="L2464" s="2">
        <f ca="1">IFERROR(_xlfn.STDEV.S(OFFSET(Tabla3[[#This Row],[Close]],-29,0,30)),"")</f>
        <v>96.736971050188359</v>
      </c>
    </row>
    <row r="2465" spans="1:12" x14ac:dyDescent="0.3">
      <c r="A2465" s="1">
        <v>45982</v>
      </c>
      <c r="B2465" s="3">
        <f>YEAR(Tabla3[[#This Row],[Date]])</f>
        <v>2025</v>
      </c>
      <c r="C2465" s="1" t="str">
        <f>+TEXT(Tabla3[[#This Row],[Date]],"mmm")</f>
        <v>nov</v>
      </c>
      <c r="D2465" s="2">
        <v>4076.69995117187</v>
      </c>
      <c r="E2465" s="2">
        <v>4076.69995117187</v>
      </c>
      <c r="F2465" s="2">
        <v>4085.19995117187</v>
      </c>
      <c r="G2465" s="2">
        <v>4031.80004882812</v>
      </c>
      <c r="H2465" s="2">
        <v>4031.80004882812</v>
      </c>
      <c r="I2465">
        <v>171</v>
      </c>
      <c r="J2465" s="2">
        <f ca="1">IFERROR((Tabla3[[#This Row],[Close]]-OFFSET(Tabla3[[#This Row],[Close]],-1,0))/OFFSET(Tabla3[[#This Row],[Close]],-1,0),"")</f>
        <v>4.9796502334204362E-3</v>
      </c>
      <c r="K2465" s="2">
        <f ca="1">IFERROR(AVERAGE(OFFSET(Tabla3[[#This Row],[Close]],-6,0,7)),"")</f>
        <v>4087.8571428571404</v>
      </c>
      <c r="L2465" s="2">
        <f ca="1">IFERROR(_xlfn.STDEV.S(OFFSET(Tabla3[[#This Row],[Close]],-29,0,30)),"")</f>
        <v>94.742352509215607</v>
      </c>
    </row>
    <row r="2466" spans="1:12" x14ac:dyDescent="0.3">
      <c r="A2466" s="1">
        <v>45985</v>
      </c>
      <c r="B2466" s="3">
        <f>YEAR(Tabla3[[#This Row],[Date]])</f>
        <v>2025</v>
      </c>
      <c r="C2466" s="1" t="str">
        <f>+TEXT(Tabla3[[#This Row],[Date]],"mmm")</f>
        <v>nov</v>
      </c>
      <c r="D2466" s="2">
        <v>4091.89990234375</v>
      </c>
      <c r="E2466" s="2">
        <v>4091.89990234375</v>
      </c>
      <c r="F2466" s="2">
        <v>4091.89990234375</v>
      </c>
      <c r="G2466" s="2">
        <v>4060.5</v>
      </c>
      <c r="H2466" s="2">
        <v>4060.5</v>
      </c>
      <c r="I2466">
        <v>591</v>
      </c>
      <c r="J2466" s="2">
        <f ca="1">IFERROR((Tabla3[[#This Row],[Close]]-OFFSET(Tabla3[[#This Row],[Close]],-1,0))/OFFSET(Tabla3[[#This Row],[Close]],-1,0),"")</f>
        <v>3.7284939666728948E-3</v>
      </c>
      <c r="K2466" s="2">
        <f ca="1">IFERROR(AVERAGE(OFFSET(Tabla3[[#This Row],[Close]],-6,0,7)),"")</f>
        <v>4074.2857142857115</v>
      </c>
      <c r="L2466" s="2">
        <f ca="1">IFERROR(_xlfn.STDEV.S(OFFSET(Tabla3[[#This Row],[Close]],-29,0,30)),"")</f>
        <v>94.635263732812959</v>
      </c>
    </row>
    <row r="2467" spans="1:12" x14ac:dyDescent="0.3">
      <c r="A2467" s="1">
        <v>45986</v>
      </c>
      <c r="B2467" s="3">
        <f>YEAR(Tabla3[[#This Row],[Date]])</f>
        <v>2025</v>
      </c>
      <c r="C2467" s="1" t="str">
        <f>+TEXT(Tabla3[[#This Row],[Date]],"mmm")</f>
        <v>nov</v>
      </c>
      <c r="D2467" s="2">
        <v>4139.2001953125</v>
      </c>
      <c r="E2467" s="2">
        <v>4139.2001953125</v>
      </c>
      <c r="F2467" s="2">
        <v>4139.2001953125</v>
      </c>
      <c r="G2467" s="2">
        <v>4139.2001953125</v>
      </c>
      <c r="H2467" s="2">
        <v>4139.2001953125</v>
      </c>
      <c r="I2467">
        <v>132704</v>
      </c>
      <c r="J2467" s="2">
        <f ca="1">IFERROR((Tabla3[[#This Row],[Close]]-OFFSET(Tabla3[[#This Row],[Close]],-1,0))/OFFSET(Tabla3[[#This Row],[Close]],-1,0),"")</f>
        <v>1.1559494146388438E-2</v>
      </c>
      <c r="K2467" s="2">
        <f ca="1">IFERROR(AVERAGE(OFFSET(Tabla3[[#This Row],[Close]],-6,0,7)),"")</f>
        <v>4081.6571568080331</v>
      </c>
      <c r="L2467" s="2">
        <f ca="1">IFERROR(_xlfn.STDEV.S(OFFSET(Tabla3[[#This Row],[Close]],-29,0,30)),"")</f>
        <v>94.645571088985491</v>
      </c>
    </row>
    <row r="2468" spans="1:12" x14ac:dyDescent="0.3">
      <c r="A2468" s="1">
        <v>45987</v>
      </c>
      <c r="B2468" s="3">
        <f>YEAR(Tabla3[[#This Row],[Date]])</f>
        <v>2025</v>
      </c>
      <c r="C2468" s="1" t="str">
        <f>+TEXT(Tabla3[[#This Row],[Date]],"mmm")</f>
        <v>nov</v>
      </c>
      <c r="D2468" s="2">
        <v>4165.2001953125</v>
      </c>
      <c r="E2468" s="2">
        <v>4165.2001953125</v>
      </c>
      <c r="F2468" s="2">
        <v>4171</v>
      </c>
      <c r="G2468" s="2">
        <v>4127.5</v>
      </c>
      <c r="H2468" s="2">
        <v>4128.60009765625</v>
      </c>
      <c r="I2468">
        <v>25088</v>
      </c>
      <c r="J2468" s="2">
        <f ca="1">IFERROR((Tabla3[[#This Row],[Close]]-OFFSET(Tabla3[[#This Row],[Close]],-1,0))/OFFSET(Tabla3[[#This Row],[Close]],-1,0),"")</f>
        <v>6.2814067387811038E-3</v>
      </c>
      <c r="K2468" s="2">
        <f ca="1">IFERROR(AVERAGE(OFFSET(Tabla3[[#This Row],[Close]],-6,0,7)),"")</f>
        <v>4095.5000348772301</v>
      </c>
      <c r="L2468" s="2">
        <f ca="1">IFERROR(_xlfn.STDEV.S(OFFSET(Tabla3[[#This Row],[Close]],-29,0,30)),"")</f>
        <v>94.26601188039669</v>
      </c>
    </row>
    <row r="2469" spans="1:12" x14ac:dyDescent="0.3">
      <c r="A2469" s="1">
        <v>45989</v>
      </c>
      <c r="B2469" s="3">
        <f>YEAR(Tabla3[[#This Row],[Date]])</f>
        <v>2025</v>
      </c>
      <c r="C2469" s="1" t="str">
        <f>+TEXT(Tabla3[[#This Row],[Date]],"mmm")</f>
        <v>nov</v>
      </c>
      <c r="D2469" s="2">
        <v>4218.2998046875</v>
      </c>
      <c r="E2469" s="2">
        <v>4218.2998046875</v>
      </c>
      <c r="F2469" s="2">
        <v>4223.89990234375</v>
      </c>
      <c r="G2469" s="2">
        <v>4140</v>
      </c>
      <c r="H2469" s="2">
        <v>4163.39990234375</v>
      </c>
      <c r="I2469">
        <v>3615</v>
      </c>
      <c r="J2469" s="2">
        <f ca="1">IFERROR((Tabla3[[#This Row],[Close]]-OFFSET(Tabla3[[#This Row],[Close]],-1,0))/OFFSET(Tabla3[[#This Row],[Close]],-1,0),"")</f>
        <v>1.2748393086785622E-2</v>
      </c>
      <c r="K2469" s="2">
        <f ca="1">IFERROR(AVERAGE(OFFSET(Tabla3[[#This Row],[Close]],-6,0,7)),"")</f>
        <v>4117.9285714285697</v>
      </c>
      <c r="L2469" s="2">
        <f ca="1">IFERROR(_xlfn.STDEV.S(OFFSET(Tabla3[[#This Row],[Close]],-29,0,30)),"")</f>
        <v>90.37502421195768</v>
      </c>
    </row>
    <row r="2470" spans="1:12" x14ac:dyDescent="0.3">
      <c r="A2470" s="1">
        <v>45992</v>
      </c>
      <c r="B2470" s="3">
        <f>YEAR(Tabla3[[#This Row],[Date]])</f>
        <v>2025</v>
      </c>
      <c r="C2470" s="1" t="str">
        <f>+TEXT(Tabla3[[#This Row],[Date]],"mmm")</f>
        <v>dic</v>
      </c>
      <c r="D2470" s="2">
        <v>4239.2998046875</v>
      </c>
      <c r="E2470" s="2">
        <v>4239.2998046875</v>
      </c>
      <c r="F2470" s="2">
        <v>4262.10009765625</v>
      </c>
      <c r="G2470" s="2">
        <v>4214.89990234375</v>
      </c>
      <c r="H2470" s="2">
        <v>4218.5</v>
      </c>
      <c r="I2470">
        <v>913</v>
      </c>
      <c r="J2470" s="2">
        <f ca="1">IFERROR((Tabla3[[#This Row],[Close]]-OFFSET(Tabla3[[#This Row],[Close]],-1,0))/OFFSET(Tabla3[[#This Row],[Close]],-1,0),"")</f>
        <v>4.9783090278846887E-3</v>
      </c>
      <c r="K2470" s="2">
        <f ca="1">IFERROR(AVERAGE(OFFSET(Tabla3[[#This Row],[Close]],-6,0,7)),"")</f>
        <v>4141.0142647879456</v>
      </c>
      <c r="L2470" s="2">
        <f ca="1">IFERROR(_xlfn.STDEV.S(OFFSET(Tabla3[[#This Row],[Close]],-29,0,30)),"")</f>
        <v>92.863646508537357</v>
      </c>
    </row>
    <row r="2471" spans="1:12" x14ac:dyDescent="0.3">
      <c r="A2471" s="1">
        <v>45993</v>
      </c>
      <c r="B2471" s="3">
        <f>YEAR(Tabla3[[#This Row],[Date]])</f>
        <v>2025</v>
      </c>
      <c r="C2471" s="1" t="str">
        <f>+TEXT(Tabla3[[#This Row],[Date]],"mmm")</f>
        <v>dic</v>
      </c>
      <c r="D2471" s="2">
        <v>4186.60009765625</v>
      </c>
      <c r="E2471" s="2">
        <v>4186.60009765625</v>
      </c>
      <c r="F2471" s="2">
        <v>4230.5</v>
      </c>
      <c r="G2471" s="2">
        <v>4167</v>
      </c>
      <c r="H2471" s="2">
        <v>4230.5</v>
      </c>
      <c r="I2471">
        <v>366</v>
      </c>
      <c r="J2471" s="2">
        <f ca="1">IFERROR((Tabla3[[#This Row],[Close]]-OFFSET(Tabla3[[#This Row],[Close]],-1,0))/OFFSET(Tabla3[[#This Row],[Close]],-1,0),"")</f>
        <v>-1.24312290848075E-2</v>
      </c>
      <c r="K2471" s="2">
        <f ca="1">IFERROR(AVERAGE(OFFSET(Tabla3[[#This Row],[Close]],-6,0,7)),"")</f>
        <v>4159.5999930245525</v>
      </c>
      <c r="L2471" s="2">
        <f ca="1">IFERROR(_xlfn.STDEV.S(OFFSET(Tabla3[[#This Row],[Close]],-29,0,30)),"")</f>
        <v>82.091638730089116</v>
      </c>
    </row>
    <row r="2472" spans="1:12" x14ac:dyDescent="0.3">
      <c r="A2472" s="1">
        <v>45994</v>
      </c>
      <c r="B2472" s="3">
        <f>YEAR(Tabla3[[#This Row],[Date]])</f>
        <v>2025</v>
      </c>
      <c r="C2472" s="1" t="str">
        <f>+TEXT(Tabla3[[#This Row],[Date]],"mmm")</f>
        <v>dic</v>
      </c>
      <c r="D2472" s="2">
        <v>4199.2998046875</v>
      </c>
      <c r="E2472" s="2">
        <v>4199.2998046875</v>
      </c>
      <c r="F2472" s="2">
        <v>4234.10009765625</v>
      </c>
      <c r="G2472" s="2">
        <v>4195.7001953125</v>
      </c>
      <c r="H2472" s="2">
        <v>4215.7001953125</v>
      </c>
      <c r="I2472">
        <v>1897</v>
      </c>
      <c r="J2472" s="2">
        <f ca="1">IFERROR((Tabla3[[#This Row],[Close]]-OFFSET(Tabla3[[#This Row],[Close]],-1,0))/OFFSET(Tabla3[[#This Row],[Close]],-1,0),"")</f>
        <v>3.0334177459078486E-3</v>
      </c>
      <c r="K2472" s="2">
        <f ca="1">IFERROR(AVERAGE(OFFSET(Tabla3[[#This Row],[Close]],-6,0,7)),"")</f>
        <v>4177.1142578125</v>
      </c>
      <c r="L2472" s="2">
        <f ca="1">IFERROR(_xlfn.STDEV.S(OFFSET(Tabla3[[#This Row],[Close]],-29,0,30)),"")</f>
        <v>85.086858575029751</v>
      </c>
    </row>
    <row r="2473" spans="1:12" x14ac:dyDescent="0.3">
      <c r="A2473" s="1">
        <v>45995</v>
      </c>
      <c r="B2473" s="3">
        <f>YEAR(Tabla3[[#This Row],[Date]])</f>
        <v>2025</v>
      </c>
      <c r="C2473" s="1" t="str">
        <f>+TEXT(Tabla3[[#This Row],[Date]],"mmm")</f>
        <v>dic</v>
      </c>
      <c r="D2473" s="2">
        <v>4211.7998046875</v>
      </c>
      <c r="E2473" s="2">
        <v>4211.7998046875</v>
      </c>
      <c r="F2473" s="2">
        <v>4211.7998046875</v>
      </c>
      <c r="G2473" s="2">
        <v>4175</v>
      </c>
      <c r="H2473" s="2">
        <v>4211</v>
      </c>
      <c r="I2473">
        <v>616</v>
      </c>
      <c r="J2473" s="2">
        <f ca="1">IFERROR((Tabla3[[#This Row],[Close]]-OFFSET(Tabla3[[#This Row],[Close]],-1,0))/OFFSET(Tabla3[[#This Row],[Close]],-1,0),"")</f>
        <v>2.9766867290701134E-3</v>
      </c>
      <c r="K2473" s="2">
        <f ca="1">IFERROR(AVERAGE(OFFSET(Tabla3[[#This Row],[Close]],-6,0,7)),"")</f>
        <v>4194.2428152901784</v>
      </c>
      <c r="L2473" s="2">
        <f ca="1">IFERROR(_xlfn.STDEV.S(OFFSET(Tabla3[[#This Row],[Close]],-29,0,30)),"")</f>
        <v>88.087483140899948</v>
      </c>
    </row>
    <row r="2474" spans="1:12" x14ac:dyDescent="0.3">
      <c r="A2474" s="1">
        <v>45996</v>
      </c>
      <c r="B2474" s="3">
        <f>YEAR(Tabla3[[#This Row],[Date]])</f>
        <v>2025</v>
      </c>
      <c r="C2474" s="1" t="str">
        <f>+TEXT(Tabla3[[#This Row],[Date]],"mmm")</f>
        <v>dic</v>
      </c>
      <c r="D2474" s="2">
        <v>4212.89990234375</v>
      </c>
      <c r="E2474" s="2">
        <v>4212.89990234375</v>
      </c>
      <c r="F2474" s="2">
        <v>4255.7001953125</v>
      </c>
      <c r="G2474" s="2">
        <v>4194.5</v>
      </c>
      <c r="H2474" s="2">
        <v>4204.10009765625</v>
      </c>
      <c r="I2474">
        <v>533</v>
      </c>
      <c r="J2474" s="2">
        <f ca="1">IFERROR((Tabla3[[#This Row],[Close]]-OFFSET(Tabla3[[#This Row],[Close]],-1,0))/OFFSET(Tabla3[[#This Row],[Close]],-1,0),"")</f>
        <v>2.6119419423156157E-4</v>
      </c>
      <c r="K2474" s="2">
        <f ca="1">IFERROR(AVERAGE(OFFSET(Tabla3[[#This Row],[Close]],-6,0,7)),"")</f>
        <v>4204.7713448660716</v>
      </c>
      <c r="L2474" s="2">
        <f ca="1">IFERROR(_xlfn.STDEV.S(OFFSET(Tabla3[[#This Row],[Close]],-29,0,30)),"")</f>
        <v>90.845156249441288</v>
      </c>
    </row>
    <row r="2475" spans="1:12" x14ac:dyDescent="0.3">
      <c r="A2475" s="1">
        <v>45999</v>
      </c>
      <c r="B2475" s="3">
        <f>YEAR(Tabla3[[#This Row],[Date]])</f>
        <v>2025</v>
      </c>
      <c r="C2475" s="1" t="str">
        <f>+TEXT(Tabla3[[#This Row],[Date]],"mmm")</f>
        <v>dic</v>
      </c>
      <c r="D2475" s="2">
        <v>4187.2001953125</v>
      </c>
      <c r="E2475" s="2">
        <v>4187.2001953125</v>
      </c>
      <c r="F2475" s="2">
        <v>4215.7998046875</v>
      </c>
      <c r="G2475" s="2">
        <v>4175.5</v>
      </c>
      <c r="H2475" s="2">
        <v>4205.5</v>
      </c>
      <c r="I2475">
        <v>318</v>
      </c>
      <c r="J2475" s="2">
        <f ca="1">IFERROR((Tabla3[[#This Row],[Close]]-OFFSET(Tabla3[[#This Row],[Close]],-1,0))/OFFSET(Tabla3[[#This Row],[Close]],-1,0),"")</f>
        <v>-6.100241550233026E-3</v>
      </c>
      <c r="K2475" s="2">
        <f ca="1">IFERROR(AVERAGE(OFFSET(Tabla3[[#This Row],[Close]],-6,0,7)),"")</f>
        <v>4207.9142020089284</v>
      </c>
      <c r="L2475" s="2">
        <f ca="1">IFERROR(_xlfn.STDEV.S(OFFSET(Tabla3[[#This Row],[Close]],-29,0,30)),"")</f>
        <v>92.472179484413147</v>
      </c>
    </row>
    <row r="2476" spans="1:12" x14ac:dyDescent="0.3">
      <c r="A2476" s="1">
        <v>46000</v>
      </c>
      <c r="B2476" s="3">
        <f>YEAR(Tabla3[[#This Row],[Date]])</f>
        <v>2025</v>
      </c>
      <c r="C2476" s="1" t="str">
        <f>+TEXT(Tabla3[[#This Row],[Date]],"mmm")</f>
        <v>dic</v>
      </c>
      <c r="D2476" s="2">
        <v>4206.7001953125</v>
      </c>
      <c r="E2476" s="2">
        <v>4206.7001953125</v>
      </c>
      <c r="F2476" s="2">
        <v>4219.7001953125</v>
      </c>
      <c r="G2476" s="2">
        <v>4177.7001953125</v>
      </c>
      <c r="H2476" s="2">
        <v>4190.7001953125</v>
      </c>
      <c r="I2476">
        <v>660</v>
      </c>
      <c r="J2476" s="2">
        <f ca="1">IFERROR((Tabla3[[#This Row],[Close]]-OFFSET(Tabla3[[#This Row],[Close]],-1,0))/OFFSET(Tabla3[[#This Row],[Close]],-1,0),"")</f>
        <v>4.6570498400888309E-3</v>
      </c>
      <c r="K2476" s="2">
        <f ca="1">IFERROR(AVERAGE(OFFSET(Tabla3[[#This Row],[Close]],-6,0,7)),"")</f>
        <v>4206.2571149553569</v>
      </c>
      <c r="L2476" s="2">
        <f ca="1">IFERROR(_xlfn.STDEV.S(OFFSET(Tabla3[[#This Row],[Close]],-29,0,30)),"")</f>
        <v>93.217604977574297</v>
      </c>
    </row>
    <row r="2477" spans="1:12" x14ac:dyDescent="0.3">
      <c r="A2477" s="1">
        <v>46001</v>
      </c>
      <c r="B2477" s="3">
        <f>YEAR(Tabla3[[#This Row],[Date]])</f>
        <v>2025</v>
      </c>
      <c r="C2477" s="1" t="str">
        <f>+TEXT(Tabla3[[#This Row],[Date]],"mmm")</f>
        <v>dic</v>
      </c>
      <c r="D2477" s="2">
        <v>4196.39990234375</v>
      </c>
      <c r="E2477" s="2">
        <v>4196.39990234375</v>
      </c>
      <c r="F2477" s="2">
        <v>4234.5</v>
      </c>
      <c r="G2477" s="2">
        <v>4183.60009765625</v>
      </c>
      <c r="H2477" s="2">
        <v>4209</v>
      </c>
      <c r="I2477">
        <v>692</v>
      </c>
      <c r="J2477" s="2">
        <f ca="1">IFERROR((Tabla3[[#This Row],[Close]]-OFFSET(Tabla3[[#This Row],[Close]],-1,0))/OFFSET(Tabla3[[#This Row],[Close]],-1,0),"")</f>
        <v>-2.448544581386511E-3</v>
      </c>
      <c r="K2477" s="2">
        <f ca="1">IFERROR(AVERAGE(OFFSET(Tabla3[[#This Row],[Close]],-6,0,7)),"")</f>
        <v>4200.1285574776784</v>
      </c>
      <c r="L2477" s="2">
        <f ca="1">IFERROR(_xlfn.STDEV.S(OFFSET(Tabla3[[#This Row],[Close]],-29,0,30)),"")</f>
        <v>91.45960778791823</v>
      </c>
    </row>
    <row r="2478" spans="1:12" x14ac:dyDescent="0.3">
      <c r="A2478" s="1">
        <v>46002</v>
      </c>
      <c r="B2478" s="3">
        <f>YEAR(Tabla3[[#This Row],[Date]])</f>
        <v>2025</v>
      </c>
      <c r="C2478" s="1" t="str">
        <f>+TEXT(Tabla3[[#This Row],[Date]],"mmm")</f>
        <v>dic</v>
      </c>
      <c r="D2478" s="2">
        <v>4285.5</v>
      </c>
      <c r="E2478" s="2">
        <v>4285.5</v>
      </c>
      <c r="F2478" s="2">
        <v>4286.89990234375</v>
      </c>
      <c r="G2478" s="2">
        <v>4214.2998046875</v>
      </c>
      <c r="H2478" s="2">
        <v>4224</v>
      </c>
      <c r="I2478">
        <v>528</v>
      </c>
      <c r="J2478" s="2">
        <f ca="1">IFERROR((Tabla3[[#This Row],[Close]]-OFFSET(Tabla3[[#This Row],[Close]],-1,0))/OFFSET(Tabla3[[#This Row],[Close]],-1,0),"")</f>
        <v>2.1232508752677817E-2</v>
      </c>
      <c r="K2478" s="2">
        <f ca="1">IFERROR(AVERAGE(OFFSET(Tabla3[[#This Row],[Close]],-6,0,7)),"")</f>
        <v>4214.2571149553569</v>
      </c>
      <c r="L2478" s="2">
        <f ca="1">IFERROR(_xlfn.STDEV.S(OFFSET(Tabla3[[#This Row],[Close]],-29,0,30)),"")</f>
        <v>94.149052890112785</v>
      </c>
    </row>
    <row r="2479" spans="1:12" x14ac:dyDescent="0.3">
      <c r="A2479" s="1">
        <v>46003</v>
      </c>
      <c r="B2479" s="3">
        <f>YEAR(Tabla3[[#This Row],[Date]])</f>
        <v>2025</v>
      </c>
      <c r="C2479" s="1" t="str">
        <f>+TEXT(Tabla3[[#This Row],[Date]],"mmm")</f>
        <v>dic</v>
      </c>
      <c r="D2479" s="2">
        <v>4300.10009765625</v>
      </c>
      <c r="E2479" s="2">
        <v>4300.10009765625</v>
      </c>
      <c r="F2479" s="2">
        <v>4355</v>
      </c>
      <c r="G2479" s="2">
        <v>4260</v>
      </c>
      <c r="H2479" s="2">
        <v>4276.39990234375</v>
      </c>
      <c r="I2479">
        <v>1531</v>
      </c>
      <c r="J2479" s="2">
        <f ca="1">IFERROR((Tabla3[[#This Row],[Close]]-OFFSET(Tabla3[[#This Row],[Close]],-1,0))/OFFSET(Tabla3[[#This Row],[Close]],-1,0),"")</f>
        <v>3.406859796114806E-3</v>
      </c>
      <c r="K2479" s="2">
        <f ca="1">IFERROR(AVERAGE(OFFSET(Tabla3[[#This Row],[Close]],-6,0,7)),"")</f>
        <v>4228.6571568080353</v>
      </c>
      <c r="L2479" s="2">
        <f ca="1">IFERROR(_xlfn.STDEV.S(OFFSET(Tabla3[[#This Row],[Close]],-29,0,30)),"")</f>
        <v>97.384620926734627</v>
      </c>
    </row>
    <row r="2480" spans="1:12" x14ac:dyDescent="0.3">
      <c r="A2480" s="1">
        <v>46006</v>
      </c>
      <c r="B2480" s="3">
        <f>YEAR(Tabla3[[#This Row],[Date]])</f>
        <v>2025</v>
      </c>
      <c r="C2480" s="1" t="str">
        <f>+TEXT(Tabla3[[#This Row],[Date]],"mmm")</f>
        <v>dic</v>
      </c>
      <c r="D2480" s="2">
        <v>4306.7001953125</v>
      </c>
      <c r="E2480" s="2">
        <v>4306.7001953125</v>
      </c>
      <c r="F2480" s="2">
        <v>4349.2001953125</v>
      </c>
      <c r="G2480" s="2">
        <v>4292.89990234375</v>
      </c>
      <c r="H2480" s="2">
        <v>4308.2998046875</v>
      </c>
      <c r="I2480">
        <v>854</v>
      </c>
      <c r="J2480" s="2">
        <f ca="1">IFERROR((Tabla3[[#This Row],[Close]]-OFFSET(Tabla3[[#This Row],[Close]],-1,0))/OFFSET(Tabla3[[#This Row],[Close]],-1,0),"")</f>
        <v>1.5348707021604806E-3</v>
      </c>
      <c r="K2480" s="2">
        <f ca="1">IFERROR(AVERAGE(OFFSET(Tabla3[[#This Row],[Close]],-6,0,7)),"")</f>
        <v>4242.21435546875</v>
      </c>
      <c r="L2480" s="2">
        <f ca="1">IFERROR(_xlfn.STDEV.S(OFFSET(Tabla3[[#This Row],[Close]],-29,0,30)),"")</f>
        <v>98.9162918056454</v>
      </c>
    </row>
    <row r="2481" spans="1:12" x14ac:dyDescent="0.3">
      <c r="A2481" s="1">
        <v>46007</v>
      </c>
      <c r="B2481" s="3">
        <f>YEAR(Tabla3[[#This Row],[Date]])</f>
        <v>2025</v>
      </c>
      <c r="C2481" s="1" t="str">
        <f>+TEXT(Tabla3[[#This Row],[Date]],"mmm")</f>
        <v>dic</v>
      </c>
      <c r="D2481" s="2">
        <v>4304.5</v>
      </c>
      <c r="E2481" s="2">
        <v>4304.5</v>
      </c>
      <c r="F2481" s="2">
        <v>4321.39990234375</v>
      </c>
      <c r="G2481" s="2">
        <v>4270.5</v>
      </c>
      <c r="H2481" s="2">
        <v>4270.5</v>
      </c>
      <c r="I2481">
        <v>1796</v>
      </c>
      <c r="J2481" s="2">
        <f ca="1">IFERROR((Tabla3[[#This Row],[Close]]-OFFSET(Tabla3[[#This Row],[Close]],-1,0))/OFFSET(Tabla3[[#This Row],[Close]],-1,0),"")</f>
        <v>-5.1087728718491644E-4</v>
      </c>
      <c r="K2481" s="2">
        <f ca="1">IFERROR(AVERAGE(OFFSET(Tabla3[[#This Row],[Close]],-6,0,7)),"")</f>
        <v>4255.3000837053569</v>
      </c>
      <c r="L2481" s="2">
        <f ca="1">IFERROR(_xlfn.STDEV.S(OFFSET(Tabla3[[#This Row],[Close]],-29,0,30)),"")</f>
        <v>100.06621806358336</v>
      </c>
    </row>
    <row r="2482" spans="1:12" x14ac:dyDescent="0.3">
      <c r="A2482" s="1">
        <v>46008</v>
      </c>
      <c r="B2482" s="3">
        <f>YEAR(Tabla3[[#This Row],[Date]])</f>
        <v>2025</v>
      </c>
      <c r="C2482" s="1" t="str">
        <f>+TEXT(Tabla3[[#This Row],[Date]],"mmm")</f>
        <v>dic</v>
      </c>
      <c r="D2482" s="2">
        <v>4347.5</v>
      </c>
      <c r="E2482" s="2">
        <v>4347.5</v>
      </c>
      <c r="F2482" s="2">
        <v>4351.39990234375</v>
      </c>
      <c r="G2482" s="2">
        <v>4308.5</v>
      </c>
      <c r="H2482" s="2">
        <v>4308.5</v>
      </c>
      <c r="I2482">
        <v>2169</v>
      </c>
      <c r="J2482" s="2">
        <f ca="1">IFERROR((Tabla3[[#This Row],[Close]]-OFFSET(Tabla3[[#This Row],[Close]],-1,0))/OFFSET(Tabla3[[#This Row],[Close]],-1,0),"")</f>
        <v>9.9895458241375298E-3</v>
      </c>
      <c r="K2482" s="2">
        <f ca="1">IFERROR(AVERAGE(OFFSET(Tabla3[[#This Row],[Close]],-6,0,7)),"")</f>
        <v>4278.2000558035716</v>
      </c>
      <c r="L2482" s="2">
        <f ca="1">IFERROR(_xlfn.STDEV.S(OFFSET(Tabla3[[#This Row],[Close]],-29,0,30)),"")</f>
        <v>99.288000483051249</v>
      </c>
    </row>
    <row r="2483" spans="1:12" x14ac:dyDescent="0.3">
      <c r="A2483" s="1">
        <v>46009</v>
      </c>
      <c r="B2483" s="3">
        <f>YEAR(Tabla3[[#This Row],[Date]])</f>
        <v>2025</v>
      </c>
      <c r="C2483" s="1" t="str">
        <f>+TEXT(Tabla3[[#This Row],[Date]],"mmm")</f>
        <v>dic</v>
      </c>
      <c r="D2483" s="2">
        <v>4339.5</v>
      </c>
      <c r="E2483" s="2">
        <v>4339.5</v>
      </c>
      <c r="F2483" s="2">
        <v>4348.10009765625</v>
      </c>
      <c r="G2483" s="2">
        <v>4328.2001953125</v>
      </c>
      <c r="H2483" s="2">
        <v>4331</v>
      </c>
      <c r="I2483">
        <v>705</v>
      </c>
      <c r="J2483" s="2">
        <f ca="1">IFERROR((Tabla3[[#This Row],[Close]]-OFFSET(Tabla3[[#This Row],[Close]],-1,0))/OFFSET(Tabla3[[#This Row],[Close]],-1,0),"")</f>
        <v>-1.8401380103507763E-3</v>
      </c>
      <c r="K2483" s="2">
        <f ca="1">IFERROR(AVERAGE(OFFSET(Tabla3[[#This Row],[Close]],-6,0,7)),"")</f>
        <v>4297.1714564732147</v>
      </c>
      <c r="L2483" s="2">
        <f ca="1">IFERROR(_xlfn.STDEV.S(OFFSET(Tabla3[[#This Row],[Close]],-29,0,30)),"")</f>
        <v>98.539594421480501</v>
      </c>
    </row>
    <row r="2484" spans="1:12" x14ac:dyDescent="0.3">
      <c r="A2484" s="1">
        <v>46010</v>
      </c>
      <c r="B2484" s="3">
        <f>YEAR(Tabla3[[#This Row],[Date]])</f>
        <v>2025</v>
      </c>
      <c r="C2484" s="1" t="str">
        <f>+TEXT(Tabla3[[#This Row],[Date]],"mmm")</f>
        <v>dic</v>
      </c>
      <c r="D2484" s="2">
        <v>4361.39990234375</v>
      </c>
      <c r="E2484" s="2">
        <v>4361.39990234375</v>
      </c>
      <c r="F2484" s="2">
        <v>4361.39990234375</v>
      </c>
      <c r="G2484" s="2">
        <v>4350.10009765625</v>
      </c>
      <c r="H2484" s="2">
        <v>4350.10009765625</v>
      </c>
      <c r="I2484">
        <v>1065</v>
      </c>
      <c r="J2484" s="2">
        <f ca="1">IFERROR((Tabla3[[#This Row],[Close]]-OFFSET(Tabla3[[#This Row],[Close]],-1,0))/OFFSET(Tabla3[[#This Row],[Close]],-1,0),"")</f>
        <v>5.0466418582209936E-3</v>
      </c>
      <c r="K2484" s="2">
        <f ca="1">IFERROR(AVERAGE(OFFSET(Tabla3[[#This Row],[Close]],-6,0,7)),"")</f>
        <v>4320.7428850446431</v>
      </c>
      <c r="L2484" s="2">
        <f ca="1">IFERROR(_xlfn.STDEV.S(OFFSET(Tabla3[[#This Row],[Close]],-29,0,30)),"")</f>
        <v>97.523517432128443</v>
      </c>
    </row>
    <row r="2485" spans="1:12" x14ac:dyDescent="0.3">
      <c r="A2485" s="1">
        <v>46013</v>
      </c>
      <c r="B2485" s="3">
        <f>YEAR(Tabla3[[#This Row],[Date]])</f>
        <v>2025</v>
      </c>
      <c r="C2485" s="1" t="str">
        <f>+TEXT(Tabla3[[#This Row],[Date]],"mmm")</f>
        <v>dic</v>
      </c>
      <c r="D2485" s="2">
        <v>4444.60009765625</v>
      </c>
      <c r="E2485" s="2">
        <v>4444.60009765625</v>
      </c>
      <c r="F2485" s="2">
        <v>4447.60009765625</v>
      </c>
      <c r="G2485" s="2">
        <v>4371.10009765625</v>
      </c>
      <c r="H2485" s="2">
        <v>4371.10009765625</v>
      </c>
      <c r="I2485">
        <v>449</v>
      </c>
      <c r="J2485" s="2">
        <f ca="1">IFERROR((Tabla3[[#This Row],[Close]]-OFFSET(Tabla3[[#This Row],[Close]],-1,0))/OFFSET(Tabla3[[#This Row],[Close]],-1,0),"")</f>
        <v>1.9076488553088074E-2</v>
      </c>
      <c r="K2485" s="2">
        <f ca="1">IFERROR(AVERAGE(OFFSET(Tabla3[[#This Row],[Close]],-6,0,7)),"")</f>
        <v>4343.4714704241069</v>
      </c>
      <c r="L2485" s="2">
        <f ca="1">IFERROR(_xlfn.STDEV.S(OFFSET(Tabla3[[#This Row],[Close]],-29,0,30)),"")</f>
        <v>102.13687289336887</v>
      </c>
    </row>
    <row r="2486" spans="1:12" x14ac:dyDescent="0.3">
      <c r="A2486" s="1">
        <v>46014</v>
      </c>
      <c r="B2486" s="3">
        <f>YEAR(Tabla3[[#This Row],[Date]])</f>
        <v>2025</v>
      </c>
      <c r="C2486" s="1" t="str">
        <f>+TEXT(Tabla3[[#This Row],[Date]],"mmm")</f>
        <v>dic</v>
      </c>
      <c r="D2486" s="2">
        <v>4482.7998046875</v>
      </c>
      <c r="E2486" s="2">
        <v>4482.7998046875</v>
      </c>
      <c r="F2486" s="2">
        <v>4503.7998046875</v>
      </c>
      <c r="G2486" s="2">
        <v>4450.39990234375</v>
      </c>
      <c r="H2486" s="2">
        <v>4503.2998046875</v>
      </c>
      <c r="I2486">
        <v>694</v>
      </c>
      <c r="J2486" s="2">
        <f ca="1">IFERROR((Tabla3[[#This Row],[Close]]-OFFSET(Tabla3[[#This Row],[Close]],-1,0))/OFFSET(Tabla3[[#This Row],[Close]],-1,0),"")</f>
        <v>8.5946330810264954E-3</v>
      </c>
      <c r="K2486" s="2">
        <f ca="1">IFERROR(AVERAGE(OFFSET(Tabla3[[#This Row],[Close]],-6,0,7)),"")</f>
        <v>4369.5714285714284</v>
      </c>
      <c r="L2486" s="2">
        <f ca="1">IFERROR(_xlfn.STDEV.S(OFFSET(Tabla3[[#This Row],[Close]],-29,0,30)),"")</f>
        <v>113.04028496664974</v>
      </c>
    </row>
    <row r="2487" spans="1:12" x14ac:dyDescent="0.3">
      <c r="A2487" s="1">
        <v>46015</v>
      </c>
      <c r="B2487" s="3">
        <f>YEAR(Tabla3[[#This Row],[Date]])</f>
        <v>2025</v>
      </c>
      <c r="C2487" s="1" t="str">
        <f>+TEXT(Tabla3[[#This Row],[Date]],"mmm")</f>
        <v>dic</v>
      </c>
      <c r="D2487" s="2">
        <v>4480.60009765625</v>
      </c>
      <c r="E2487" s="2">
        <v>4480.60009765625</v>
      </c>
      <c r="F2487" s="2">
        <v>4503.39990234375</v>
      </c>
      <c r="G2487" s="2">
        <v>4468.39990234375</v>
      </c>
      <c r="H2487" s="2">
        <v>4500.7001953125</v>
      </c>
      <c r="I2487">
        <v>500</v>
      </c>
      <c r="J2487" s="2">
        <f ca="1">IFERROR((Tabla3[[#This Row],[Close]]-OFFSET(Tabla3[[#This Row],[Close]],-1,0))/OFFSET(Tabla3[[#This Row],[Close]],-1,0),"")</f>
        <v>-4.9069936804892482E-4</v>
      </c>
      <c r="K2487" s="2">
        <f ca="1">IFERROR(AVERAGE(OFFSET(Tabla3[[#This Row],[Close]],-6,0,7)),"")</f>
        <v>4394.4142717633931</v>
      </c>
      <c r="L2487" s="2">
        <f ca="1">IFERROR(_xlfn.STDEV.S(OFFSET(Tabla3[[#This Row],[Close]],-29,0,30)),"")</f>
        <v>121.36379461549052</v>
      </c>
    </row>
    <row r="2488" spans="1:12" x14ac:dyDescent="0.3">
      <c r="A2488" s="1">
        <v>46017</v>
      </c>
      <c r="B2488" s="3">
        <f>YEAR(Tabla3[[#This Row],[Date]])</f>
        <v>2025</v>
      </c>
      <c r="C2488" s="1" t="str">
        <f>+TEXT(Tabla3[[#This Row],[Date]],"mmm")</f>
        <v>dic</v>
      </c>
      <c r="D2488" s="2">
        <v>4529.10009765625</v>
      </c>
      <c r="E2488" s="2">
        <v>4529.10009765625</v>
      </c>
      <c r="F2488" s="2">
        <v>4556.2998046875</v>
      </c>
      <c r="G2488" s="2">
        <v>4502</v>
      </c>
      <c r="H2488" s="2">
        <v>4512</v>
      </c>
      <c r="I2488">
        <v>263</v>
      </c>
      <c r="J2488" s="2">
        <f ca="1">IFERROR((Tabla3[[#This Row],[Close]]-OFFSET(Tabla3[[#This Row],[Close]],-1,0))/OFFSET(Tabla3[[#This Row],[Close]],-1,0),"")</f>
        <v>1.0824442919012073E-2</v>
      </c>
      <c r="K2488" s="2">
        <f ca="1">IFERROR(AVERAGE(OFFSET(Tabla3[[#This Row],[Close]],-6,0,7)),"")</f>
        <v>4426.5</v>
      </c>
      <c r="L2488" s="2">
        <f ca="1">IFERROR(_xlfn.STDEV.S(OFFSET(Tabla3[[#This Row],[Close]],-29,0,30)),"")</f>
        <v>133.41319411375815</v>
      </c>
    </row>
    <row r="2489" spans="1:12" x14ac:dyDescent="0.3">
      <c r="A2489" s="1">
        <v>46020</v>
      </c>
      <c r="B2489" s="3">
        <f>YEAR(Tabla3[[#This Row],[Date]])</f>
        <v>2025</v>
      </c>
      <c r="C2489" s="1" t="str">
        <f>+TEXT(Tabla3[[#This Row],[Date]],"mmm")</f>
        <v>dic</v>
      </c>
      <c r="D2489" s="2">
        <v>4325.10009765625</v>
      </c>
      <c r="E2489" s="2">
        <v>4325.10009765625</v>
      </c>
      <c r="F2489" s="2">
        <v>4379</v>
      </c>
      <c r="G2489" s="2">
        <v>4325.10009765625</v>
      </c>
      <c r="H2489" s="2">
        <v>4371.5</v>
      </c>
      <c r="I2489">
        <v>2044</v>
      </c>
      <c r="J2489" s="2">
        <f ca="1">IFERROR((Tabla3[[#This Row],[Close]]-OFFSET(Tabla3[[#This Row],[Close]],-1,0))/OFFSET(Tabla3[[#This Row],[Close]],-1,0),"")</f>
        <v>-4.5042060365494532E-2</v>
      </c>
      <c r="K2489" s="2">
        <f ca="1">IFERROR(AVERAGE(OFFSET(Tabla3[[#This Row],[Close]],-6,0,7)),"")</f>
        <v>4423.3000139508931</v>
      </c>
      <c r="L2489" s="2">
        <f ca="1">IFERROR(_xlfn.STDEV.S(OFFSET(Tabla3[[#This Row],[Close]],-29,0,30)),"")</f>
        <v>134.07688822008461</v>
      </c>
    </row>
    <row r="2490" spans="1:12" x14ac:dyDescent="0.3">
      <c r="A2490" s="1">
        <v>46021</v>
      </c>
      <c r="B2490" s="3">
        <f>YEAR(Tabla3[[#This Row],[Date]])</f>
        <v>2025</v>
      </c>
      <c r="C2490" s="1" t="str">
        <f>+TEXT(Tabla3[[#This Row],[Date]],"mmm")</f>
        <v>dic</v>
      </c>
      <c r="D2490" s="2">
        <v>4370.10009765625</v>
      </c>
      <c r="E2490" s="2">
        <v>4370.10009765625</v>
      </c>
      <c r="F2490" s="2">
        <v>4403.60009765625</v>
      </c>
      <c r="G2490" s="2">
        <v>4338</v>
      </c>
      <c r="H2490" s="2">
        <v>4346.39990234375</v>
      </c>
      <c r="I2490">
        <v>1837</v>
      </c>
      <c r="J2490" s="2">
        <f ca="1">IFERROR((Tabla3[[#This Row],[Close]]-OFFSET(Tabla3[[#This Row],[Close]],-1,0))/OFFSET(Tabla3[[#This Row],[Close]],-1,0),"")</f>
        <v>1.0404383478751226E-2</v>
      </c>
      <c r="K2490" s="2">
        <f ca="1">IFERROR(AVERAGE(OFFSET(Tabla3[[#This Row],[Close]],-6,0,7)),"")</f>
        <v>4427.6714564732147</v>
      </c>
      <c r="L2490" s="2">
        <f ca="1">IFERROR(_xlfn.STDEV.S(OFFSET(Tabla3[[#This Row],[Close]],-29,0,30)),"")</f>
        <v>132.94340529699281</v>
      </c>
    </row>
    <row r="2491" spans="1:12" x14ac:dyDescent="0.3">
      <c r="A2491" s="1">
        <v>46022</v>
      </c>
      <c r="B2491" s="3">
        <f>YEAR(Tabla3[[#This Row],[Date]])</f>
        <v>2025</v>
      </c>
      <c r="C2491" s="1" t="str">
        <f>+TEXT(Tabla3[[#This Row],[Date]],"mmm")</f>
        <v>dic</v>
      </c>
      <c r="D2491" s="2">
        <v>4325.60009765625</v>
      </c>
      <c r="E2491" s="2">
        <v>4325.60009765625</v>
      </c>
      <c r="F2491" s="2">
        <v>4363.7998046875</v>
      </c>
      <c r="G2491" s="2">
        <v>4285</v>
      </c>
      <c r="H2491" s="2">
        <v>4333.5</v>
      </c>
      <c r="I2491">
        <v>785</v>
      </c>
      <c r="J2491" s="2">
        <f ca="1">IFERROR((Tabla3[[#This Row],[Close]]-OFFSET(Tabla3[[#This Row],[Close]],-1,0))/OFFSET(Tabla3[[#This Row],[Close]],-1,0),"")</f>
        <v>-1.0182833117224481E-2</v>
      </c>
      <c r="K2491" s="2">
        <f ca="1">IFERROR(AVERAGE(OFFSET(Tabla3[[#This Row],[Close]],-6,0,7)),"")</f>
        <v>4422.5571986607147</v>
      </c>
      <c r="L2491" s="2">
        <f ca="1">IFERROR(_xlfn.STDEV.S(OFFSET(Tabla3[[#This Row],[Close]],-29,0,30)),"")</f>
        <v>129.12234407129941</v>
      </c>
    </row>
    <row r="2492" spans="1:12" x14ac:dyDescent="0.3">
      <c r="A2492" s="1">
        <v>46024</v>
      </c>
      <c r="B2492" s="3">
        <f>YEAR(Tabla3[[#This Row],[Date]])</f>
        <v>2026</v>
      </c>
      <c r="C2492" s="1" t="str">
        <f>+TEXT(Tabla3[[#This Row],[Date]],"mmm")</f>
        <v>ene</v>
      </c>
      <c r="D2492" s="2">
        <v>4314.39990234375</v>
      </c>
      <c r="E2492" s="2">
        <v>4314.39990234375</v>
      </c>
      <c r="F2492" s="2">
        <v>4350.60009765625</v>
      </c>
      <c r="G2492" s="2">
        <v>4314.39990234375</v>
      </c>
      <c r="H2492" s="2">
        <v>4350.60009765625</v>
      </c>
      <c r="I2492">
        <v>589</v>
      </c>
      <c r="J2492" s="2">
        <f ca="1">IFERROR((Tabla3[[#This Row],[Close]]-OFFSET(Tabla3[[#This Row],[Close]],-1,0))/OFFSET(Tabla3[[#This Row],[Close]],-1,0),"")</f>
        <v>-2.5892812695673434E-3</v>
      </c>
      <c r="K2492" s="2">
        <f ca="1">IFERROR(AVERAGE(OFFSET(Tabla3[[#This Row],[Close]],-6,0,7)),"")</f>
        <v>4403.9571707589284</v>
      </c>
      <c r="L2492" s="2">
        <f ca="1">IFERROR(_xlfn.STDEV.S(OFFSET(Tabla3[[#This Row],[Close]],-29,0,30)),"")</f>
        <v>124.01704733809579</v>
      </c>
    </row>
    <row r="2493" spans="1:12" x14ac:dyDescent="0.3">
      <c r="A2493" s="1">
        <v>46027</v>
      </c>
      <c r="B2493" s="3">
        <f>YEAR(Tabla3[[#This Row],[Date]])</f>
        <v>2026</v>
      </c>
      <c r="C2493" s="1" t="str">
        <f>+TEXT(Tabla3[[#This Row],[Date]],"mmm")</f>
        <v>ene</v>
      </c>
      <c r="D2493" s="2">
        <v>4436.89990234375</v>
      </c>
      <c r="E2493" s="2">
        <v>4436.89990234375</v>
      </c>
      <c r="F2493" s="2">
        <v>4443.5</v>
      </c>
      <c r="G2493" s="2">
        <v>4384.7998046875</v>
      </c>
      <c r="H2493" s="2">
        <v>4386.7001953125</v>
      </c>
      <c r="I2493">
        <v>618</v>
      </c>
      <c r="J2493" s="2">
        <f ca="1">IFERROR((Tabla3[[#This Row],[Close]]-OFFSET(Tabla3[[#This Row],[Close]],-1,0))/OFFSET(Tabla3[[#This Row],[Close]],-1,0),"")</f>
        <v>2.8393288237711398E-2</v>
      </c>
      <c r="K2493" s="2">
        <f ca="1">IFERROR(AVERAGE(OFFSET(Tabla3[[#This Row],[Close]],-6,0,7)),"")</f>
        <v>4397.4000418526784</v>
      </c>
      <c r="L2493" s="2">
        <f ca="1">IFERROR(_xlfn.STDEV.S(OFFSET(Tabla3[[#This Row],[Close]],-29,0,30)),"")</f>
        <v>122.53064739100294</v>
      </c>
    </row>
    <row r="2494" spans="1:12" x14ac:dyDescent="0.3">
      <c r="A2494" s="1">
        <v>46028</v>
      </c>
      <c r="B2494" s="3">
        <f>YEAR(Tabla3[[#This Row],[Date]])</f>
        <v>2026</v>
      </c>
      <c r="C2494" s="1" t="str">
        <f>+TEXT(Tabla3[[#This Row],[Date]],"mmm")</f>
        <v>ene</v>
      </c>
      <c r="D2494" s="2">
        <v>4482.2001953125</v>
      </c>
      <c r="E2494" s="2">
        <v>4482.2001953125</v>
      </c>
      <c r="F2494" s="2">
        <v>4482.2001953125</v>
      </c>
      <c r="G2494" s="2">
        <v>4449</v>
      </c>
      <c r="H2494" s="2">
        <v>4449.7001953125</v>
      </c>
      <c r="I2494">
        <v>459</v>
      </c>
      <c r="J2494" s="2">
        <f ca="1">IFERROR((Tabla3[[#This Row],[Close]]-OFFSET(Tabla3[[#This Row],[Close]],-1,0))/OFFSET(Tabla3[[#This Row],[Close]],-1,0),"")</f>
        <v>1.0209897443217177E-2</v>
      </c>
      <c r="K2494" s="2">
        <f ca="1">IFERROR(AVERAGE(OFFSET(Tabla3[[#This Row],[Close]],-6,0,7)),"")</f>
        <v>4397.6286272321431</v>
      </c>
      <c r="L2494" s="2">
        <f ca="1">IFERROR(_xlfn.STDEV.S(OFFSET(Tabla3[[#This Row],[Close]],-29,0,30)),"")</f>
        <v>120.6199062867213</v>
      </c>
    </row>
    <row r="2495" spans="1:12" x14ac:dyDescent="0.3">
      <c r="A2495" s="1">
        <v>46029</v>
      </c>
      <c r="B2495" s="3">
        <f>YEAR(Tabla3[[#This Row],[Date]])</f>
        <v>2026</v>
      </c>
      <c r="C2495" s="1" t="str">
        <f>+TEXT(Tabla3[[#This Row],[Date]],"mmm")</f>
        <v>ene</v>
      </c>
      <c r="D2495" s="2">
        <v>4449.2998046875</v>
      </c>
      <c r="E2495" s="2">
        <v>4449.2998046875</v>
      </c>
      <c r="F2495" s="2">
        <v>4450</v>
      </c>
      <c r="G2495" s="2">
        <v>4449.2998046875</v>
      </c>
      <c r="H2495" s="2">
        <v>4450</v>
      </c>
      <c r="I2495">
        <v>972</v>
      </c>
      <c r="J2495" s="2">
        <f ca="1">IFERROR((Tabla3[[#This Row],[Close]]-OFFSET(Tabla3[[#This Row],[Close]],-1,0))/OFFSET(Tabla3[[#This Row],[Close]],-1,0),"")</f>
        <v>-7.340232294712614E-3</v>
      </c>
      <c r="K2495" s="2">
        <f ca="1">IFERROR(AVERAGE(OFFSET(Tabla3[[#This Row],[Close]],-6,0,7)),"")</f>
        <v>4386.2285853794647</v>
      </c>
      <c r="L2495" s="2">
        <f ca="1">IFERROR(_xlfn.STDEV.S(OFFSET(Tabla3[[#This Row],[Close]],-29,0,30)),"")</f>
        <v>116.77947220749584</v>
      </c>
    </row>
    <row r="2496" spans="1:12" x14ac:dyDescent="0.3">
      <c r="A2496" s="1">
        <v>46030</v>
      </c>
      <c r="B2496" s="3">
        <f>YEAR(Tabla3[[#This Row],[Date]])</f>
        <v>2026</v>
      </c>
      <c r="C2496" s="1" t="str">
        <f>+TEXT(Tabla3[[#This Row],[Date]],"mmm")</f>
        <v>ene</v>
      </c>
      <c r="D2496" s="2">
        <v>4449.7001953125</v>
      </c>
      <c r="E2496" s="2">
        <v>4449.7001953125</v>
      </c>
      <c r="F2496" s="2">
        <v>4461.2998046875</v>
      </c>
      <c r="G2496" s="2">
        <v>4418</v>
      </c>
      <c r="H2496" s="2">
        <v>4460.2001953125</v>
      </c>
      <c r="I2496">
        <v>2423</v>
      </c>
      <c r="J2496" s="2">
        <f ca="1">IFERROR((Tabla3[[#This Row],[Close]]-OFFSET(Tabla3[[#This Row],[Close]],-1,0))/OFFSET(Tabla3[[#This Row],[Close]],-1,0),"")</f>
        <v>8.998958096241882E-5</v>
      </c>
      <c r="K2496" s="2">
        <f ca="1">IFERROR(AVERAGE(OFFSET(Tabla3[[#This Row],[Close]],-6,0,7)),"")</f>
        <v>4404.0285993303569</v>
      </c>
      <c r="L2496" s="2">
        <f ca="1">IFERROR(_xlfn.STDEV.S(OFFSET(Tabla3[[#This Row],[Close]],-29,0,30)),"")</f>
        <v>112.49013241725804</v>
      </c>
    </row>
    <row r="2497" spans="1:12" x14ac:dyDescent="0.3">
      <c r="A2497" s="1">
        <v>46031</v>
      </c>
      <c r="B2497" s="3">
        <f>YEAR(Tabla3[[#This Row],[Date]])</f>
        <v>2026</v>
      </c>
      <c r="C2497" s="1" t="str">
        <f>+TEXT(Tabla3[[#This Row],[Date]],"mmm")</f>
        <v>ene</v>
      </c>
      <c r="D2497" s="2">
        <v>4490.2998046875</v>
      </c>
      <c r="E2497" s="2">
        <v>4490.2998046875</v>
      </c>
      <c r="F2497" s="2">
        <v>4490.2998046875</v>
      </c>
      <c r="G2497" s="2">
        <v>4473</v>
      </c>
      <c r="H2497" s="2">
        <v>4473</v>
      </c>
      <c r="I2497">
        <v>237</v>
      </c>
      <c r="J2497" s="2">
        <f ca="1">IFERROR((Tabla3[[#This Row],[Close]]-OFFSET(Tabla3[[#This Row],[Close]],-1,0))/OFFSET(Tabla3[[#This Row],[Close]],-1,0),"")</f>
        <v>9.1241224336348157E-3</v>
      </c>
      <c r="K2497" s="2">
        <f ca="1">IFERROR(AVERAGE(OFFSET(Tabla3[[#This Row],[Close]],-6,0,7)),"")</f>
        <v>4421.1999860491069</v>
      </c>
      <c r="L2497" s="2">
        <f ca="1">IFERROR(_xlfn.STDEV.S(OFFSET(Tabla3[[#This Row],[Close]],-29,0,30)),"")</f>
        <v>111.65634660099775</v>
      </c>
    </row>
    <row r="2498" spans="1:12" x14ac:dyDescent="0.3">
      <c r="A2498" s="1">
        <v>46034</v>
      </c>
      <c r="B2498" s="3">
        <f>YEAR(Tabla3[[#This Row],[Date]])</f>
        <v>2026</v>
      </c>
      <c r="C2498" s="1" t="str">
        <f>+TEXT(Tabla3[[#This Row],[Date]],"mmm")</f>
        <v>ene</v>
      </c>
      <c r="D2498" s="2">
        <v>4604.2998046875</v>
      </c>
      <c r="E2498" s="2">
        <v>4604.2998046875</v>
      </c>
      <c r="F2498" s="2">
        <v>4620</v>
      </c>
      <c r="G2498" s="2">
        <v>4577.7998046875</v>
      </c>
      <c r="H2498" s="2">
        <v>4579.10009765625</v>
      </c>
      <c r="I2498">
        <v>156</v>
      </c>
      <c r="J2498" s="2">
        <f ca="1">IFERROR((Tabla3[[#This Row],[Close]]-OFFSET(Tabla3[[#This Row],[Close]],-1,0))/OFFSET(Tabla3[[#This Row],[Close]],-1,0),"")</f>
        <v>2.5388059808610881E-2</v>
      </c>
      <c r="K2498" s="2">
        <f ca="1">IFERROR(AVERAGE(OFFSET(Tabla3[[#This Row],[Close]],-6,0,7)),"")</f>
        <v>4461.0142299107147</v>
      </c>
      <c r="L2498" s="2">
        <f ca="1">IFERROR(_xlfn.STDEV.S(OFFSET(Tabla3[[#This Row],[Close]],-29,0,30)),"")</f>
        <v>118.12863860611368</v>
      </c>
    </row>
    <row r="2499" spans="1:12" x14ac:dyDescent="0.3">
      <c r="A2499" s="1">
        <v>46035</v>
      </c>
      <c r="B2499" s="3">
        <f>YEAR(Tabla3[[#This Row],[Date]])</f>
        <v>2026</v>
      </c>
      <c r="C2499" s="1" t="str">
        <f>+TEXT(Tabla3[[#This Row],[Date]],"mmm")</f>
        <v>ene</v>
      </c>
      <c r="D2499" s="2">
        <v>4589.2001953125</v>
      </c>
      <c r="E2499" s="2">
        <v>4589.2001953125</v>
      </c>
      <c r="F2499" s="2">
        <v>4617.10009765625</v>
      </c>
      <c r="G2499" s="2">
        <v>4578.60009765625</v>
      </c>
      <c r="H2499" s="2">
        <v>4578.60009765625</v>
      </c>
      <c r="I2499">
        <v>239</v>
      </c>
      <c r="J2499" s="2">
        <f ca="1">IFERROR((Tabla3[[#This Row],[Close]]-OFFSET(Tabla3[[#This Row],[Close]],-1,0))/OFFSET(Tabla3[[#This Row],[Close]],-1,0),"")</f>
        <v>-3.2794583357989718E-3</v>
      </c>
      <c r="K2499" s="2">
        <f ca="1">IFERROR(AVERAGE(OFFSET(Tabla3[[#This Row],[Close]],-6,0,7)),"")</f>
        <v>4500.2714146205353</v>
      </c>
      <c r="L2499" s="2">
        <f ca="1">IFERROR(_xlfn.STDEV.S(OFFSET(Tabla3[[#This Row],[Close]],-29,0,30)),"")</f>
        <v>123.90038572794799</v>
      </c>
    </row>
    <row r="2500" spans="1:12" x14ac:dyDescent="0.3">
      <c r="A2500" s="1">
        <v>46036</v>
      </c>
      <c r="B2500" s="3">
        <f>YEAR(Tabla3[[#This Row],[Date]])</f>
        <v>2026</v>
      </c>
      <c r="C2500" s="1" t="str">
        <f>+TEXT(Tabla3[[#This Row],[Date]],"mmm")</f>
        <v>ene</v>
      </c>
      <c r="D2500" s="2">
        <v>4626.2998046875</v>
      </c>
      <c r="E2500" s="2">
        <v>4626.2998046875</v>
      </c>
      <c r="F2500" s="2">
        <v>4635</v>
      </c>
      <c r="G2500" s="2">
        <v>4608.2001953125</v>
      </c>
      <c r="H2500" s="2">
        <v>4610.2998046875</v>
      </c>
      <c r="I2500">
        <v>1313</v>
      </c>
      <c r="J2500" s="2">
        <f ca="1">IFERROR((Tabla3[[#This Row],[Close]]-OFFSET(Tabla3[[#This Row],[Close]],-1,0))/OFFSET(Tabla3[[#This Row],[Close]],-1,0),"")</f>
        <v>8.0841122191388105E-3</v>
      </c>
      <c r="K2500" s="2">
        <f ca="1">IFERROR(AVERAGE(OFFSET(Tabla3[[#This Row],[Close]],-6,0,7)),"")</f>
        <v>4527.3285435267853</v>
      </c>
      <c r="L2500" s="2">
        <f ca="1">IFERROR(_xlfn.STDEV.S(OFFSET(Tabla3[[#This Row],[Close]],-29,0,30)),"")</f>
        <v>131.32808721186484</v>
      </c>
    </row>
    <row r="2501" spans="1:12" x14ac:dyDescent="0.3">
      <c r="A2501" s="1">
        <v>46037</v>
      </c>
      <c r="B2501" s="3">
        <f>YEAR(Tabla3[[#This Row],[Date]])</f>
        <v>2026</v>
      </c>
      <c r="C2501" s="1" t="str">
        <f>+TEXT(Tabla3[[#This Row],[Date]],"mmm")</f>
        <v>ene</v>
      </c>
      <c r="D2501" s="2">
        <v>4616.2998046875</v>
      </c>
      <c r="E2501" s="2">
        <v>4616.2998046875</v>
      </c>
      <c r="F2501" s="2">
        <v>4616.2998046875</v>
      </c>
      <c r="G2501" s="2">
        <v>4612.89990234375</v>
      </c>
      <c r="H2501" s="2">
        <v>4612.89990234375</v>
      </c>
      <c r="I2501">
        <v>4358</v>
      </c>
      <c r="J2501" s="2">
        <f ca="1">IFERROR((Tabla3[[#This Row],[Close]]-OFFSET(Tabla3[[#This Row],[Close]],-1,0))/OFFSET(Tabla3[[#This Row],[Close]],-1,0),"")</f>
        <v>-2.1615546813173914E-3</v>
      </c>
      <c r="K2501" s="2">
        <f ca="1">IFERROR(AVERAGE(OFFSET(Tabla3[[#This Row],[Close]],-6,0,7)),"")</f>
        <v>4546.4856305803569</v>
      </c>
      <c r="L2501" s="2">
        <f ca="1">IFERROR(_xlfn.STDEV.S(OFFSET(Tabla3[[#This Row],[Close]],-29,0,30)),"")</f>
        <v>134.23705203845108</v>
      </c>
    </row>
    <row r="2502" spans="1:12" x14ac:dyDescent="0.3">
      <c r="A2502" s="1">
        <v>46038</v>
      </c>
      <c r="B2502" s="3">
        <f>YEAR(Tabla3[[#This Row],[Date]])</f>
        <v>2026</v>
      </c>
      <c r="C2502" s="1" t="str">
        <f>+TEXT(Tabla3[[#This Row],[Date]],"mmm")</f>
        <v>ene</v>
      </c>
      <c r="D2502" s="2">
        <v>4588.39990234375</v>
      </c>
      <c r="E2502" s="2">
        <v>4588.39990234375</v>
      </c>
      <c r="F2502" s="2">
        <v>4608</v>
      </c>
      <c r="G2502" s="2">
        <v>4588.39990234375</v>
      </c>
      <c r="H2502" s="2">
        <v>4608</v>
      </c>
      <c r="I2502">
        <v>352</v>
      </c>
      <c r="J2502" s="2">
        <f ca="1">IFERROR((Tabla3[[#This Row],[Close]]-OFFSET(Tabla3[[#This Row],[Close]],-1,0))/OFFSET(Tabla3[[#This Row],[Close]],-1,0),"")</f>
        <v>-6.0437804137893686E-3</v>
      </c>
      <c r="K2502" s="2">
        <f ca="1">IFERROR(AVERAGE(OFFSET(Tabla3[[#This Row],[Close]],-6,0,7)),"")</f>
        <v>4566.3570731026784</v>
      </c>
      <c r="L2502" s="2">
        <f ca="1">IFERROR(_xlfn.STDEV.S(OFFSET(Tabla3[[#This Row],[Close]],-29,0,30)),"")</f>
        <v>134.7181105259281</v>
      </c>
    </row>
    <row r="2503" spans="1:12" x14ac:dyDescent="0.3">
      <c r="A2503" s="1">
        <v>46042</v>
      </c>
      <c r="B2503" s="3">
        <f>YEAR(Tabla3[[#This Row],[Date]])</f>
        <v>2026</v>
      </c>
      <c r="C2503" s="1" t="str">
        <f>+TEXT(Tabla3[[#This Row],[Date]],"mmm")</f>
        <v>ene</v>
      </c>
      <c r="D2503" s="2">
        <v>4759.60009765625</v>
      </c>
      <c r="E2503" s="2">
        <v>4759.60009765625</v>
      </c>
      <c r="F2503" s="2">
        <v>4764</v>
      </c>
      <c r="G2503" s="2">
        <v>4661.7998046875</v>
      </c>
      <c r="H2503" s="2">
        <v>4662.2001953125</v>
      </c>
      <c r="I2503">
        <v>175</v>
      </c>
      <c r="J2503" s="2">
        <f ca="1">IFERROR((Tabla3[[#This Row],[Close]]-OFFSET(Tabla3[[#This Row],[Close]],-1,0))/OFFSET(Tabla3[[#This Row],[Close]],-1,0),"")</f>
        <v>3.7311524487011499E-2</v>
      </c>
      <c r="K2503" s="2">
        <f ca="1">IFERROR(AVERAGE(OFFSET(Tabla3[[#This Row],[Close]],-6,0,7)),"")</f>
        <v>4610.6284877232147</v>
      </c>
      <c r="L2503" s="2">
        <f ca="1">IFERROR(_xlfn.STDEV.S(OFFSET(Tabla3[[#This Row],[Close]],-29,0,30)),"")</f>
        <v>145.64077039324786</v>
      </c>
    </row>
    <row r="2504" spans="1:12" x14ac:dyDescent="0.3">
      <c r="A2504" s="1">
        <v>46043</v>
      </c>
      <c r="B2504" s="3">
        <f>YEAR(Tabla3[[#This Row],[Date]])</f>
        <v>2026</v>
      </c>
      <c r="C2504" s="1" t="str">
        <f>+TEXT(Tabla3[[#This Row],[Date]],"mmm")</f>
        <v>ene</v>
      </c>
      <c r="D2504" s="2">
        <v>4831.7998046875</v>
      </c>
      <c r="E2504" s="2">
        <v>4831.7998046875</v>
      </c>
      <c r="F2504" s="2">
        <v>4872.2998046875</v>
      </c>
      <c r="G2504" s="2">
        <v>4771.5</v>
      </c>
      <c r="H2504" s="2">
        <v>4863.5</v>
      </c>
      <c r="I2504">
        <v>1706</v>
      </c>
      <c r="J2504" s="2">
        <f ca="1">IFERROR((Tabla3[[#This Row],[Close]]-OFFSET(Tabla3[[#This Row],[Close]],-1,0))/OFFSET(Tabla3[[#This Row],[Close]],-1,0),"")</f>
        <v>1.5169280097040716E-2</v>
      </c>
      <c r="K2504" s="2">
        <f ca="1">IFERROR(AVERAGE(OFFSET(Tabla3[[#This Row],[Close]],-6,0,7)),"")</f>
        <v>4659.4142020089284</v>
      </c>
      <c r="L2504" s="2">
        <f ca="1">IFERROR(_xlfn.STDEV.S(OFFSET(Tabla3[[#This Row],[Close]],-29,0,30)),"")</f>
        <v>159.39041965622269</v>
      </c>
    </row>
    <row r="2505" spans="1:12" x14ac:dyDescent="0.3">
      <c r="A2505" s="1">
        <v>46044</v>
      </c>
      <c r="B2505" s="3">
        <f>YEAR(Tabla3[[#This Row],[Date]])</f>
        <v>2026</v>
      </c>
      <c r="C2505" s="1" t="str">
        <f>+TEXT(Tabla3[[#This Row],[Date]],"mmm")</f>
        <v>ene</v>
      </c>
      <c r="D2505" s="2">
        <v>4908.7998046875</v>
      </c>
      <c r="E2505" s="2">
        <v>4908.7998046875</v>
      </c>
      <c r="F2505" s="2">
        <v>4908.7998046875</v>
      </c>
      <c r="G2505" s="2">
        <v>4791.89990234375</v>
      </c>
      <c r="H2505" s="2">
        <v>4791.89990234375</v>
      </c>
      <c r="I2505">
        <v>1175</v>
      </c>
      <c r="J2505" s="2">
        <f ca="1">IFERROR((Tabla3[[#This Row],[Close]]-OFFSET(Tabla3[[#This Row],[Close]],-1,0))/OFFSET(Tabla3[[#This Row],[Close]],-1,0),"")</f>
        <v>1.5936090714126768E-2</v>
      </c>
      <c r="K2505" s="2">
        <f ca="1">IFERROR(AVERAGE(OFFSET(Tabla3[[#This Row],[Close]],-6,0,7)),"")</f>
        <v>4702.9142020089284</v>
      </c>
      <c r="L2505" s="2">
        <f ca="1">IFERROR(_xlfn.STDEV.S(OFFSET(Tabla3[[#This Row],[Close]],-29,0,30)),"")</f>
        <v>174.52789716870464</v>
      </c>
    </row>
    <row r="2506" spans="1:12" x14ac:dyDescent="0.3">
      <c r="A2506" s="1">
        <v>46045</v>
      </c>
      <c r="B2506" s="3">
        <f>YEAR(Tabla3[[#This Row],[Date]])</f>
        <v>2026</v>
      </c>
      <c r="C2506" s="1" t="str">
        <f>+TEXT(Tabla3[[#This Row],[Date]],"mmm")</f>
        <v>ene</v>
      </c>
      <c r="D2506" s="2">
        <v>4976.2001953125</v>
      </c>
      <c r="E2506" s="2">
        <v>4976.2001953125</v>
      </c>
      <c r="F2506" s="2">
        <v>4976.2001953125</v>
      </c>
      <c r="G2506" s="2">
        <v>4936</v>
      </c>
      <c r="H2506" s="2">
        <v>4949.60009765625</v>
      </c>
      <c r="I2506">
        <v>169</v>
      </c>
      <c r="J2506" s="2">
        <f ca="1">IFERROR((Tabla3[[#This Row],[Close]]-OFFSET(Tabla3[[#This Row],[Close]],-1,0))/OFFSET(Tabla3[[#This Row],[Close]],-1,0),"")</f>
        <v>1.3730523408316259E-2</v>
      </c>
      <c r="K2506" s="2">
        <f ca="1">IFERROR(AVERAGE(OFFSET(Tabla3[[#This Row],[Close]],-6,0,7)),"")</f>
        <v>4758.1999162946431</v>
      </c>
      <c r="L2506" s="2">
        <f ca="1">IFERROR(_xlfn.STDEV.S(OFFSET(Tabla3[[#This Row],[Close]],-29,0,30)),"")</f>
        <v>191.9302136489847</v>
      </c>
    </row>
    <row r="2507" spans="1:12" x14ac:dyDescent="0.3">
      <c r="A2507" s="1">
        <v>46048</v>
      </c>
      <c r="B2507" s="3">
        <f>YEAR(Tabla3[[#This Row],[Date]])</f>
        <v>2026</v>
      </c>
      <c r="C2507" s="1" t="str">
        <f>+TEXT(Tabla3[[#This Row],[Date]],"mmm")</f>
        <v>ene</v>
      </c>
      <c r="D2507" s="2">
        <v>5079.7001953125</v>
      </c>
      <c r="E2507" s="2">
        <v>5079.7001953125</v>
      </c>
      <c r="F2507" s="2">
        <v>5095.60009765625</v>
      </c>
      <c r="G2507" s="2">
        <v>5052.2001953125</v>
      </c>
      <c r="H2507" s="2">
        <v>5081.5</v>
      </c>
      <c r="I2507">
        <v>180</v>
      </c>
      <c r="J2507" s="2">
        <f ca="1">IFERROR((Tabla3[[#This Row],[Close]]-OFFSET(Tabla3[[#This Row],[Close]],-1,0))/OFFSET(Tabla3[[#This Row],[Close]],-1,0),"")</f>
        <v>2.0799002439149318E-2</v>
      </c>
      <c r="K2507" s="2">
        <f ca="1">IFERROR(AVERAGE(OFFSET(Tabla3[[#This Row],[Close]],-6,0,7)),"")</f>
        <v>4822.9714006696431</v>
      </c>
      <c r="L2507" s="2">
        <f ca="1">IFERROR(_xlfn.STDEV.S(OFFSET(Tabla3[[#This Row],[Close]],-29,0,30)),"")</f>
        <v>212.8807480017137</v>
      </c>
    </row>
    <row r="2508" spans="1:12" x14ac:dyDescent="0.3">
      <c r="A2508" s="1">
        <v>46049</v>
      </c>
      <c r="B2508" s="3">
        <f>YEAR(Tabla3[[#This Row],[Date]])</f>
        <v>2026</v>
      </c>
      <c r="C2508" s="1" t="str">
        <f>+TEXT(Tabla3[[#This Row],[Date]],"mmm")</f>
        <v>ene</v>
      </c>
      <c r="D2508" s="2">
        <v>5079.89990234375</v>
      </c>
      <c r="E2508" s="2">
        <v>5079.89990234375</v>
      </c>
      <c r="F2508" s="2">
        <v>5079.89990234375</v>
      </c>
      <c r="G2508" s="2">
        <v>5079.89990234375</v>
      </c>
      <c r="H2508" s="2">
        <v>5079.89990234375</v>
      </c>
      <c r="I2508">
        <v>34</v>
      </c>
      <c r="J2508" s="2">
        <f ca="1">IFERROR((Tabla3[[#This Row],[Close]]-OFFSET(Tabla3[[#This Row],[Close]],-1,0))/OFFSET(Tabla3[[#This Row],[Close]],-1,0),"")</f>
        <v>3.9314727950733746E-5</v>
      </c>
      <c r="K2508" s="2">
        <f ca="1">IFERROR(AVERAGE(OFFSET(Tabla3[[#This Row],[Close]],-6,0,7)),"")</f>
        <v>4889.1999860491069</v>
      </c>
      <c r="L2508" s="2">
        <f ca="1">IFERROR(_xlfn.STDEV.S(OFFSET(Tabla3[[#This Row],[Close]],-29,0,30)),"")</f>
        <v>232.07741542647557</v>
      </c>
    </row>
    <row r="2509" spans="1:12" x14ac:dyDescent="0.3">
      <c r="A2509" s="1">
        <v>46050</v>
      </c>
      <c r="B2509" s="3">
        <f>YEAR(Tabla3[[#This Row],[Date]])</f>
        <v>2026</v>
      </c>
      <c r="C2509" s="1" t="str">
        <f>+TEXT(Tabla3[[#This Row],[Date]],"mmm")</f>
        <v>ene</v>
      </c>
      <c r="D2509" s="2">
        <v>5301.60009765625</v>
      </c>
      <c r="E2509" s="2">
        <v>5301.60009765625</v>
      </c>
      <c r="F2509" s="2">
        <v>5301.60009765625</v>
      </c>
      <c r="G2509" s="2">
        <v>5301.60009765625</v>
      </c>
      <c r="H2509" s="2">
        <v>5301.60009765625</v>
      </c>
      <c r="I2509">
        <v>112054</v>
      </c>
      <c r="J2509" s="2">
        <f ca="1">IFERROR((Tabla3[[#This Row],[Close]]-OFFSET(Tabla3[[#This Row],[Close]],-1,0))/OFFSET(Tabla3[[#This Row],[Close]],-1,0),"")</f>
        <v>4.3642630676681754E-2</v>
      </c>
      <c r="K2509" s="2">
        <f ca="1">IFERROR(AVERAGE(OFFSET(Tabla3[[#This Row],[Close]],-6,0,7)),"")</f>
        <v>4991.0857282366069</v>
      </c>
      <c r="L2509" s="2">
        <f ca="1">IFERROR(_xlfn.STDEV.S(OFFSET(Tabla3[[#This Row],[Close]],-29,0,30)),"")</f>
        <v>265.93537778502611</v>
      </c>
    </row>
    <row r="2510" spans="1:12" x14ac:dyDescent="0.3">
      <c r="A2510" s="1">
        <v>46051</v>
      </c>
      <c r="B2510" s="3">
        <f>YEAR(Tabla3[[#This Row],[Date]])</f>
        <v>2026</v>
      </c>
      <c r="C2510" s="1" t="str">
        <f>+TEXT(Tabla3[[#This Row],[Date]],"mmm")</f>
        <v>ene</v>
      </c>
      <c r="D2510" s="2">
        <v>5318.39990234375</v>
      </c>
      <c r="E2510" s="2">
        <v>5318.39990234375</v>
      </c>
      <c r="F2510" s="2">
        <v>5586.2001953125</v>
      </c>
      <c r="G2510" s="2">
        <v>5097.5</v>
      </c>
      <c r="H2510" s="2">
        <v>5415.7001953125</v>
      </c>
      <c r="I2510">
        <v>23709</v>
      </c>
      <c r="J2510" s="2">
        <f ca="1">IFERROR((Tabla3[[#This Row],[Close]]-OFFSET(Tabla3[[#This Row],[Close]],-1,0))/OFFSET(Tabla3[[#This Row],[Close]],-1,0),"")</f>
        <v>3.1688177867144141E-3</v>
      </c>
      <c r="K2510" s="2">
        <f ca="1">IFERROR(AVERAGE(OFFSET(Tabla3[[#This Row],[Close]],-6,0,7)),"")</f>
        <v>5070.9142717633931</v>
      </c>
      <c r="L2510" s="2">
        <f ca="1">IFERROR(_xlfn.STDEV.S(OFFSET(Tabla3[[#This Row],[Close]],-29,0,30)),"")</f>
        <v>293.64994111557746</v>
      </c>
    </row>
    <row r="2511" spans="1:12" x14ac:dyDescent="0.3">
      <c r="A2511" s="1">
        <v>46052</v>
      </c>
      <c r="B2511" s="3">
        <f>YEAR(Tabla3[[#This Row],[Date]])</f>
        <v>2026</v>
      </c>
      <c r="C2511" s="1" t="str">
        <f>+TEXT(Tabla3[[#This Row],[Date]],"mmm")</f>
        <v>ene</v>
      </c>
      <c r="D2511" s="2">
        <v>4713.89990234375</v>
      </c>
      <c r="E2511" s="2">
        <v>4713.89990234375</v>
      </c>
      <c r="F2511" s="2">
        <v>5440.5</v>
      </c>
      <c r="G2511" s="2">
        <v>4700</v>
      </c>
      <c r="H2511" s="2">
        <v>5376.39990234375</v>
      </c>
      <c r="I2511">
        <v>23709</v>
      </c>
      <c r="J2511" s="2">
        <f ca="1">IFERROR((Tabla3[[#This Row],[Close]]-OFFSET(Tabla3[[#This Row],[Close]],-1,0))/OFFSET(Tabla3[[#This Row],[Close]],-1,0),"")</f>
        <v>-0.11366200569716554</v>
      </c>
      <c r="K2511" s="2">
        <f ca="1">IFERROR(AVERAGE(OFFSET(Tabla3[[#This Row],[Close]],-6,0,7)),"")</f>
        <v>5054.0714285714284</v>
      </c>
      <c r="L2511" s="2">
        <f ca="1">IFERROR(_xlfn.STDEV.S(OFFSET(Tabla3[[#This Row],[Close]],-29,0,30)),"")</f>
        <v>288.56965059391291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Britany Mercedes Campos Aguilar</dc:creator>
  <cp:lastModifiedBy>CAMPOS AGUILAR BRITANY MERCEDES</cp:lastModifiedBy>
  <dcterms:created xsi:type="dcterms:W3CDTF">2026-04-19T09:13:03Z</dcterms:created>
  <dcterms:modified xsi:type="dcterms:W3CDTF">2026-04-19T09:13:37Z</dcterms:modified>
</cp:coreProperties>
</file>